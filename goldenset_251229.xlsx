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부서FAQ_GoldenSet" sheetId="1" r:id="rId4"/>
    <sheet state="visible" name="작업완료질문" sheetId="2" r:id="rId5"/>
    <sheet state="visible" name="GoldenSet모아라(11.24-12.07)" sheetId="3" r:id="rId6"/>
  </sheets>
  <definedNames>
    <definedName hidden="1" localSheetId="0" name="_xlnm._FilterDatabase">'부서FAQ_GoldenSet'!$A$3:$O$414</definedName>
    <definedName hidden="1" localSheetId="2" name="_xlnm._FilterDatabase">'GoldenSet모아라(11.24-12.07)'!$A$3:$M$270</definedName>
    <definedName hidden="1" localSheetId="0" name="Z_E14FC1BD_5B70_4D77_B952_C84B5CD25E55_.wvu.FilterData">'부서FAQ_GoldenSet'!$A$3:$O$414</definedName>
  </definedNames>
  <calcPr/>
  <customWorkbookViews>
    <customWorkbookView activeSheetId="0" maximized="1" windowHeight="0" windowWidth="0" guid="{E14FC1BD-5B70-4D77-B952-C84B5CD25E55}" name="기본필터"/>
  </customWorkbookViews>
</workbook>
</file>

<file path=xl/sharedStrings.xml><?xml version="1.0" encoding="utf-8"?>
<sst xmlns="http://schemas.openxmlformats.org/spreadsheetml/2006/main" count="6093" uniqueCount="3510">
  <si>
    <t>부서별 질의응답 제출</t>
  </si>
  <si>
    <t>참조문서확정수 :</t>
  </si>
  <si>
    <t>노란색 - 문서명 재정리</t>
  </si>
  <si>
    <t>녹색 
 [페이지변경]</t>
  </si>
  <si>
    <t>주황색 - 부산시 추가 논의 필요 
 파란색 - 청크 데이터 확인 후 논의 필요</t>
  </si>
  <si>
    <t>작업청크수</t>
  </si>
  <si>
    <t>AI 부기주무관 답변</t>
  </si>
  <si>
    <t>부산시 의견</t>
  </si>
  <si>
    <t>답변 분류 및 체크 사항</t>
  </si>
  <si>
    <t>답변 참조 데이터</t>
  </si>
  <si>
    <t>검색작업</t>
  </si>
  <si>
    <t>RAG 문서 검토</t>
  </si>
  <si>
    <t>순번</t>
  </si>
  <si>
    <t>질의문</t>
  </si>
  <si>
    <t>질의문 확장</t>
  </si>
  <si>
    <t>답변</t>
  </si>
  <si>
    <t>관련문서명</t>
  </si>
  <si>
    <t>부기주무관 답변 확인 의견</t>
  </si>
  <si>
    <t>기대답변 (부산시 작성 필요)</t>
  </si>
  <si>
    <t>예상답변방안</t>
  </si>
  <si>
    <t>체크사항</t>
  </si>
  <si>
    <t>답변 참조 문서명</t>
  </si>
  <si>
    <t>참조 페이지</t>
  </si>
  <si>
    <t>참조 내용</t>
  </si>
  <si>
    <t>작업여부</t>
  </si>
  <si>
    <t>작업내역</t>
  </si>
  <si>
    <t>유사질문그룹
(Similar Query Group)</t>
  </si>
  <si>
    <t>검토자료 #1</t>
  </si>
  <si>
    <t>검토자료 #2</t>
  </si>
  <si>
    <t>검토자료 #3</t>
  </si>
  <si>
    <t>검토자료 #4</t>
  </si>
  <si>
    <t>검토자료 #5</t>
  </si>
  <si>
    <t>직원들(6급 이하)의 유연근무 등의 복무결재시 전결권자는 누구인가요?</t>
  </si>
  <si>
    <t>부산광역시 공무원(6급 이하, 7급, 8급, 9급 포함)의 유연근무 신청, 변경 등의 복무에 관한 결재를 진행할때 전결(시장으로부터 복무 결재에 대한 권한을 전달받은 자)을 수행하는 직급은 무엇인가요?</t>
  </si>
  <si>
    <t>6급 이하 직원들의 유연근무 등 복무 관련 결재 시 전결권자는 부산광역시 공무원 복무 조례에 따라 정해진 전결 규정에 따릅니다. 전결 규정은 일반적으로 6급 이하의 경우 부서장(과장 또는 팀장)이 전결권을 가지도록 정해져 있습니다. 다만, 구체적인 전결권자는 해당 기관의 내부 규정과 조직 구조에 따라 다를 수 있으므로, 정확한 전결권자를 확인하기 위해서는 부산광역시 또는 해당 부서의 내부 규정을 참조해야 합니다.</t>
  </si>
  <si>
    <r>
      <rPr>
        <rFont val="Calibri"/>
        <color theme="1"/>
        <sz val="11.0"/>
      </rPr>
      <t>75233_</t>
    </r>
    <r>
      <rPr>
        <rFont val="맑은 고딕"/>
        <color theme="1"/>
        <sz val="11.0"/>
      </rPr>
      <t>부산광역시</t>
    </r>
    <r>
      <rPr>
        <rFont val="Calibri"/>
        <color theme="1"/>
        <sz val="11.0"/>
      </rPr>
      <t>_</t>
    </r>
    <r>
      <rPr>
        <rFont val="맑은 고딕"/>
        <color theme="1"/>
        <sz val="11.0"/>
      </rPr>
      <t>공무원</t>
    </r>
    <r>
      <rPr>
        <rFont val="Calibri"/>
        <color theme="1"/>
        <sz val="11.0"/>
      </rPr>
      <t>_</t>
    </r>
    <r>
      <rPr>
        <rFont val="맑은 고딕"/>
        <color theme="1"/>
        <sz val="11.0"/>
      </rPr>
      <t>복무</t>
    </r>
    <r>
      <rPr>
        <rFont val="Calibri"/>
        <color theme="1"/>
        <sz val="11.0"/>
      </rPr>
      <t>_</t>
    </r>
    <r>
      <rPr>
        <rFont val="맑은 고딕"/>
        <color theme="1"/>
        <sz val="11.0"/>
      </rPr>
      <t>조례</t>
    </r>
    <r>
      <rPr>
        <rFont val="Calibri"/>
        <color theme="1"/>
        <sz val="11.0"/>
      </rPr>
      <t>_</t>
    </r>
    <r>
      <rPr>
        <rFont val="맑은 고딕"/>
        <color theme="1"/>
        <sz val="11.0"/>
      </rPr>
      <t>일부개정</t>
    </r>
    <r>
      <rPr>
        <rFont val="Calibri"/>
        <color theme="1"/>
        <sz val="11.0"/>
      </rPr>
      <t>_</t>
    </r>
    <r>
      <rPr>
        <rFont val="맑은 고딕"/>
        <color theme="1"/>
        <sz val="11.0"/>
      </rPr>
      <t>입법예고문</t>
    </r>
    <r>
      <rPr>
        <rFont val="Calibri"/>
        <color theme="1"/>
        <sz val="11.0"/>
      </rPr>
      <t>-hwp.pdf (p.1)</t>
    </r>
  </si>
  <si>
    <t>관련 문서 확인이 필요할거 같습니다(근거 문서 다운로드가 안됨) 미제출이면 답변이 제대로 안나오는게 맞습니다. 만약 근거문서가 없다면 답변 자체는 괜찮은거 같습니다.</t>
  </si>
  <si>
    <t>문서가 엑셀파일로 되어 있어서 해당 문서를 참고로 답변이 잘 나올지 모르겠습니다. 
 기대답변 : 
 유연근무 등 근무명령에 대한 직원(6급이하)의 전결권자는 과장(담당관, 단장) 입니다.</t>
  </si>
  <si>
    <t>RAG문서정리</t>
  </si>
  <si>
    <t>참조문서확정</t>
  </si>
  <si>
    <t>45_페이지5_문서5_162146_부산광역시_사무_전결처리_규칙.pdf
1291_162355_부산광역시의회_공무원_복무_조례_별표_3_경조사별_휴가일수표제15조제1항_관련.pdf</t>
  </si>
  <si>
    <t>2
1</t>
  </si>
  <si>
    <r>
      <rPr>
        <rFont val="&quot;맑은 고딕&quot;"/>
        <color rgb="FF000000"/>
        <sz val="11.0"/>
      </rPr>
      <t xml:space="preserve">13. 복무 1. 휴가 및 관외출장 명령 
 가. 국장급 및 3급 이상 산하기관장 ★ ○ 
 나. 과장급 및 4급 이하 산하기관장 ★ ○ 
 다. 5급 ★ ○ 
 라. 6급 이하 ★ ○ 
 2. 조퇴, 외출, 관내출장 명령 
 가. 3급 이상 ★ ○ 
 나. 과장급 ★ ○ 
 다. 5급 ★ ○ 
 라. 6급 이하 ★ ○ 
 3. 공무국외출장 계획 
 가. 4급(상당) 이상 공무원 ★ ○ 
 나. 5급(상당) 이하 공무원 ★ ○ 
  4. 시간외 및 공휴일 등 근무명령 ★ ○
</t>
    </r>
    <r>
      <rPr>
        <rFont val="&quot;맑은 고딕&quot;"/>
        <color rgb="FFFF0000"/>
        <sz val="11.0"/>
      </rPr>
      <t xml:space="preserve"> -&gt; [클라이온의견] 해당표를 임베딩할 수는 있으나 표에 있는 별표, 동그라미가 나타내는 사항을 하위 항목으로 인식할 수 없어서 해당 내용은 RAG로 추출하더라도 SLM에 답변에 활용되는 것은 어려울 것으로 예상됨 (오른쪽 이미지 참조)</t>
    </r>
    <r>
      <rPr>
        <rFont val="&quot;맑은 고딕&quot;"/>
        <color rgb="FF000000"/>
        <sz val="11.0"/>
      </rPr>
      <t xml:space="preserve">
</t>
    </r>
    <r>
      <rPr>
        <rFont val="&quot;맑은 고딕&quot;"/>
        <color rgb="FF00B050"/>
        <sz val="11.0"/>
      </rPr>
      <t>&gt;&gt; 자치법규 문서로 답변 및 별표 자료 추가 수집</t>
    </r>
  </si>
  <si>
    <t>질병휴직시 필요한 서류가 무엇인가요?</t>
  </si>
  <si>
    <t>부산광역시 공무원이 질병휴직을 신청할 때 필요한 서류가 무엇인가요?</t>
  </si>
  <si>
    <t>직원 질병휴직 시 필요한 서류는 진단서, 휴직사유를 증명할 수 있는 자료가 있습니다.
관련내용은 다음과 같습니다.
진단서: 「국민건강보험법」 제42조제1항제1호에 따른 의료기관에서 발행한 진단서
휴직사유를 증명할 수 있는 자료: 휴직의 필요성을 증명할 수 있는 기타 자료
이러한 서류들을 통해 휴직의 필요성과 사유를 명확히 하여 휴직 여부를 결정하게 됩니다.</t>
  </si>
  <si>
    <t>ㆍ1117_압축규정25228.pdf (p.44)</t>
  </si>
  <si>
    <t xml:space="preserve">근거문서가 부산정보산업진흥원 문서입니다. </t>
  </si>
  <si>
    <t>검토자료 1번은 공무직 및 기간제 관련 자료인데 질의문에 공무직이나 기간제 관련 내용이 없기 때문에 공무원 대상 질의문이라고 봐야 합니다. 
 기대답변 :
 질병휴직은 신체ㆍ정신상의 장애, 불임 또는 난임 치료가 필요한 경우 가능하며, 진단서 또는 휴직 사유를 증빙할 수 있는 자료가 필요합니다.</t>
  </si>
  <si>
    <t>RAG검색답변</t>
  </si>
  <si>
    <t>293_2501_인사과_지침_행정안전부_지방공무원_인사제도_운영지침행정안전부예규제314호.pdf</t>
  </si>
  <si>
    <t>22</t>
  </si>
  <si>
    <t>제70조(질병휴직) ① 질병휴직은 신체ㆍ정신상의 장애, 불임 또는 난임 치료가 필요한 경우 가능하며, 진단서 또는
 휴직 사유를 증빙할 수 있는 자료를 통해 휴직여부를 판단한다.</t>
  </si>
  <si>
    <t>휴직 신청 절차, 휴직 신청 행정처리 방법 안내, 질병 휴직 신청 방법, 질병 휴직 신청 필요 서류</t>
  </si>
  <si>
    <r>
      <rPr>
        <rFont val="맑은 고딕"/>
        <b/>
        <color theme="1"/>
        <sz val="11.0"/>
      </rPr>
      <t xml:space="preserve">- 747_페이지75_문서7_163334_부산광역시_공무직_및_기간제노동자_인사관리_규정.pdf[7] </t>
    </r>
    <r>
      <rPr>
        <rFont val="맑은 고딕"/>
        <color theme="1"/>
        <sz val="11.0"/>
      </rPr>
      <t xml:space="preserve">
----- 
제30조(질병휴직) ① 관리부서의 장은 공무직이 업무 외의 질병·부상으로 장기요양이 필요한 경우, 5개월의 범위 내에서 질병휴직
을 명할 수 있다.
② 제1항의 휴직에도 불구하고 해당 질병·부상이 완치되지 아니한 경우, 추가로 1회의 범위 내에서 휴직 연장을 명할 수 있다. 이때
연장기간은 최대 5개월로 한다.
</t>
    </r>
    <r>
      <rPr>
        <rFont val="맑은 고딕"/>
        <color rgb="FFFF0000"/>
        <sz val="11.0"/>
      </rPr>
      <t>③ 질병휴직을 청하는 공무직은 「의료법」 제17조에 의하여 교부된 진단서를 제출하여야 한다.</t>
    </r>
    <r>
      <rPr>
        <rFont val="맑은 고딕"/>
        <color theme="1"/>
        <sz val="11.0"/>
      </rPr>
      <t xml:space="preserve">
④ 동일한 질병·부상을 사유로 한 질병휴직은 공무직 재직기간 중 1회에 한한다.
⑤ 질병휴직 기간에는 휴직개시일 호봉을 기준으로 기본급의 50%를 지급한다. 다만, 명절휴가비는 전액 지급한다.
</t>
    </r>
  </si>
  <si>
    <r>
      <rPr>
        <rFont val="맑은 고딕"/>
        <b/>
        <color theme="1"/>
        <sz val="11.0"/>
      </rPr>
      <t xml:space="preserve">- 264_2401_인사과_법령_행정안전부_지방공무원_인사관계_법령집.pdf[893] : </t>
    </r>
    <r>
      <rPr>
        <rFont val="맑은 고딕"/>
        <color theme="1"/>
        <sz val="11.0"/>
      </rPr>
      <t xml:space="preserve">
----------------
제 조의 질병휴직 57 7( ) ① 「 」 질병휴직을 명하려는 경우에는 공무원 재해보상법 제 조에 따른 요양 24
기관에서 발행한 진단서나 그 밖에 휴직사유를 증명할 수 있는 자료를 해당 공무원에게 요구하
여 제출받아 휴직 여부를 결정해야 한다 개정 . &lt; 2021. 11. 30., 2023. 10. 10.&gt;
② 임용권자 또는 임용제청권자는 제 항에 따라 휴직 여부를 결정하려는 경우에는 임용심사위 1
원회에 휴직의 필요성 등에 대해 자문할 수 있다 이 경우 제 조의 제 항 및 제 항에도 불구 . 10 4 3 4
하고 임용심사위원회의 위원으로 관계 전문가 명 이상이 포함되어야 한다 신설 1 . &lt; 2021. 11.
30., 2023. 12. 26.&gt;
③ 임용권자 또는 임용제청권자는 공무상질병휴직을 명한 공무원에게 당초 휴직 사유와 같은
사유로 그 휴직기간 연장을 명하려는 경우로서 총휴직기간이 년을 초과하는 경우에는 임용심 3
사위원회의 의결을 거쳐야 한다 이 경우 제 조의 제 항 및 제 항에도 불구하고 임용심사위 . 10 4 3 4
원회의 위원으로 관계 전문가 명 이상이 포함되어야 한다 신설 1 . &lt; 2021. 11. 30., 2023. 12.
26.&gt;
④ 「 」 공무상질병휴직을 명할 수 있는 경우는 공무원 재해보상법 시행령 제 조에 따른 공무상 28
요양 승인이나 같은 영 제 조에 따른 재요양 승인 이하 공무상요양 재요양승인 이라 한다 을 32 ( “ · ” )
받은 경우와 산업재해보상보험법 제 조에 따른 요양급여 결정이나 같은 법 제 조에 따른 「 」 40 51
재요양 결정 이하 요양급여 재요양결정 이라 한다 을 받은 경우로 한정한다 개정 ( “ · ” ) . &lt; 2021. 11.
30.&gt;
⑤ 공무상요양 재요양승인이나 요양급여 재요양결정을 받은 기간 연장된 요양기간을 포함한다 · ·( )
이 끝난 후에는 그 사유와 같은 사유로 공무상질병휴직을 새로 명하거나 그 휴직기간의 연장을
명할 수 없다 신설 . &lt; 2021. 11. 30.&gt;
⑥ 법 제 조제 호 각 목 외의 부분 본문에 따른 질병휴직 중에 있는 공무원이나 그 휴직기간 72 1
이 끝난 공무원이 공무상질병휴직 요건에 해당하게 된 경우에는 당초의 질병휴직을 취소하고
그 발령일로 소급하여 공무상질병휴직을 명하거나 당초의 질병휴직 명령을 공무상질병휴직 명
령으로 변경할 수 있다 개정 . &lt; 2021. 11. 30.&gt;
⑦ 제 항부터 제 항까지에서 규정한 사항 외에 질병휴직 제도의 운영에 필요한 사항은 인사혁 1 6
신처장이 정한다 개정 . &lt; 2021. 11. 30.&gt;
[ 2020. 2. 25.]</t>
    </r>
  </si>
  <si>
    <r>
      <rPr>
        <rFont val="맑은 고딕"/>
        <b/>
        <color theme="1"/>
        <sz val="11.0"/>
      </rPr>
      <t>- 291_2501_인사과_대통령령_인사혁신처_공무원임용령대통령령제35191호.pdf[37]</t>
    </r>
    <r>
      <rPr>
        <rFont val="맑은 고딕"/>
        <color theme="1"/>
        <sz val="11.0"/>
      </rPr>
      <t xml:space="preserve">
-----
</t>
    </r>
    <r>
      <rPr>
        <rFont val="맑은 고딕"/>
        <color theme="1"/>
        <sz val="11.0"/>
      </rPr>
      <t>제57조의7</t>
    </r>
    <r>
      <rPr>
        <rFont val="맑은 고딕"/>
        <b/>
        <color rgb="FFFF0000"/>
        <sz val="11.0"/>
      </rPr>
      <t>(</t>
    </r>
    <r>
      <rPr>
        <rFont val="맑은 고딕"/>
        <color theme="1"/>
        <sz val="11.0"/>
      </rPr>
      <t>질병휴직</t>
    </r>
    <r>
      <rPr>
        <rFont val="맑은 고딕"/>
        <b/>
        <color rgb="FFFF0000"/>
        <sz val="11.0"/>
      </rPr>
      <t>)</t>
    </r>
    <r>
      <rPr>
        <rFont val="맑은 고딕"/>
        <color theme="1"/>
        <sz val="11.0"/>
      </rPr>
      <t xml:space="preserve"> ① 질병휴직을 명하려는 경우에는 「공무원 재해보상법」 제24조에 따른 요양기관에서 발행한 진
단서나 그 밖에 휴직사유를 증명할 수 있는 자료를 해당 공무원에게 요구하여 제출받아 휴직 여부를 결정해야 한다.
&lt;개정 2021. 11. 30., 2023. 10. 10.&gt;
 </t>
    </r>
  </si>
  <si>
    <t>육아휴직시 필요한 서류가 무엇인가요?</t>
  </si>
  <si>
    <t>부산광역시 공무원이 육아휴직을 신청할 때 필요한 서류가 무엇인가요?</t>
  </si>
  <si>
    <t>육아휴직 신청 시 필요한 서류는 신청인 신분증(확인용), 아빠 육아휴직 장려금 지원 신청서, 고용센터 육아휴직급여 지급결정통지서, 육아휴직확인서입니다.</t>
  </si>
  <si>
    <t>답변 근거 문서가 안나옵니다.</t>
  </si>
  <si>
    <t>미답변 처리
 검토자료의 경우 부부 두명 다 휴직을 한 다음 수당을 받을때의 자료이므로 해당 질문과는 좀 성격이 다릅니다.</t>
  </si>
  <si>
    <t>미답변</t>
  </si>
  <si>
    <t>미답변처리</t>
  </si>
  <si>
    <r>
      <rPr>
        <rFont val="맑은 고딕"/>
        <b/>
        <color theme="1"/>
        <sz val="11.0"/>
      </rPr>
      <t xml:space="preserve">- 214_2501_예산담당관_업무매뉴얼_행정안전부_지방공무원보수업무_등_처리지침.pdf[307] : 0.99 
</t>
    </r>
    <r>
      <rPr>
        <rFont val="맑은 고딕"/>
        <color theme="1"/>
        <sz val="11.0"/>
      </rPr>
      <t xml:space="preserve">---- 
</t>
    </r>
    <r>
      <rPr>
        <rFont val="맑은 고딕"/>
        <color theme="1"/>
        <sz val="11.0"/>
      </rPr>
      <t xml:space="preserve">
</t>
    </r>
    <r>
      <rPr>
        <rFont val="맑은 고딕"/>
        <color theme="1"/>
        <sz val="11.0"/>
      </rPr>
      <t xml:space="preserve">나. 지급액
1) 육아휴직기간 중 지급액
가) 육아휴직 시작일부터 6개월째까지는 육아휴직 시작일 현재 육아휴직 공무원
호봉 기준 월봉급액[성과급적 연봉제 적용대상 공무원은 성과연봉을 제외한
연봉월액의 78%(성과급적 연봉제 대상자 중 기본연봉에 관리업무수당에
해당하는 금액이 포함되지 않은 공무원&lt;‘제5장-Ⅵ-4-가’ 참조&gt;은 84%)]에
해당하는 금액을 지급하고, 육아휴직 7개월째 이후는 육아휴직 시작일을
기준으로 한 월봉급액의 80퍼센트에 해당하는 금액을 지급한다. 이 경우
육아휴직수당의 월별 지급액의 상한액은 다음의 구분에 따라 산정하되,
월별 지급액이 70만원 미만일 경우에는 70만원을 지급한다.
 </t>
    </r>
    <r>
      <rPr>
        <rFont val="MS UI Gothic"/>
        <color theme="1"/>
        <sz val="11.0"/>
      </rPr>
      <t>․</t>
    </r>
    <r>
      <rPr>
        <rFont val="맑은 고딕"/>
        <color theme="1"/>
        <sz val="11.0"/>
      </rPr>
      <t xml:space="preserve"> 육아휴직 시작일부터 3개월째까지 : 250만원
 </t>
    </r>
    <r>
      <rPr>
        <rFont val="MS UI Gothic"/>
        <color theme="1"/>
        <sz val="11.0"/>
      </rPr>
      <t>․</t>
    </r>
    <r>
      <rPr>
        <rFont val="맑은 고딕"/>
        <color theme="1"/>
        <sz val="11.0"/>
      </rPr>
      <t xml:space="preserve"> 육아휴직 4개월째부터 6개월째까지 : 200만원
 </t>
    </r>
    <r>
      <rPr>
        <rFont val="MS UI Gothic"/>
        <color theme="1"/>
        <sz val="11.0"/>
      </rPr>
      <t>․</t>
    </r>
    <r>
      <rPr>
        <rFont val="맑은 고딕"/>
        <color theme="1"/>
        <sz val="11.0"/>
      </rPr>
      <t xml:space="preserve"> 육아휴직 7개월째 이후 : 160만원
나) 같은 자녀에 대하여 부모가 순차적으로 육아휴직을 하여 두 번째 육아휴직을 한
사람이 공무원인 경우 육아휴직수당은 다음의 구분에 따른다.
 </t>
    </r>
    <r>
      <rPr>
        <rFont val="MS UI Gothic"/>
        <color theme="1"/>
        <sz val="11.0"/>
      </rPr>
      <t>․</t>
    </r>
    <r>
      <rPr>
        <rFont val="맑은 고딕"/>
        <color theme="1"/>
        <sz val="11.0"/>
      </rPr>
      <t xml:space="preserve"> 육아휴직 시작일부터 6개월째까지 : 육아휴직 시작일을 기준으로 한
월봉급액에 해당하는 금액. 이 경우 월별 상한액은 2개월째까지는
250만원, 3개월째는 300만원, 4개월째는 350만원, 5개월째는 400만원,
6개월째는 450만원으로 한다.
 </t>
    </r>
    <r>
      <rPr>
        <rFont val="MS UI Gothic"/>
        <color theme="1"/>
        <sz val="11.0"/>
      </rPr>
      <t>․</t>
    </r>
    <r>
      <rPr>
        <rFont val="맑은 고딕"/>
        <color theme="1"/>
        <sz val="11.0"/>
      </rPr>
      <t xml:space="preserve"> 육아휴직 7개월째 이후 : 육아휴직 시작일을 기준으로 한 월봉급액의
80퍼센트에 해당하는 금액. 이 경우 월별 상한액은 160만원으로 한다.
다) 부모가 같은 날에 육아휴직을 한 경우에는, 나)의 수당은 부부공무원 중 신청한
1인에게만 지급한다. 따라서 부부 공무원의 경우 누가 수당을 받을 것인지를
결정하여 상대방의 동의서를 첨부하여 신청하여야 한다.
* 나)의 수당을 수령하고자 하는 자는 배우자가 같은 자녀에 대해 육아휴직을 한 사실을
</t>
    </r>
    <r>
      <rPr>
        <rFont val="맑은 고딕"/>
        <color rgb="FFFF0000"/>
        <sz val="11.0"/>
      </rPr>
      <t xml:space="preserve">증빙하여야 하므로, 배우자가 공무원인 경우 (육아)휴직증명서, 인사발령(휴직)통지서 등
공문, 공무원이 아닌 경우 「남녀고용평등과 일·가정 양립 지원에 관한 법률」에 따른
</t>
    </r>
    <r>
      <rPr>
        <rFont val="맑은 고딕"/>
        <color theme="1"/>
        <sz val="11.0"/>
      </rPr>
      <t>육아휴직에 대하여 사업장에서 발행한 육아휴직 확인서 또는 관할 고용복지센터에서
발급한 육아휴직을 입증하는 서류 등을 소속기관장에게 제출하여 신청(육아휴직 기간
및 대상자녀가 기재된 것이어야 함)</t>
    </r>
  </si>
  <si>
    <r>
      <rPr>
        <rFont val="맑은 고딕"/>
        <b/>
        <color theme="1"/>
        <sz val="11.0"/>
      </rPr>
      <t xml:space="preserve">- 214_2501_예산담당관_업무매뉴얼_행정안전부_지방공무원보수업무_등_처리지침.pdf[312] 
</t>
    </r>
    <r>
      <rPr>
        <rFont val="맑은 고딕"/>
        <color theme="1"/>
        <sz val="11.0"/>
      </rPr>
      <t xml:space="preserve">---- 
</t>
    </r>
    <r>
      <rPr>
        <rFont val="맑은 고딕"/>
        <color theme="1"/>
        <sz val="11.0"/>
      </rPr>
      <t xml:space="preserve">라. 지급방법
1) 지급시기 : 보수지급일
* 같은 자녀를 대상으로 부모가 모두 육아휴직을 각각 3개월 이상 사용한 경우 13개월째
부터 18개월째까지 수당을 수령하고자 하는 자는 부모가 모두 육아휴직을 3개월
이상 사용한 사실을 증빙하여야 하므로, </t>
    </r>
    <r>
      <rPr>
        <rFont val="맑은 고딕"/>
        <color rgb="FFFF0000"/>
        <sz val="11.0"/>
      </rPr>
      <t xml:space="preserve">배우자가 공무원인 경우 (육아)휴직증명서,
인사발령(휴직)통지서 등 공문, 공무원이 아닌 경우 </t>
    </r>
    <r>
      <rPr>
        <rFont val="Noto Sans KR"/>
        <color rgb="FFFF0000"/>
        <sz val="11.0"/>
      </rPr>
      <t>｢</t>
    </r>
    <r>
      <rPr>
        <rFont val="맑은 고딕"/>
        <color rgb="FFFF0000"/>
        <sz val="11.0"/>
      </rPr>
      <t>남녀고용평등과 일·가정 양립
지원에 관한 법률</t>
    </r>
    <r>
      <rPr>
        <rFont val="Noto Sans KR"/>
        <color rgb="FFFF0000"/>
        <sz val="11.0"/>
      </rPr>
      <t>｣</t>
    </r>
    <r>
      <rPr>
        <rFont val="맑은 고딕"/>
        <color rgb="FFFF0000"/>
        <sz val="11.0"/>
      </rPr>
      <t>에 따른 육아휴직에 대하여 사업장에서 발행한 육아휴직확인서
또는 관할 고용복지센터에서 발급한 육아휴직을 입증하는 서류 등을 소속기관장
에게 제출하여 신청</t>
    </r>
    <r>
      <rPr>
        <rFont val="맑은 고딕"/>
        <color theme="1"/>
        <sz val="11.0"/>
      </rPr>
      <t>(육아휴직 기간 및 대상 자녀가 기재된 것이어야 함</t>
    </r>
  </si>
  <si>
    <t>수의계약시 필요한 서류가 무엇인가요?</t>
  </si>
  <si>
    <t>부산광역시의 물품, 공사, 용역 등의 수의계약을 진행할 때 필요한 서류가 무엇인가요?</t>
  </si>
  <si>
    <t>수의계약 체결 시 필요한 서류는 수의계약 체결 제한 여부 확인서, 수의계약 각서, 청렴계약 이행 서약서, 안전보건 관리 준수 및 이행 서약서 등이 있습니다.
관련내용은 다음과 같습니다.
수의계약 체결 제한 여부 확인서
수의계약 각서
청렴계약 이행 서약서
안전보건 관리 준수 및 이행 서약서
법인등기부등본(법인) 또는 사업자 등록증(개인), 인감증명서 또는 사용인감계
면허 관련 서류 (예: 건설업 등록증, 기술자 보유 증명서)
계약 보증 관련 서류 (각서 또는 증서)
수입인지 (1천만 원 이상 계약 시)
통장 사본
이러한 서류들은 계약의 투명성과 공정성을 확보하기 위해 요구되며, 각 서류는 계약의 체결과 이행 과정에서 중요한 역할을 합니다.</t>
  </si>
  <si>
    <t>ㆍ755_압축계약사무처리규정20241118_일부개정.pdf (p.3)
https://busanai.busan.go.kr/download/755_압축계약사무처리규정20241118_일부개정.pdf
ㆍ471_2411_회계재산담당관_업무매뉴얼_한국지방재정공제회_2024년_개정판_공사계약_길라잡이한국지방재정공제회.pdf (p.245)
https://busanai.busan.go.kr/download/471_2411_회계재산담당관_업무매뉴얼_한국지방재정공제회_2024년_개정판_공사계약_길라잡이한국지방재정공제회.pdf</t>
  </si>
  <si>
    <t>압축계약사무처리규정 : 도시공사 규정입니다.
공사계약 같은 경우에는 해당되는데 그 외 계약은 다를 수도 있습니다.
제출된 자료 중 478_2505_회계재산담당관_업무매뉴얼_회계재산담당관_계약업무 참고자료(회계재산담당관)외부용.pdf 이 파일을 참고해야할거 같습니다.</t>
  </si>
  <si>
    <t>미답변 처리
 수의계약 시 필요한 서류 목록을 정리해놓은 파일이 없고
 중구난방으로 흩어져 있는데 정확도 여부에 대한 판단이 안되므로 미답변 처리하는게 맞는거 같습니다.</t>
  </si>
  <si>
    <r>
      <rPr>
        <rFont val="맑은 고딕"/>
        <b/>
        <color theme="1"/>
        <sz val="11.0"/>
      </rPr>
      <t xml:space="preserve">- 478_2505_회계재산담당관_업무매뉴얼_회계재산담당관_계약업무_참고자료회계재산담당관외부용.pdf[14] : 0.99 
-----
</t>
    </r>
    <r>
      <rPr>
        <rFont val="맑은 고딕"/>
        <color rgb="FFFF0000"/>
        <sz val="11.0"/>
      </rPr>
      <t xml:space="preserve">5. 추정가격에 따른 계약방법
[표 내용에 공사,용역,물품에 대한 표가 제공됨] 
상세 서류 내용은 제공되지 않음 </t>
    </r>
  </si>
  <si>
    <r>
      <rPr>
        <rFont val="맑은 고딕"/>
        <b/>
        <color theme="1"/>
        <sz val="11.0"/>
      </rPr>
      <t>- 471_2411_회계재산담당관_업무매뉴얼_한국지방재정공제회_2024년_개정판_공사계약_길라잡이한국지방재정공제회.pdf[245] : 0.99.</t>
    </r>
    <r>
      <rPr>
        <rFont val="맑은 고딕"/>
        <color theme="1"/>
        <sz val="11.0"/>
      </rPr>
      <t xml:space="preserve"> 
-----
13 공동계약이행계획서(공동계약의 경우) 14「산업안전보건기준에 관한 규칙」에 따른 밀폐공간 작업시행 계획서 등 근로자 안전관련 계획서 15 산업안전보건의무 준수이행 서약서, 수의계약 체결제한여부 확인서, 수의계약각서, 그밖의 계약이행 에 필요한 서류 ※ 공사종류별 설계서의 구성 대안입찰 설계</t>
    </r>
    <r>
      <rPr>
        <rFont val="Yu Gothic"/>
        <color theme="1"/>
        <sz val="11.0"/>
      </rPr>
      <t>・</t>
    </r>
    <r>
      <rPr>
        <rFont val="맑은 고딕"/>
        <color theme="1"/>
        <sz val="11.0"/>
      </rPr>
      <t>시공 원안부분 대안부분 일괄입찰 수의계약 총액입찰 내역입찰 사후계약 설계도면 공사설계설명서 (공사시방서) 현장설명서 설계도면 공사설계설명서 (공사시방서) 현장설명서 물량내역서 설계도면 공사설계설명서 (공사시방서) 현장설명서 물량내역서 설계도면 공사설계설명서 (공사시방서) 현장설명서 물량내역서 설계도면 공사설계설명서 (공사시방서) 현장설명서 설계도면 공사설계설명서 (공사시방서) 현장설명서 ※ 공종별 목적별 물량내역서가 설계서에 포함되지 않는 공사 - 일괄입찰공사, 대안입찰에서 대안이 채택된 공종의 공사, 신기술</t>
    </r>
    <r>
      <rPr>
        <rFont val="Yu Gothic"/>
        <color theme="1"/>
        <sz val="11.0"/>
      </rPr>
      <t>・</t>
    </r>
    <r>
      <rPr>
        <rFont val="맑은 고딕"/>
        <color theme="1"/>
        <sz val="11.0"/>
      </rPr>
      <t xml:space="preserve">신공법 등에 의한 사후계약공사 ☞ 계약체결 시 물량내역서 제출 Check 공사계약 체결 시 필요서류 • 표준계약서, 입찰유의서, 계약일반조건, 공사계약 특수조건(필요시 첨부) • 견적서 및 산출내역서, 설계서(설계설명서, 설계도면, 현장설명서 등) • 수의계약 체결제한여부 확인서, 조세포탈서약서 • 계약보증금 납부서, 계약보증금 지급각서, 청렴계약이행서약서, 수의계약 각서(수의계약 시) • 건설업 등 업종 등록증 사본, 기술자보유증명서, 4대보험 사업장 가입자명부 ※ 건설공사는 계약금액 1천만 원 이상 시 기술자보유증명서, 4대보험 사업장 가입자명부 제출 • 대가지급 통장사본, 법인등기부 등본, 사업자 등록증 사본(원본대조필 날인), 법인인감(필요시 사용인감계 포함) • 정부수입인지 - 1천만 원 초과 ~ 3천만 원 이하 : 2만 원 - 3천만 원 초과 ~ 5천만 원 이하 : 4만 원 - 5천만 원 초과 ~ 1억 원 이하 : 7만 원 - 1억 원 초과 ~ 10억 원 이하 : 15만 원 - 10억 원 초과 : 35만 원 라. 계약문서의 효력 </t>
    </r>
    <r>
      <rPr>
        <rFont val="Segoe UI Symbol"/>
        <color theme="1"/>
        <sz val="11.0"/>
      </rPr>
      <t>❍</t>
    </r>
    <r>
      <rPr>
        <rFont val="맑은 고딕"/>
        <color theme="1"/>
        <sz val="11.0"/>
      </rPr>
      <t xml:space="preserve"> 계약문서는 상호보완의 효력을 가지며 계약당사자 간에 행한 통지문서 등은 계약문서의 효력을 가짐 제 6 장 계 약 및 이 행 </t>
    </r>
    <r>
      <rPr>
        <rFont val="Segoe UI Symbol"/>
        <color theme="1"/>
        <sz val="11.0"/>
      </rPr>
      <t>❍</t>
    </r>
    <r>
      <rPr>
        <rFont val="맑은 고딕"/>
        <color theme="1"/>
        <sz val="11.0"/>
      </rPr>
      <t xml:space="preserve"> 산출내역서는 계약금액의 조정과 기성부분에 대한 대가지급 시 단가산정에 적용할 기준 으로서 계약문서의 효력을 가짐(산출내역서는 간인) 제6장 계약 및 이행 237</t>
    </r>
  </si>
  <si>
    <r>
      <rPr>
        <rFont val="맑은 고딕"/>
        <b/>
        <color theme="1"/>
        <sz val="11.0"/>
      </rPr>
      <t xml:space="preserve">- 468_2404_회계재산담당관_법령_행정안전부_지방자치단체_입찰_및_계약집행기준_00.pdf[149] : 0.99 
-----
- 468_2404_회계재산담당관_법령_행정안전부_지방자치단체_입찰_및_계약집행기준_00.pdf[147] : 0.99 
-----
</t>
    </r>
    <r>
      <rPr>
        <rFont val="맑은 고딕"/>
        <color theme="1"/>
        <sz val="11.0"/>
      </rPr>
      <t xml:space="preserve">
</t>
    </r>
    <r>
      <rPr>
        <rFont val="맑은 고딕"/>
        <color rgb="FFFF0000"/>
        <sz val="11.0"/>
      </rPr>
      <t>[문서서식임] 
수의계약시 계약대상 업체 정보 입력란 + 첨부서류가 있어서 해당 문서가 가이드 되는 것으로 보임. 
유사도 높으나 답에서 걸러져야 하는 항목임</t>
    </r>
  </si>
  <si>
    <r>
      <rPr>
        <rFont val="맑은 고딕"/>
        <b/>
        <color theme="1"/>
        <sz val="11.0"/>
      </rPr>
      <t>- 473_2411_회계재산담당관_업무매뉴얼_한국지방재정공제회_2024년_개정판_용역계약_길라잡이한국지방재정공제회.pdf[280] : 0.99</t>
    </r>
    <r>
      <rPr>
        <rFont val="맑은 고딕"/>
        <color theme="1"/>
        <sz val="11.0"/>
      </rPr>
      <t xml:space="preserve">
-----
</t>
    </r>
    <r>
      <rPr>
        <rFont val="Segoe UI Symbol"/>
        <color theme="1"/>
        <sz val="11.0"/>
      </rPr>
      <t>❍</t>
    </r>
    <r>
      <rPr>
        <rFont val="맑은 고딕"/>
        <color theme="1"/>
        <sz val="11.0"/>
      </rPr>
      <t xml:space="preserve"> 계약담당자는 낙찰자 결정 후 계약상대자가 작성한 산출내역서 및 예정공정표 등에 대하여 감독관의 사전 검토를 경유한 후 계약 체결 ※ 계약서 작성의 예외(「지방계약법 시행령」제50조) ∙ 계약금액이 5천만 원 이하인 계약을 체결하는 경우 ∙ 경매에 부치는 경우 ∙ 물품을 매각할 때 매수인이 즉시 대금을 내고 그 물품을 인수하는 경우 ∙ 국가기관과 계약을 체결하거나 다른 지방자치단체와 계약을 체결하는 경우 ∙ 전기</t>
    </r>
    <r>
      <rPr>
        <rFont val="Yu Gothic"/>
        <color theme="1"/>
        <sz val="11.0"/>
      </rPr>
      <t>・</t>
    </r>
    <r>
      <rPr>
        <rFont val="맑은 고딕"/>
        <color theme="1"/>
        <sz val="11.0"/>
      </rPr>
      <t>가스</t>
    </r>
    <r>
      <rPr>
        <rFont val="Yu Gothic"/>
        <color theme="1"/>
        <sz val="11.0"/>
      </rPr>
      <t>・</t>
    </r>
    <r>
      <rPr>
        <rFont val="맑은 고딕"/>
        <color theme="1"/>
        <sz val="11.0"/>
      </rPr>
      <t>수도의 공급계약 등 그 계약의 성질상 계약서를 작성할 필요가 없는 경우 ☞ 계약서의 작성을 생략하는 경우 계약상대자로부터 청구서, 각서, 협정서, 승낙사항 등 계약 성립의 증거가 될 수 있는 서류를 제출받아 갖춰 두어야 함 나. 계약문서의 종류 1 품의서</t>
    </r>
    <r>
      <rPr>
        <rFont val="Yu Gothic"/>
        <color theme="1"/>
        <sz val="11.0"/>
      </rPr>
      <t>・</t>
    </r>
    <r>
      <rPr>
        <rFont val="맑은 고딕"/>
        <color theme="1"/>
        <sz val="11.0"/>
      </rPr>
      <t>계획서 2 계약서(계약당사자간 상호 전자서명</t>
    </r>
    <r>
      <rPr>
        <rFont val="Yu Gothic"/>
        <color theme="1"/>
        <sz val="11.0"/>
      </rPr>
      <t>・</t>
    </r>
    <r>
      <rPr>
        <rFont val="맑은 고딕"/>
        <color theme="1"/>
        <sz val="11.0"/>
      </rPr>
      <t>날인</t>
    </r>
    <r>
      <rPr>
        <rFont val="Yu Gothic"/>
        <color theme="1"/>
        <sz val="11.0"/>
      </rPr>
      <t>・</t>
    </r>
    <r>
      <rPr>
        <rFont val="맑은 고딕"/>
        <color theme="1"/>
        <sz val="11.0"/>
      </rPr>
      <t>간인) ※ 산출내역서도 간인 3 입찰유의서, 계약 일반조건, 계약 특수조건(필요시) 4 과업내용서 및 산출내역서 5 착수</t>
    </r>
    <r>
      <rPr>
        <rFont val="Yu Gothic"/>
        <color theme="1"/>
        <sz val="11.0"/>
      </rPr>
      <t>・</t>
    </r>
    <r>
      <rPr>
        <rFont val="맑은 고딕"/>
        <color theme="1"/>
        <sz val="11.0"/>
      </rPr>
      <t>완료신고서, 과업수행일정표 등 6 감독관, 검사</t>
    </r>
    <r>
      <rPr>
        <rFont val="Yu Gothic"/>
        <color theme="1"/>
        <sz val="11.0"/>
      </rPr>
      <t>・</t>
    </r>
    <r>
      <rPr>
        <rFont val="맑은 고딕"/>
        <color theme="1"/>
        <sz val="11.0"/>
      </rPr>
      <t>검수공무원이 지정하는 서류, 감독조서, 검사</t>
    </r>
    <r>
      <rPr>
        <rFont val="Yu Gothic"/>
        <color theme="1"/>
        <sz val="11.0"/>
      </rPr>
      <t>・</t>
    </r>
    <r>
      <rPr>
        <rFont val="맑은 고딕"/>
        <color theme="1"/>
        <sz val="11.0"/>
      </rPr>
      <t>검수조서 등 7 입찰</t>
    </r>
    <r>
      <rPr>
        <rFont val="Yu Gothic"/>
        <color theme="1"/>
        <sz val="11.0"/>
      </rPr>
      <t>・</t>
    </r>
    <r>
      <rPr>
        <rFont val="맑은 고딕"/>
        <color theme="1"/>
        <sz val="11.0"/>
      </rPr>
      <t>계약</t>
    </r>
    <r>
      <rPr>
        <rFont val="Yu Gothic"/>
        <color theme="1"/>
        <sz val="11.0"/>
      </rPr>
      <t>・</t>
    </r>
    <r>
      <rPr>
        <rFont val="맑은 고딕"/>
        <color theme="1"/>
        <sz val="11.0"/>
      </rPr>
      <t>하자</t>
    </r>
    <r>
      <rPr>
        <rFont val="Yu Gothic"/>
        <color theme="1"/>
        <sz val="11.0"/>
      </rPr>
      <t>・</t>
    </r>
    <r>
      <rPr>
        <rFont val="맑은 고딕"/>
        <color theme="1"/>
        <sz val="11.0"/>
      </rPr>
      <t>선금 보증서(계약기간</t>
    </r>
    <r>
      <rPr>
        <rFont val="Yu Gothic"/>
        <color theme="1"/>
        <sz val="11.0"/>
      </rPr>
      <t>・</t>
    </r>
    <r>
      <rPr>
        <rFont val="맑은 고딕"/>
        <color theme="1"/>
        <sz val="11.0"/>
      </rPr>
      <t>보증기간</t>
    </r>
    <r>
      <rPr>
        <rFont val="Yu Gothic"/>
        <color theme="1"/>
        <sz val="11.0"/>
      </rPr>
      <t>・</t>
    </r>
    <r>
      <rPr>
        <rFont val="맑은 고딕"/>
        <color theme="1"/>
        <sz val="11.0"/>
      </rPr>
      <t>보증금액 등 확인) ※ 면제자는 보증금 지급확약서 제출 8 정부수입인지(인지세법) 9 지역개발공채 매입필증 등(지역개발기금설치조례 등) 10 하도급계약서 사본(하도급계약 통지의 경우) 11 하도급대금 직불합의서(하도급대금 직불의 경우) 12 공동계약이행계획서(공동계약의 경우) 13 「산업안전보건기준에 관한 규칙」에 따른 밀폐 공간 작업시행 계획서 등 근로자 안전관련 계획서 14 산업안전보건의무 준수.이행서약서, 수의계약 체결제한여부 확인서, 수의계약각서, 그밖의 계약이행에 필요한 서류 Check 용역계약 체결 시 필요서류 ∙ 집행품의서, 표준계약서, 입찰유의서, 계약 일반조건, 용역계약 특수조건(필요시 첨부) ※ 5천만 원 이하는 표준계약서 작성 생략 가능 ∙ 견적서 및 산출내역서, 과업내용서(과업지시서) ∙ 근로자권리보호이행서약서(단순노무용역), 조세포탈서약서, 청렴계약이행서약서(업체용) ∙</t>
    </r>
    <r>
      <rPr>
        <rFont val="맑은 고딕"/>
        <color rgb="FFFF0000"/>
        <sz val="11.0"/>
      </rPr>
      <t xml:space="preserve"> (수의계약 시) 수의계약 체결제한여부 확인서, 수의계약 각서 ∙ 계약보증금 납부서 및 보증금 지급서류</t>
    </r>
    <r>
      <rPr>
        <rFont val="맑은 고딕"/>
        <color theme="1"/>
        <sz val="11.0"/>
      </rPr>
      <t xml:space="preserve"> - 계약보증서 : 계약금액의 10% 이상 - 계약보증금 지급각서 : 5천만 원 이하 계약 272 한국지방재정공제회</t>
    </r>
  </si>
  <si>
    <t>협상에 의한 계약을 진행할 시 절차가 어떻게 되나요?</t>
  </si>
  <si>
    <t>부산광역시 공무원이 협상에 의한 계약을 진행할 시 수행해야할 절차가 어떻게 되나요?</t>
  </si>
  <si>
    <t>부산광역시청에서 협상에 의한 계약을 진행할 시 절차는 제안서 접수, 제안서 평가위원회 개최, 우선 협상대상자 선정, 계약 체결입니다.
관련내용은 다음과 같습니다.
제안서 접수: 입찰 공고 기간 동안 제안서를 접수하며, 이때 제안서 평가위원회 구성 및 평가 절차를 거칩니다.
제안서 평가위원회 개최: 제안서 평가위원회를 구성하여 제안서를 평가하고, 제안서 발표 및 질의응답을 진행합니다.
우선 협상대상자 선정: 평가 결과에 따라 우선 협상대상자를 선정하고 통보합니다.
계약 체결: 우선 협상대상자와 협상을 진행한 후, 협상이 완료되면 계약을 체결합니다.</t>
  </si>
  <si>
    <t>ㆍ10870_2_240401_제안요청서부산광역시_빛공해방지계획-hwp.pdf (p.5)
https://busanai.busan.go.kr/download/10870_2_240401_제안요청서부산광역시_빛공해방지계획-hwp.pdf
ㆍ34266_제안요청서-hwp.pdf (p.10)
https://busanai.busan.go.kr/download/34266_제안요청서-hwp.pdf
ㆍ472_2411_회계재산담당관_업무매뉴얼_한국지방재정공제회_2024년_개정판_물품계약_길라잡이한국지방재정공제회.pdf (p.174)
https://busanai.busan.go.kr/download/472_2411_회계재산담당관_업무매뉴얼_한국지방재정공제회_2024년_개정판_물품계약_길라잡이한국지방재정공제회.pdf</t>
  </si>
  <si>
    <t>1번, 2번은 잘못된 근거규정입니다. 2번 파일은 열리지 않습니다.
1번 파일을 참고할 경우 내용은 맞지만 계획서를 관련 근거로 할 수는 없습니다.
3번 파일은 근거 자료로 활용 가능합니다.</t>
  </si>
  <si>
    <t>부기주무관 질의시 제대로 된 답변 생성됩니다. 맨 앞에 4P 내용만 추가되었으면 좋겠습니다.
 기대답변:
 1. 추가되면 좋을 내용 { 
 협상에 의한 계약 : 계약이행의 전문성·기술성·창의성·긴급성, 안전성 등이 있는 경우 다수의 입찰자로부터 제안서와 가격입찰서를 제출받아 제안서를 평가 후 협상절차를 거쳐 가장 유리하다고 인정되는 자를 낙찰자로 결정하는 방식
 ※지식기반사업에 우선적용(엔지니어링, 정보통신, 디자인, 문화산업, 콘텐츠산업, 학술등) 또한 협상 시 내용 가감 없이 제안가격 증감조정 불가 
 ※주의 : 제안서평가위원회 구성시 7인 이상 10인 이내로 구성. 예비위원 확보로 최소 인원수 7인 확보 후 위원회 개최
 ※ 공사 계약의 경우 협상에 의한 계약 대상이 아님. 물품과 용역만이 협상에 의한 계약 대상이며, 또한, 단순 물품구매와 청소 용역 등 단순 노무 또한 계약 대상에서 제외
 }
 2. 아래는 부기주무관 생성답변입니다. 
 부산광역시 공무원이 협상에 의한 계약을 진행할 때는 다음과 같은 절차를 따릅니다.
 1. 일상감사 및 계약의뢰
 발주부서: 일상감사를 실시한 후 계약 체결을 위해 계약부서에 의뢰합니다.
 2. 입찰공고
 계약부서: 공고기간은 추정가격에 따라 다음과 같습니다:
 추정가격 10억 원 이상: 40일
 추정가격 10억 원 미만 ~ 1억 원 이상: 20일
 추정가격 1억 원 미만: 10일
 긴급 또는 재공고 입찰: 제안서 제출 마감일 전일부터 기산하여 10일 전까지 공고 가능합니다.
 3. 평가위원 모집공고 및 추천의뢰
 발주부서: 평가위원을 모집하기 위한 공고를 내고, 관련 기관(협회, 학회, 대학 등)에 평가위원 추천을 의뢰합니다.
 4. 평가예비위원 명단 작성
 감사관실, 계약부서, 발주부서: 평가예비위원 명단을 작성하며, 이 과정에서 세 부서 간 협의를 통해 최종 명단을 확정합니다.
 평가예비위원 명부 통보: 평가위원회 개최 1일 전에 고유번호가 부여된 평가예비위원 명부를 발주부서에 통보합니다.
 5. 기술제안서 및 가격제안서 접수
 발주부서: 기술제안서를 수기로 접수합니다.
 계약부서: 가격제안서를 전자적으로 접수합니다.
 6. 기술제안서 평가위원회 개최
 평가위원 구성: 평가위원 중 20% 이상을 다른 시·도의 위원으로 선정합니다.
 평가 결과 공개: 위원회 개최 후 각 평가위원의 점수를 공개합니다.
 7. 제안서 평가결과 통보
 발주부서에서 계약부서로: 참여 업체별 평가점수를 통보합니다.
 8. 가격평가
 계약부서: 나라장터를 통해 기술제안서 평가 결과를 입력하고, 가격 개찰 및 평가를 실시합니다. 시스템에서 자동으로 평가됩니다.
 9. 협상대상자 통보
 계약부서에서 발주부서 및 해당 업체로: 평가결과 합산점수가 70점 이상인 자를 협상 적격자로 선정하고, 협상 순위와 함께 통보합니다.
 10. 협상
 발주부서: 협상 순위에 따라 일정을 조율하고 협상을 진행합니다.
 협상결과 통보: 협상 내용을 첨부하여 계약부서에 협상 결과를 통보합니다.
 11. 계약체결
 계약부서: 협상 결과에 따라 계약을 체결합니다.
 이러한 절차를 통해 부산광역시 공무원은 협상에 의한 계약을 효율적으로 진행할 수 있습니다. 추가적인 문의나 도움이 필요하시면 언제든지 말씀해 주세요!</t>
  </si>
  <si>
    <t>478_2505_회계재산담당관_업무매뉴얼_회계재산담당관_계약업무_참고자료회계재산담당관외부용.pdf</t>
  </si>
  <si>
    <t>4, 17</t>
  </si>
  <si>
    <t>♣ 협상에 의한 계약 : 계약이행의 전문성·기술성·창의성·긴급성, 안전성 등이 있는 경우 다수의 
 입찰자로부터 제안서와 가격입찰서를 제출받아 제안서를 평가 후 협상절차를 거쳐 가장 
 유리하다고 인정되는 자를 낙찰자로 결정하는 방식
 ※지식기반사업에 우선적용(엔지니어링, 정보통신, 디자인, 문화산업, 콘텐츠산업, 학술 
 등) 또한 협상 시 내용 가감 없이 제안가격 증감조정 불가 
 ※주의 : 제안서평가위원회 구성시 7인 이상 10인 이내로 구성. 예비위원 확보로 최소
 인원수 7인 확보 후 위원회 개최
 ※ 공사 계약의 경우 협상에 의한 계약 대상이 아님
 . 물품과 용역만이 협상에 의한 계약 
 대상이며, 또한, 단순 물품구매와 청소 용역 등 단순 노무 또한 계약 대상에서 제외
 17P 내용 일체</t>
  </si>
  <si>
    <t>협상에 의한 계약 절차 안내</t>
  </si>
  <si>
    <r>
      <rPr>
        <rFont val="맑은 고딕"/>
        <b/>
        <color theme="1"/>
        <sz val="11.0"/>
      </rPr>
      <t>472_2411_회계재산담당관_업무매뉴얼_한국지방재정공제회_2024년_개정판_물품계약_길라잡이한국지방재정공제회.pdf (p.174)" 
[11.14에 검색이 되지 않았음]</t>
    </r>
    <r>
      <rPr>
        <rFont val="맑은 고딕"/>
        <color theme="1"/>
        <sz val="11.0"/>
      </rPr>
      <t xml:space="preserve">
-----
</t>
    </r>
    <r>
      <rPr>
        <rFont val="맑은 고딕"/>
        <color rgb="FFFF0000"/>
        <sz val="11.0"/>
      </rPr>
      <t>2. 협상에 의한 계약절차
청크 내용 확인 필요 (페이지 잘림)</t>
    </r>
  </si>
  <si>
    <t>DRM 비밀번호 초기화 방법이 무엇인가요?</t>
  </si>
  <si>
    <t>DRM(자료유출방지시스템) 비밀번호 초기화 방법이 무엇인가요?</t>
  </si>
  <si>
    <t>DRM(디지털 저작권 관리) 비밀번호 초기화 방법은 다음과 같습니다.
DRM 서비스 제공자의 고객센터에 문의: DRM을 제공하는 서비스 제공자의 고객센터에 문의하여 비밀번호 초기화를 요청합니다.
계정 정보 확인: 초기화 요청 시 계정 정보(이메일 주소, 사용자 이름 등)를 제공해야 합니다.
보안 질문/답변 확인: 일부 서비스에서는 보안 질문/답변을 통해 본인 확인을 요구할 수 있습니다.
새로운 비밀번호 설정: 초기화가 완료되면 새로운 비밀번호를 설정해야 합니다.
이메일 확인: 초기화 요청 후, 제공된 이메일 주소로 비밀번호 초기화 확인 이메일을 확인합니다.
각 DRM 서비스 제공자마다 초기화 절차가 다를 수 있으므로, 해당 서비스의 고객센터나 도움말 문서를 참조하는 것이 좋습니다.</t>
  </si>
  <si>
    <t>DRM의 경우 부서관리자 매뉴얼(자료유출방지시스템 DRM v5.0)_비번초기화라는 매뉴얼이 있으므로
해당 매뉴얼(1~4P) 참고해서 답변하시면 됩니다.
기대답변
DRM 해결방법
① 부서관리자 사이트 접속 부서관리자 권한 부여된 사용자만 가능
http://99.1.81.71:9080/fed5 접속후 , 사용자 ID / 비밀번호 입력(자료유출방지시스템 ID/ 비번)
② 상단메뉴 공통설정 조직관리 클릭
③ 로그인 후 좌측 부서 내 사용자를 선택한 후 우측 상단 수정 클릭
④ 아래의 화면에서 초기화비밀번호 a12345 를 입력한 후 우측 상단 확인  클릭하여 수정 
   ★ 비번 초기화 후 사용자는 비밀번호 변경하여 로그인</t>
  </si>
  <si>
    <t>DRM 해결방법
 ① 부서관리자 사이트 접속 부서관리자 권한 부여된 사용자만 가능
 http://99.1.81.71:9080/fed5 접속후 , 사용자 ID / 비밀번호 입력(자료유출방지시스템 ID/ 비번)
 ② 상단메뉴 공통설정 조직관리 클릭
 ③ 로그인 후 좌측 부서 내 사용자를 선택한 후 우측 상단 수정 클릭
 ④ 아래의 화면에서 초기화비밀번호 a12345 를 입력한 후 우측 상단 확인 클릭하여 수정 
  ★ 비번 초기화 후 사용자는 비밀번호 변경하여 로그인</t>
  </si>
  <si>
    <t>331_2112_정보화정책과_업무매뉴얼_정보화정책과_부서관리자_매뉴얼자료유출방지시스템_DRM_v50_비번초기화.pdf</t>
  </si>
  <si>
    <t>1, 2, 3</t>
  </si>
  <si>
    <t>DRM 아이디 및 암호(비밀번호, 비번, 패스워드) 초기화 방법, DRM PC Client 아이디 및 비밀번호(비번, 암호, 패스워드) 분실 해결 방법, DRM 네트워크 접근제어 아이디 및 패스워드 찾기 매뉴얼, DRM 네트워크 인증 등 신규직원 컴퓨터 사용 가이드 및 매뉴얼(메뉴얼)</t>
  </si>
  <si>
    <t>SQG001</t>
  </si>
  <si>
    <r>
      <rPr>
        <rFont val="Arial"/>
        <b/>
        <color theme="1"/>
        <sz val="11.0"/>
      </rPr>
      <t>331_2112_정보화정책과_업무매뉴얼_정보화정책과_부서관리자_매뉴얼자료유출방지시스템_DRM_v50_비번초기화.pdf[1~4]</t>
    </r>
    <r>
      <rPr>
        <rFont val="Arial"/>
        <color theme="1"/>
        <sz val="11.0"/>
      </rPr>
      <t xml:space="preserve">
-----
</t>
    </r>
    <r>
      <rPr>
        <rFont val="Arial"/>
        <color rgb="FFFF0000"/>
        <sz val="11.0"/>
      </rPr>
      <t>해당 문서에 DRM 비밀번호 초기화가 걸릴 수 있도록 특정 구문 추가 필요 
(문서 내부에는 부서 사용자 비밀번호 초기화로 되어 있어 DRM과의 유사성을 찾지 못하고 있음 - 검색결과에 있기는 하나 유사도 낮음 [0.001이하]</t>
    </r>
  </si>
  <si>
    <t>장관표창 공적심사 의뢰 시 제출서류가 무엇인가요?</t>
  </si>
  <si>
    <t>장관표창을 수여받기 위한 공적심사를 의뢰하기 위해서 필요한 제출서류가 무엇인가요?</t>
  </si>
  <si>
    <t>장관표창 공적심사 의뢰 시 제출해야 하는 서류는 공적조서, 공무원 인사기록 요약서, 시장 표창 추천 동의서, 시장포상 체크리스트, 특별 공적 사유서입니다.
관련내용은 다음과 같습니다.
공적조서
공무원 인사기록 요약서
시장 표창 추천 동의서
시장포상 체크리스트
특별 공적 사유서
이러한 서류들은 공적심사 과정에서 포상 적격 여부를 심사하고 결정하는 데 활용됩니다.</t>
  </si>
  <si>
    <t>ㆍ2444_압축1_제출서류_목록표-hwp.pdf (p.1)</t>
  </si>
  <si>
    <t>근거자료는 시장 표창시 제출서류 목록입니다.</t>
  </si>
  <si>
    <t>기대답변 :
 1. 공적심사 의뢰 공문 (주무부서)
  ※ 감사장, 상장은 해당부서
 2. 제1공적심사위원회 의결서(사본) 및 심의기준
 3. 포상분야별 표창 대상자 선정 보고
 4. 정부포상, 장관표창 자체 추천 계획(정부포상 추천보고 시
 인사과 담당자 협조 득)
 5. 표창심의(추천)대상자 명단 및 공적개요
  ※ 포상관리시스템 입력 후 다운로드 받아 공문 첨부 제출
 ※ 포상관리시스템(ICT)에 입력이 불가한 정부포상(국무총리 이상), 장관표창은 공적 심사 의뢰 시 (서식3) 엑셀파일 작성 제출</t>
  </si>
  <si>
    <t>1282_2501_인사과_지침_인사과_부산광역시_시장포상_업무지침20230517_일부개정.pdf</t>
  </si>
  <si>
    <t>25</t>
  </si>
  <si>
    <t>&gt;&gt;&gt;   해당 내용의 경우 표에  O, X로 표기되어 있는 형태이며 답변생성 결과 확인 필요</t>
  </si>
  <si>
    <t>(2순위 - 정답 문서 찾아옴 / 추가작업 X)</t>
  </si>
  <si>
    <t>시장표창 공적심사 의뢰 시 제출서류가 무엇인가요?</t>
  </si>
  <si>
    <t>부산시장표창을 수여받기 위한 공적심사를 의뢰하기 위해서 필요한 제출서류가 무엇인가요?</t>
  </si>
  <si>
    <t>시장표창 공적심사 의뢰 시 제출해야 하는 서류는 공적심사 의뢰 공문, 제1공적심사위원회의결서 및 심의기준, 포상분야별 표창 수여 계획, 포상분야별 표창 대상자선정 보고, 정부포상, 장관표창 자체 추천 계획, 표창심의(추천)대상자 명단 및 공적개요, 감사장, 상장번호 부여 요청서, 공적조서, 인사기록요약서, 시장, 정부포상 추천동의서, 공적내용 사실조사 및 결격사유 확인서입니다.</t>
  </si>
  <si>
    <t>ㆍ771_압축붙임1_포상_공적심사_제출서류_안내-hwp.pdf (p.1)
https://busanai.busan.go.kr/download/771_압축붙임1_포상_공적심사_제출서류_안내-hwp.pdf
ㆍ4344_시장포상_업무지침20220101_일부개정-hwp.pdf (p.24)
https://busanai.busan.go.kr/download/4344_시장포상_업무지침20220101_일부개정-hwp.pdf</t>
  </si>
  <si>
    <t>근거자료는 맞으나 표를 못 읽는건지 의미 분석이 안되는건지 모르겠지만 잘못된 답변을 하고 있습니다. 시장표창의 경우 근거 자료를 기반으로 했을때 추천 계획, 감사장, 상장번호 부여 요청서 등은 필요 없습니다.</t>
  </si>
  <si>
    <t>기대답변 :
 시장표창(표창장, 감사장, 상장) 제출서류 목록입니다
 1. 공적심사 의뢰 공문(주무부서)
  ※ 감사장, 상장은 해당부서
 2. 제1공적심사위원회 의결서(사본) 및 심의기준
  - 표창장만 해당, 감사장과 상장은 미해당
 3. 포상분야별 표창 수여 계획(계획 수립 시 인사과 포상담당자 협조 득)
 4. 포상분야별 표창 대상자 선정 보고
 5. 표창심의(추천)대상자 명단 및 공적개요
 ※ 포상관리시스템 입력 후 다운로드 받아 공문 첨부 제출
  - 표창장만 해당, 감사장과 상장은 미해당
 6. 감사장, 상장번호 부여 요청서
 ※포상관리시스템 입력 후 다운 로드 받아 공문 첨부 제출
  - 표창장 미해당, 감사장과 상장만 해당</t>
  </si>
  <si>
    <r>
      <rPr>
        <rFont val="맑은 고딕"/>
        <b/>
        <color theme="1"/>
        <sz val="11.0"/>
      </rPr>
      <t>[온나라] 771_압축붙임1_포상_공적심사_제출서류_안내-hwp.pdf[1]</t>
    </r>
    <r>
      <rPr>
        <rFont val="맑은 고딕"/>
        <color theme="1"/>
        <sz val="11.0"/>
      </rPr>
      <t xml:space="preserve">
-----
&lt;공적심사 의뢰 시 제출서류&gt; &lt;table border="1" class="table table-striped table-hover"&gt;&lt;thead&gt;&lt;tr&gt;&lt;th&gt;구분&lt;/th&gt;&lt;th&gt;시장표창 표창장&lt;/th&gt;&lt;th&gt;시장표창 감사장(공적심사 불필요)&lt;/th&gt;&lt;th&gt;시장표창 상장(공적심사 불필요)&lt;/th&gt;&lt;th&gt;정부포상 및장관표창 정부포상&lt;/th&gt;&lt;th&gt;정부포상 및장관표창 장관표창&lt;/th&gt;&lt;/tr&gt;&lt;/thead&gt;&lt;tbody&gt;&lt;tr&gt;&lt;td&gt;1. 공적심사 의뢰 공문(주무부서)※ 감사장, 상장은 해당부서&lt;/td&gt;&lt;td&gt;○&lt;/td&gt;&lt;td&gt;○&lt;/td&gt;&lt;td&gt;○&lt;/td&gt;&lt;td&gt;○&lt;/td&gt;&lt;td&gt;○&lt;/td&gt;&lt;/tr&gt;&lt;tr&gt;&lt;td&gt;2. 제1공적심사위원회의결서(사본) 및 심의기준&lt;/td&gt;&lt;td&gt;○&lt;/td&gt;&lt;td&gt;×&lt;/td&gt;&lt;td&gt;×&lt;/td&gt;&lt;td&gt;○&lt;/td&gt;&lt;td&gt;○&lt;/td&gt;&lt;/tr&gt;&lt;tr&gt;&lt;td&gt;3. 포상분야별 표창 수여 계획(계획 수립 시인사과 포상담당자 협조 득)&lt;/td&gt;&lt;td&gt;○&lt;/td&gt;&lt;td&gt;○&lt;/td&gt;&lt;td&gt;○&lt;/td&gt;&lt;td&gt;×&lt;/td&gt;&lt;td&gt;×&lt;/td&gt;&lt;/tr&gt;&lt;tr&gt;&lt;td&gt;4. 포상분야별 표창 대상자선정 보고&lt;/td&gt;&lt;td&gt;○&lt;/td&gt;&lt;td&gt;○&lt;/td&gt;&lt;td&gt;○&lt;/td&gt;&lt;td&gt;○&lt;/td&gt;&lt;td&gt;○&lt;/td&gt;&lt;/tr&gt;&lt;tr&gt;&lt;td&gt;5. 정부포상, 장관표창자체 추천 계획(정부포상 추천보고 시인사과 담당자 협조 득)&lt;/td&gt;&lt;td&gt;×&lt;/td&gt;&lt;td&gt;×&lt;/td&gt;&lt;td&gt;×&lt;/td&gt;&lt;td&gt;○&lt;/td&gt;&lt;td&gt;○&lt;/td&gt;&lt;/tr&gt;&lt;tr&gt;&lt;td&gt;6. 표창심의(추천)대상자 명단및 공적개요※ 포상관리시스템 입력 후다운로드 받아 공문 첨부 제출&lt;/td&gt;&lt;td&gt;○&lt;/td&gt;&lt;td&gt;×&lt;/td&gt;&lt;td&gt;×&lt;/td&gt;&lt;td&gt;(서식3)작성 제출&lt;/td&gt;&lt;td&gt;(서식3)작성 제출&lt;/td&gt;&lt;/tr&gt;&lt;tr&gt;&lt;td&gt;7. 감사장, 상장번호 부여 요청서※포상관리시스템 입력 후 다운로드 받아 공문 첨부 제출&lt;/td&gt;&lt;td&gt;×&lt;/td&gt;&lt;td&gt;○&lt;/td&gt;&lt;td&gt;○&lt;/td&gt;&lt;td&gt;×&lt;/td&gt;&lt;td&gt;×&lt;/td&gt;&lt;/tr&gt;&lt;tr&gt;&lt;td&gt;8. 공적조서 (자체보관)&lt;/td&gt;&lt;td&gt;×&lt;/td&gt;&lt;td&gt;×&lt;/td&gt;&lt;td&gt;×&lt;/td&gt;&lt;td&gt;×&lt;/td&gt;&lt;td&gt;×&lt;/td&gt;&lt;/tr&gt;&lt;tr&gt;&lt;td&gt;9. 인사기록요약서(자체보관)&lt;/td&gt;&lt;td&gt;×&lt;/td&gt;&lt;td&gt;×&lt;/td&gt;&lt;td&gt;×&lt;/td&gt;&lt;td&gt;×&lt;/td&gt;&lt;td&gt;×&lt;/td&gt;&lt;/tr&gt;&lt;tr&gt;&lt;td&gt;10. 시장, 정부포상 추천동의서 (자체보관)&lt;/td&gt;&lt;td&gt;×&lt;/td&gt;&lt;td&gt;×&lt;/td&gt;&lt;td&gt;×&lt;/td&gt;&lt;td&gt;×&lt;/td&gt;&lt;td&gt;×&lt;/td&gt;&lt;/tr&gt;&lt;tr&gt;&lt;td&gt;11. 공적내용 사실조사 및결격사유 확인서 (자체보관)&lt;/td&gt;&lt;td&gt;×&lt;/td&gt;&lt;td&gt;×&lt;/td&gt;&lt;td&gt;×&lt;/td&gt;&lt;td&gt;×&lt;/td&gt;&lt;td&gt;×&lt;/td&gt;&lt;/tr&gt;&lt;/tbody&gt;&lt;/table&gt; ※ 포상관리시스템(ICT)에 입력이 불가한 정부포상(국무총리 이상), 장관표창은 공적 심사 의뢰 시 (서식3) 엑셀파일 작성 제출</t>
    </r>
  </si>
  <si>
    <r>
      <rPr>
        <rFont val="맑은 고딕"/>
        <b/>
        <color theme="1"/>
        <sz val="11.0"/>
      </rPr>
      <t>[온나라] 4148_압축붙임1_포상_공적심사_제출서류_안내-hwp.pdf[1]</t>
    </r>
    <r>
      <rPr>
        <rFont val="맑은 고딕"/>
        <color theme="1"/>
        <sz val="11.0"/>
      </rPr>
      <t xml:space="preserve">
-----
&lt;공적심사 의뢰 시 제출서류&gt; &lt;table border="1" class="table table-striped table-hover"&gt;&lt;thead&gt;&lt;tr&gt;&lt;th&gt;구분&lt;/th&gt;&lt;th&gt;시장표창 표창장&lt;/th&gt;&lt;th&gt;시장표창 감사장(공적심사 불필요)&lt;/th&gt;&lt;th&gt;시장표창 상장(공적심사 불필요)&lt;/th&gt;&lt;th&gt;정부포상 및장관표창 정부포상&lt;/th&gt;&lt;th&gt;정부포상 및장관표창 장관표창&lt;/th&gt;&lt;/tr&gt;&lt;/thead&gt;&lt;tbody&gt;&lt;tr&gt;&lt;td&gt;1. 공적심사 의뢰 공문(주무부서)※ 감사장, 상장은 해당부서&lt;/td&gt;&lt;td&gt;○&lt;/td&gt;&lt;td&gt;○&lt;/td&gt;&lt;td&gt;○&lt;/td&gt;&lt;td&gt;○&lt;/td&gt;&lt;td&gt;○&lt;/td&gt;&lt;/tr&gt;&lt;tr&gt;&lt;td&gt;2. 제1공적심사위원회의결서(사본) 및 심의기준&lt;/td&gt;&lt;td&gt;○&lt;/td&gt;&lt;td&gt;×&lt;/td&gt;&lt;td&gt;×&lt;/td&gt;&lt;td&gt;○&lt;/td&gt;&lt;td&gt;○&lt;/td&gt;&lt;/tr&gt;&lt;tr&gt;&lt;td&gt;3. 포상분야별 표창 수여 계획(계획 수립 시인사과 포상담당자 협조 득)&lt;/td&gt;&lt;td&gt;○&lt;/td&gt;&lt;td&gt;○&lt;/td&gt;&lt;td&gt;○&lt;/td&gt;&lt;td&gt;×&lt;/td&gt;&lt;td&gt;×&lt;/td&gt;&lt;/tr&gt;&lt;tr&gt;&lt;td&gt;4. 포상분야별 표창 대상자선정 보고&lt;/td&gt;&lt;td&gt;○&lt;/td&gt;&lt;td&gt;○&lt;/td&gt;&lt;td&gt;○&lt;/td&gt;&lt;td&gt;○&lt;/td&gt;&lt;td&gt;○&lt;/td&gt;&lt;/tr&gt;&lt;tr&gt;&lt;td&gt;5. 정부포상, 장관표창자체 추천 계획(정부포상 추천보고 시인사과 담당자 협조 득)&lt;/td&gt;&lt;td&gt;×&lt;/td&gt;&lt;td&gt;×&lt;/td&gt;&lt;td&gt;×&lt;/td&gt;&lt;td&gt;○&lt;/td&gt;&lt;td&gt;○&lt;/td&gt;&lt;/tr&gt;&lt;tr&gt;&lt;td&gt;6. 표창심의(추천)대상자 명단및 공적개요※ 포상관리시스템 입력 후다운로드 받아 공문 첨부 제출&lt;/td&gt;&lt;td&gt;○&lt;/td&gt;&lt;td&gt;×&lt;/td&gt;&lt;td&gt;×&lt;/td&gt;&lt;td&gt;(서식3)작성 제출&lt;/td&gt;&lt;td&gt;(서식3)작성 제출&lt;/td&gt;&lt;/tr&gt;&lt;tr&gt;&lt;td&gt;7. 감사장, 상장번호 부여 요청서※포상관리시스템 입력 후 다운로드 받아 공문 첨부 제출&lt;/td&gt;&lt;td&gt;×&lt;/td&gt;&lt;td&gt;○&lt;/td&gt;&lt;td&gt;○&lt;/td&gt;&lt;td&gt;×&lt;/td&gt;&lt;td&gt;×&lt;/td&gt;&lt;/tr&gt;&lt;tr&gt;&lt;td&gt;8. 공적조서 (자체보관)&lt;/td&gt;&lt;td&gt;×&lt;/td&gt;&lt;td&gt;×&lt;/td&gt;&lt;td&gt;×&lt;/td&gt;&lt;td&gt;×&lt;/td&gt;&lt;td&gt;×&lt;/td&gt;&lt;/tr&gt;&lt;tr&gt;&lt;td&gt;9. 인사기록요약서(자체보관)&lt;/td&gt;&lt;td&gt;×&lt;/td&gt;&lt;td&gt;×&lt;/td&gt;&lt;td&gt;×&lt;/td&gt;&lt;td&gt;×&lt;/td&gt;&lt;td&gt;×&lt;/td&gt;&lt;/tr&gt;&lt;tr&gt;&lt;td&gt;10. 시장, 정부포상 추천동의서 (자체보관)&lt;/td&gt;&lt;td&gt;×&lt;/td&gt;&lt;td&gt;×&lt;/td&gt;&lt;td&gt;×&lt;/td&gt;&lt;td&gt;×&lt;/td&gt;&lt;td&gt;×&lt;/td&gt;&lt;/tr&gt;&lt;tr&gt;&lt;td&gt;11. 공적내용 사실조사 및결격사유 확인서 (자체보관)&lt;/td&gt;&lt;td&gt;×&lt;/td&gt;&lt;td&gt;×&lt;/td&gt;&lt;td&gt;×&lt;/td&gt;&lt;td&gt;×&lt;/td&gt;&lt;td&gt;×&lt;/td&gt;&lt;/tr&gt;&lt;/tbody&gt;&lt;/table&gt; ※ 포상관리시스템(ICT)에 입력이 불가한 정부포상(국무총리 이상), 장관표창은 공적 심사 의뢰 시 (서식3) 엑셀파일 작성 제출</t>
    </r>
  </si>
  <si>
    <t>일상경비 교부대상 통계목이 무엇인가요?</t>
  </si>
  <si>
    <t>일상경비로 교부가 가능한 대상에 대한 예산 통계항목이 무엇인가요?</t>
  </si>
  <si>
    <t>일상경비 교부 대상 통계 목은 “306-01 출연금”, “307-05 민간위탁금”, “402-03 민간대행사업비”, “308-10 공기관 등에 대한 경상적 대행사업비”, “403-02 공기업 등에 대한 자본적 대행사업비”, “309-01 공사공단 경상전출금”, "404-01 공사공단 자본전출금"입니다.
관련내용은 다음과 같습니다.
“지방재정법” 제3조에 따르면 지방자치단체는 재정을 건전하고 효율적으로 운영하여야 한다고 되어 있습니다.
“지방계약법” 제9조, 같은 법 시행령 제25조, 제30조 및 “지방자치단체 입찰 및 계약 집행기준” 제5장 제3절 수의계약 대상과 운영에 관한 규정에 따라 수의계약 대상과 운영에 대한 기준이 명시되어 있습니다.
이러한 규정에 따라 일상경비 교부 대상 통계 목은 위에서 언급한 7가지 항목으로 지정되어 있습니다</t>
  </si>
  <si>
    <t>ㆍ84030_보건환경연구원_종합감사_보고서공개용.pdf (p.18, 20)
https://busanai.busan.go.kr/download/84030_보건환경연구원_종합감사_보고서공개용.pdf
ㆍ477_2505_회계재산담당관_업무매뉴얼_메타넷디지털_일반지출_절차_및_삭제_회계재산담당관_경리팀.pdf (p.31)
https://busanai.busan.go.kr/download/477_2505_회계재산담당관_업무매뉴얼_메타넷디지털_일반지출_절차_및_삭제_회계재산담당관_경리팀.pdf</t>
  </si>
  <si>
    <t>근거자료랑 답변 둘다 오류입니다.</t>
  </si>
  <si>
    <t>해당 기대답변은 범정부 AI 네이버로 생성된 답변입니다.
 기대답변 :
 일상경비로 교부가 가능한 대상에 대한 예산 통계항목은 다음과 같습니다:
 201 일반운영비
 01. 사무관리비: 건당 천만원 미만의 경비 (단, 임차료는 건당 300만원 미만)
 02. 공공운영비: 공공요금 및 제세 (기관단위요금 성격 제외), 차량·선박비 (건당 300만원 미만)
 03. 행사운영비: 건당 천만원 미만의 경비 (단, 임차료는 건당 300만원 미만)
 202 여비
 01. 국내여비: 전체 예산액 (1회 교부한도: 1천만원)
 02. 월액여비: 전체 예산액 (1회 교부한도: 1천만원)
 203 업무추진비: 전체 예산액 (교부한도 제한없음)
 301 일반보전금
 11. 행사실비지원금: 건당 천만원 미만의 경비 (교부한도 제한없음)
 외국에서 지급하는 경비(불가피한 현금 지급의 경우): 건당 천만원 미만의 경비 (교부한도 제한없음)
 교부 제외대상:
 기관 전체에 공통적으로 소요되는 경비
 국외업무여비, 국제화여비, 공무원교육여비
 일반운영비 중 피복비
 집행빈도가 낮은 경비 (재료비, 연구개발비, 자산취득비 등)</t>
  </si>
  <si>
    <t>1257_2412_회계재산담당관_공문_회계재산담당관_2025년도_일상경비_교부운영계획.pdf</t>
  </si>
  <si>
    <t>5</t>
  </si>
  <si>
    <t>5P 전문 활용
 201 일반운영비
 01. 사무관리비
 - 교부범위
  ✓ 건당 천만원 미만의 경비
  ※ 단, 임차료는 건당 300만원 미만(소액) 집행금액
 - 교부한도(1회) : 제한없음
 02. 공공운영비
 - 교부범위
  ✓ 공공요금 및 제세
  ※ 단, 기관단위요금 성격 제외
  ✓ 차량․선박비
  ※ 단, 건당 300만원 미만(소액) 집행금액
 - 교부한도(1회) : 제한없음
 03. 행사운영비
 - 교부범위
  ✓ 건당 천만원 미만의 경비
  ※ 단, 임차료는 건당 300만원 미만(소액) 집행금액
 - 교부한도(1회) : 제한없음
 202 여비
 01. 국내여비
 - 교부범위
  ✓ 전체 예산액
 - 교부한도(1회) : 1천만원
 02. 월액여비
 - 교부범위
  ✓ 전체 예산액
 - 교부한도(1회) : 1천만원
 203 업무추진비
 전체 통계목
 - 교부범위
  ✓ 전체 예산액
 - 교부한도(1회) : 제한없음
 301 일반보전금
 11. 행사실비지원금
 - 교부범위
  ✓ 건당 천만원 미만의 경비
 - 교부한도(1회) : 제한없음
 외국에서 지급하는 경비(불가피한 현금 지급의 경우)
 해당 통계목
 - 교부범위
  ✓ 건당 천만원 미만의 경비
 - 교부한도(1회) : 제한없음
  ※ 교부 제외대상
  - 기관 전체에 공통적으로 소요되는 경비(예산담당관의 기관운영공통경비 등)
  - 국외업무여비, 국제화여비, 공무원교육여비
  - 일반운영비 중 피복비
  - 집행빈도가 낮은 경비(재료비, 연구개발비, 자산취득비 등) 제외 / ‘23년도 부터</t>
  </si>
  <si>
    <t>일상경비 교부대상 통계목 종류 안내, 일상경비 교부 범위</t>
  </si>
  <si>
    <r>
      <rPr>
        <rFont val="맑은 고딕"/>
        <b/>
        <color theme="1"/>
        <sz val="11.0"/>
      </rPr>
      <t>477_2505_회계재산담당관_업무매뉴얼_메타넷디지털_일반지출_절차_및_삭제_회계재산담당관_경리팀.pdf[10]</t>
    </r>
    <r>
      <rPr>
        <rFont val="맑은 고딕"/>
        <color theme="1"/>
        <sz val="11.0"/>
      </rPr>
      <t xml:space="preserve">
</t>
    </r>
    <r>
      <rPr>
        <rFont val="맑은 고딕"/>
        <color theme="1"/>
        <sz val="11.0"/>
      </rPr>
      <t xml:space="preserve">-----
지출관련 시스템 개선사항 및 유의사항 □ 내부결재 시스템 도입(‘20년 5월) - 내부 전자결재를 진행하기 위해 전자결재 → 전자결재 → 결재관리 →결재경로관리 화면에서 기안자가 필요한 결재경로를 등록해야 함. □ e호조와 전자결재시스템 연계 기능을 활용한 품의결재 연계 시행(‘19년 4월) - 전자결재 연계 제외 대상 지출 </t>
    </r>
    <r>
      <rPr>
        <rFont val="맑은 고딕"/>
        <color rgb="FFFF0000"/>
        <sz val="11.0"/>
      </rPr>
      <t>&lt;table border="1" class="table table-striped table-hover"&gt;&lt;thead&gt;&lt;tr&gt;&lt;th&gt;유형&lt;/th&gt;&lt;th&gt;대상 통계목&lt;/th&gt;&lt;/tr&gt;&lt;/thead&gt;&lt;tbody&gt;&lt;tr&gt;&lt;td&gt;직무수행경비&lt;/td&gt;&lt;td&gt;ᆞ204-01 직책급업무수행경비 ᆞ204-03 특정업무경비 ᆞ204-02 직급보조비&lt;/td&gt;&lt;/tr&gt;&lt;tr&gt;&lt;td&gt;공공요금&lt;/td&gt;&lt;td&gt;ᆞ201-02 공공운영비 ᆞ401-03 시설부대비&lt;/td&gt;&lt;/tr&gt;&lt;tr&gt;&lt;td&gt;제세공과금&lt;/td&gt;&lt;td&gt;ᆞ201-02 공공운영비 ᆞ401-03 시설부대비&lt;/td&gt;&lt;/tr&gt;&lt;tr&gt;&lt;td&gt;인건비&lt;/td&gt;&lt;td&gt;ᆞ101-01 보수 ᆞ101-02 기타직보수&lt;/td&gt;&lt;/tr&gt;&lt;tr&gt;&lt;td&gt;여비&lt;/td&gt;&lt;td&gt;ᆞ202-01 국내여비 ᆞ202-02 월액여비&lt;/td&gt;&lt;/tr&gt;&lt;/tbody&gt;&lt;/table&gt;</t>
    </r>
    <r>
      <rPr>
        <rFont val="맑은 고딕"/>
        <color theme="1"/>
        <sz val="11.0"/>
      </rPr>
      <t xml:space="preserve"> - 전자결재 제외 품의유형 : 일상경비교부 □ 타 시스템 연계가 가능한 경우(인건비, 복지급여, 도로보상, 재난지원금, 보육정보, 민간보조금 등) 지 출품의등록이 아닌 각 연계품의 화면을 통해 지출품의 자료 등록. - 보수(101-01) 과목에 대한 지출은 “급여품의등록” 화면에서 작업함. - 공공민간보조금 지출품의는 공공민간(e나라도움)품의등록을 통해 작업함(‘17년 1월) □ 일상경비교부 시 품의유형을 “일반”으로 잘못 선택해 지급명령 처리한 경우 “품의유형변경” 화면에서 품의유형을 “일상경비교부” 로 수정해야 함. □ 「19년 개인정보의 안정성 확보조치 기준」 개정에 따라 개인정보를 다운로드할 때 사유 확인이 필요. 이를 위해 개인정보 다운로드 사유관리 및 조회 기능과 개인정보가 포함되는 작업을 할 때의 접속기록 을 점검할 수 있도록 접속기록 조회 기능이 추가됨(20년 8,9월) - 개인정보를 다운 받을 수 있는 모든 화면에서 정보 다운로드 시 아래의 팝업이 나타남. - “기준정보→시스템운영→통계자료→개인정보열람내역(99321)” 화면에서 개인정보 입력 및 열람내역 이 관리되며 “기준정보→시스템운영→통계자료→개인정보다운로드사유조회(99322)” 화면에서 개인정 보 다운로드 시 입력했던 사유를 조회할 수 있음 - 6 -</t>
    </r>
  </si>
  <si>
    <r>
      <rPr>
        <rFont val="맑은 고딕"/>
        <b/>
        <color theme="1"/>
        <sz val="11.0"/>
      </rPr>
      <t>469_2406_회계재산담당관_법령_행정안전부_지방자치단체_회계관리에_관한_훈령_00.pdf[250]</t>
    </r>
    <r>
      <rPr>
        <rFont val="맑은 고딕"/>
        <color theme="1"/>
        <sz val="11.0"/>
      </rPr>
      <t xml:space="preserve">
</t>
    </r>
    <r>
      <rPr>
        <rFont val="맑은 고딕"/>
        <color rgb="FFFF0000"/>
        <sz val="11.0"/>
      </rPr>
      <t>-----
[표형식임 - 실제 내용 없음/답변활용X]</t>
    </r>
  </si>
  <si>
    <t>일상경비 교부범위가 어떻게 되나요?</t>
  </si>
  <si>
    <t>일상경비로 교부가 가능한 예산 범위에 대해 알려주세요</t>
  </si>
  <si>
    <t>일상경비 교부 범위는 여비, 일반운영비, 다수인에게 소액을 직접 지급하는 경비, 외국에서 지급하는 경비, 각종 수당, 사례금 및 업무추진비, 재단 주사무소와 떨어져 있거나 장소가 일정하지 아니한 사무소의 경비입니다.</t>
  </si>
  <si>
    <t>ㆍ1120_압축부산글로벌도시재단_규정집20250409.pdf (p.193)
https://busanai.busan.go.kr/download/1120_압축부산글로벌도시재단_규정집20250409.pdf
ㆍ1115_압축규정집202544.pdf (p.487)
https://busanai.busan.go.kr/download/1115_압축규정집202544.pdf</t>
  </si>
  <si>
    <t>근거자료 오류, 답변 오류입니다.</t>
  </si>
  <si>
    <t>9번 질문과 동일하다가 판단되어 동일한 답변 작성드립니다.
 해당 기대답변은 범정부 AI 네이버로 생성된 답변입니다.
 기대답변 :
 일상경비로 교부가 가능한 대상에 대한 예산 통계항목은 다음과 같습니다:
 201 일반운영비
 01. 사무관리비: 건당 천만원 미만의 경비 (단, 임차료는 건당 300만원 미만)
 02. 공공운영비: 공공요금 및 제세 (기관단위요금 성격 제외), 차량·선박비 (건당 300만원 미만)
 03. 행사운영비: 건당 천만원 미만의 경비 (단, 임차료는 건당 300만원 미만)
 202 여비
 01. 국내여비: 전체 예산액 (1회 교부한도: 1천만원)
 02. 월액여비: 전체 예산액 (1회 교부한도: 1천만원)
 203 업무추진비: 전체 예산액 (교부한도 제한없음)
 301 일반보전금
 11. 행사실비지원금: 건당 천만원 미만의 경비 (교부한도 제한없음)
 외국에서 지급하는 경비(불가피한 현금 지급의 경우): 건당 천만원 미만의 경비 (교부한도 제한없음)
 교부 제외대상:
 기관 전체에 공통적으로 소요되는 경비
 국외업무여비, 국제화여비, 공무원교육여비
 일반운영비 중 피복비
 집행빈도가 낮은 경비 (재료비, 연구개발비, 자산취득비 등)</t>
  </si>
  <si>
    <r>
      <rPr>
        <rFont val="맑은 고딕"/>
        <b/>
        <color theme="1"/>
        <sz val="11.0"/>
      </rPr>
      <t xml:space="preserve">21_2501_공공기관담당관_법령_행정안전부_지방공기업법_시행령.pdf[7] </t>
    </r>
    <r>
      <rPr>
        <rFont val="맑은 고딕"/>
        <color theme="1"/>
        <sz val="11.0"/>
      </rPr>
      <t xml:space="preserve">
-----
지방공기업법 시행령 제30조(계좌대체의 방법에 의한 지급) 관리자는 출납취급금융회사에 예금계좌를 두고 있는 채권자로부터 그 지급의 신 청이 있을 때에는 해당 출납취급금융회사에 통지하여 계좌대체의 방법으로 지급할 수 있다. &lt;개정 2013. 12. 4.&gt; 제31조(일상경비의 지급등) 1지방직영기업의 기업출납원은 다음 각호의 경비로서 그 성질상 현금지급을 하지 아니하 면 업무수행에 지장을 초래할 우려가 있는 경우에는 필요한 자금을 일상경비출납원에게 교부할 수 있다. &lt;개정 2002. 6. 19., 2008. 7. 17.&gt; 1. 여비 2. 일반운영비 3. 지출원이 없는 부서의 경비 4. 장소가 일정하지 아니한 사무소의 경비 5. 각 부서가 시행하는 공사ᆞ제조 또는 조림에 소요되는 경비 6. 다수인에게 소액을 직접 지급하는 경비 7. 외국에서 지급하는 경비 8. 선박운항에 소요되는 경비 9. 지방채증권 또는 차입금의 원리금의 지급 10. 당해지방자치단체의 관할구역외에서 지급하는 경비. 다만, 도의 경우에는 도청이 소재하는 시의 관할구역밖에 서 소요되는 운반경비를 포함한다. 11. 공무원에게 지급하는 급여ᆞ상여금과 기타직에게 지급하는 보수ᆞ수당ᆞ정액수당 및 정액의 복리후생비 12. 각종 수당ᆞ사례금 및 업무추진비 13. 각 부서에서 필요한 부식물의 매입경비 또는 공사ᆞ시험ᆞ검사에 소요되는 재료의 구입비 2제1항 각호의 경비는 다음 금액을 초과하여 교부할 수 없다. 다만, 제1항제2호ᆞ제3호ᆞ제7호ᆞ제9호ᆞ제11호 및 제12호의 경비는 교부금액의 제한을 받지 아니한다.&lt;개정 2002. 6. 19., 2008. 7. 17.&gt; 1. 제1항제1호ᆞ제4호ᆞ제6호ᆞ제8호ᆞ제10호 및 제13호의 경우 : 1천만원 2. 삭제&lt;2008. 7. 17.&gt; 3. 제1항제5호의 경우 : 2천만원 3제2항의 규정에 의한 자금은 다음 각호의 기준에 따라 교부하여야 한다. 1. 부서의 일상경비 : 제2항의 규정에 의한 범위안에서 월 1회 교부 2. 수시로 교부하는 비용 : 소요금액을 예정하여 사무상 지장이 없는 범위안에서 가능한 한 분할하여 교부 4관리자는 제1항의 규정에 의한 일상경비의 지급의 원인이 되는 행위를 할 공무원을 임명하여야 한다. 다만, 임시 적으로 일상경비를 지급하는 경우에는 그러하지 아니하다. 제32조(지정금융회사에 대한 검사) 1관리자는 지정금융회사에 대하여 제28조에 따른 계약에서 정하는 바에 따라 연 1회 이상 지방직영기업의 업무에 관계되는 출납상황을 검사하여야 한다. &lt;개정 2013. 12. 4.&gt; 2관리자는 제1항에 따른 검사를 위하여 필요한 경우에는 지정금융회사에 관계 장부와 그 밖의 관련 자료의 제출을 요구할 수 있다.&lt;개정 2013. 12. 4.&gt; [제목개정 2013. 12. 4.] 제33조(유가증권에 의한 납부) 1지방직영기업에 대한 납부의무자는 그 납부할 금액을 현금에 갈음하여 유가증권으로 납부할 수 있다. 2제1항의 경우에 현금에 갈음할 수 있는 유가증권의 종류ᆞ납부절차 기타 필요한 사항은 당해지방자치단체의 규 칙으로 정한다. 제34조(계좌대체의 방법에 의한 납부) 지방직영기업에 대한 납부의무자는 지정금융회사에 계좌대체의 방법으로 그 금 액을 납부할 수 있다. &lt;개정 2013. 12. 4.&gt; 법제처 7 국가법령정보센터</t>
    </r>
  </si>
  <si>
    <r>
      <rPr>
        <rFont val="맑은 고딕"/>
        <b/>
        <color theme="1"/>
        <sz val="11.0"/>
      </rPr>
      <t>469_2406_회계재산담당관_법령_행정안전부_지방자치단체_회계관리에_관한_훈령_00.pdf[213, 214, 250]</t>
    </r>
    <r>
      <rPr>
        <rFont val="맑은 고딕"/>
        <color theme="1"/>
        <sz val="11.0"/>
      </rPr>
      <t xml:space="preserve">
</t>
    </r>
    <r>
      <rPr>
        <rFont val="맑은 고딕"/>
        <color rgb="FFFF0000"/>
        <sz val="11.0"/>
      </rPr>
      <t>-----
[표형식임 - 실제 내용 없음/답변활용X]</t>
    </r>
  </si>
  <si>
    <t>DRM 암호 초기화 어떻게 하나요?</t>
  </si>
  <si>
    <t>DRM(자료유출방지시스템) 암호(비밀번호) 초기화는 어떻게 하나요?</t>
  </si>
  <si>
    <t>DRM 암호 초기화 방법은 다음과 같습니다.
DRM 서비스를 제공하는 업체의 고객센터에 문의하여 암호 초기화 절차를 안내받습니다.
해당 업체의 웹사이트나 애플리케이션을 통해 암호 초기화 요청을 할 수 있습니다.
일부 업체는 이메일이나 전화로 암호 초기화를 요청할 수도 있습니다.
암호 초기화 요청 시, 본인 확인을 위한 신분증이나 인증서 등의 추가 정보가 필요할 수 있습니다.
암호 초기화 후에는 새로운 암호를 설정해야 합니다.
각 DRM 서비스 업체마다 절차가 다를 수 있으므로, 해당 업체의 고객센터나 공식 웹사이트를 참고하여 정확한 방법을 확인하시기 바랍니다.</t>
  </si>
  <si>
    <r>
      <rPr>
        <rFont val="맑은 고딕"/>
        <b/>
        <color theme="1"/>
        <sz val="11.0"/>
      </rPr>
      <t>331_2112_정보화정책과_업무매뉴얼_정보화정책과_부서관리자_매뉴얼자료유출방지시스템_DRM_v50_비번초기화.pdf[1~4]</t>
    </r>
    <r>
      <rPr>
        <rFont val="맑은 고딕"/>
        <color theme="1"/>
        <sz val="11.0"/>
      </rPr>
      <t xml:space="preserve">
-----
</t>
    </r>
    <r>
      <rPr>
        <rFont val="맑은 고딕"/>
        <color rgb="FFFF0000"/>
        <sz val="11.0"/>
      </rPr>
      <t>해당 문서에 DRM 비밀번호 초기화가 걸릴 수 있도록 특정 구문 추가 필요 
(문서 내부에는 부서 사용자 비밀번호 초기화로 되어 있어 DRM과의 유사성을 찾지 못하고 있음 - 검색결과에 있기는 하나 유사도 낮음 [0.001이하]</t>
    </r>
  </si>
  <si>
    <t>무료주차 신청 절차는?</t>
  </si>
  <si>
    <t>부산시청 주차장에 무료로 주차하기 위한 신청 절차에 대해 알려주세요</t>
  </si>
  <si>
    <t>부산광역시에서 제공하는 무료주차 신청 절차는 다음과 같습니다.
주최자 무료주차 신청서 작성: "주최자 무료주차 신청서"를 작성합니다. 이 신청서에는 행사명, 행사 장소, 주차 기간, 등록 기준 등의 정보가 포함되어야 합니다.
제출처 및 차량 전산 등록처 제출: 작성한 신청서를 해당실(전시장마케팅실 또는 컨벤션마케팅실)에 제출합니다.
문의: 안전지원실(주차관리실)에 문의하여 신청 절차에 대한 안내를 받을 수 있습니다.
차량 전산 등록: 해당실(전시장마케팅실 또는 컨벤션마케팅실)에서 신청서의 이상 유무를 확인한 후 안전지원실로 차량 전산 등록을 요청합니다.
등록 완료: 안전지원실에서 차량 전산 등록을 완료하면 무료 주차가 가능합니다.
이 절차를 통해 행사 주최자는 부산광역시에서 제공하는 무료 주차 혜택을 받을 수 있습니다.</t>
  </si>
  <si>
    <t>ㆍ912_압축벡스코_규정집202525.pdf (p.233)
https://busanai.busan.go.kr/download/912_압축벡스코_규정집202525.pdf</t>
  </si>
  <si>
    <t>잘못된 관련문서로 답변합니다. 답변 내용도 오류로 나옵니다.
제공된 자료 중에 직원주차장 이용 안내라는 문서가 있음에도 불구하고 
벡스코 자료로 답변을 합니다.</t>
  </si>
  <si>
    <t>해당 질문은 1일 무료주차에 좀 더 가까운 질의로 보여서
 해당 질문에 대한 답변은 미답변 처리 하시면 됩니다.
 직원 주차 등록 관련 질문이 아닐 것으로 판단됩니다.</t>
  </si>
  <si>
    <r>
      <rPr>
        <rFont val="맑은 고딕"/>
        <b/>
        <color theme="1"/>
        <sz val="11.0"/>
      </rPr>
      <t>409_2505_총무과_주요질문사항_직원주차장_이용_안내.pdf[1]</t>
    </r>
    <r>
      <rPr>
        <rFont val="맑은 고딕"/>
        <color theme="1"/>
        <sz val="11.0"/>
      </rPr>
      <t xml:space="preserve">
-----
</t>
    </r>
    <r>
      <rPr>
        <rFont val="맑은 고딕"/>
        <color rgb="FFFF0000"/>
        <sz val="11.0"/>
      </rPr>
      <t xml:space="preserve">[무료주차장 관련 정보 없음]
</t>
    </r>
    <r>
      <rPr>
        <rFont val="맑은 고딕"/>
        <color theme="1"/>
        <sz val="11.0"/>
      </rPr>
      <t xml:space="preserve">-----
총무과 주차장 등록 방법 및 이용요금, 요일제 안내 
1. 직원 정기권 등록 방법?
2. 승용차 요일제 신청방법?
3. 출입구 전광판에 "기간만료일"문구가 뜨면
4. 주차장 이용시간은? </t>
    </r>
  </si>
  <si>
    <t>보도자료 작성 기한은?</t>
  </si>
  <si>
    <t>보도자료를 배포하려고 하는데 작성 기한에 대해 알려주세요</t>
  </si>
  <si>
    <t xml:space="preserve">부산광역시 보도자료 작성 기한은 문서에서 명시되어 있지 않습니다. 다만, 재난수습홍보 기능에서 언론대응, 재난방송, 국민행동요령 및 주의사항 등 홍보, 전광판 및 언론매체를 통한 폭염대비시민행동요령 전파, 폭염특보 상황 및 장기예보 상황, 언론 모니터링 및 오보 대응, 보도자료 작성 및 배포, 재난방송 및 보도자료 작성·배포 지원, 브리핑 및 취재지원 등의 내용이 포함되어 있습니다. </t>
  </si>
  <si>
    <t>제출 자료중에는 보도자료 작성 기한에 대한 내용이 없어서 
첫줄만 나오면 될 거 같습니다. 뒤에 내용은 오류로 보입니다.</t>
  </si>
  <si>
    <t>기대답변 :
  a. (배포 D-7~10) 배포 예정 보도자료 목록 취합 (보도지원팀 → 실국본부)
  b. (배포 D-3) 보도자료 초안 작성·제출 (담당부서 → 보도지원팀 담당자)
  * 작성참고 : https://www.busan.go.kr/nbtnewsBU
  ※ 실·국·본부별 보도지원팀 담당자 명단
  c. (배포 D-2~1) 보도자료 최종 확정 (검토본 작성·회신, 부서확인)</t>
  </si>
  <si>
    <t>1284_2512_부산시_업무관련_FAQ문서.pdf</t>
  </si>
  <si>
    <t>4</t>
  </si>
  <si>
    <t>4. (참고) 시정 보도자료 정기배포 프로세스
  a. (배포 D-7~10) 배포 예정 보도자료 목록 취합 (보도지원팀 → 실국본부)
  b. (배포 D-3) 보도자료 초안 작성·제출 (담당부서 → 보도지원팀 담당자)
  * 작성참고 : https://www.busan.go.kr/nbtnewsBU
  ※ 실·국·본부별 보도지원팀 담당자 명단
  c. (배포 D-2~1) 보도자료 최종 확정 (검토본 작성·회신, 부서확인)
  d. (배포 D-day)
  가. 배포일(월~금, 일) 오전 07시 市 보도자료 언론사 일괄 배포 (이메일 발송, 홈페이지 게시 등) 
  * 정기배포 시간 외 배포는 실국 보도지원팀 담당자와 사전 협의 必
  나. 배포 이후 언론사별 보도 계획에 따른 언론보도 진행
  - (통상 보도시점) 인터넷 언론 : 배포일 주간 / 방송사 : 배포일 저녁·익일 아침 / 신문 지면 : 배포일 익일 조간</t>
  </si>
  <si>
    <t>보도자료 작성 기한 및 제출 기한 안내, 보도자료 배포 과정, 보도 자료 배포 프로세스</t>
  </si>
  <si>
    <t>인사고충 신청을 하려고 하는데 방법은?</t>
  </si>
  <si>
    <t>인사고충을 신청하려고 하는데 절차나 방법 등에 대해 알려주세요</t>
  </si>
  <si>
    <t>부산광역시에서 인사고충 신청을 하려면 부산시보 고시공고, 자치법규정보시스템, 인사과를 통해 신청할 수 있습니다.
관련내용은 다음과 같습니다.
부산시보 고시공고: 법령 등에 따라 공보에 게재하는 고시공고 사항은 “부산시보 고시공고” 메뉴에서 열람하실 수 있습니다.
자치법규정보시스템: 입법예고와 같은 정보를 확인할 수 있는 시스템입니다.
인사과: 직접 방문하여 인사고충 상담을 신청할 수 있습니다. 담당자 연락처는 051-888-1972입니다.</t>
  </si>
  <si>
    <t>ㆍ75839_부산광역시_공무원_인사_규칙_일부개정_입법예고.pdf (p.1)
https://busanai.busan.go.kr/download/75839_부산광역시_공무원_인사_규칙_일부개정_입법예고.pdf
ㆍ7707_2022-115_부산광역시_공무원_인사_규칙_일부개정규칙안_입법예고.pdf (p.1)
https://busanai.busan.go.kr/download/7707_2022-115_부산광역시_공무원_인사_규칙_일부개정규칙안_입법예고.pdf</t>
  </si>
  <si>
    <t>입법 예고는 근거 자료로 활용하기에는 좀 어렵습니다.
왜냐하면 입법을 한다는 예고문이지 실제 입법이 되었다는 뜻은 아니기 때문입니다.
그리고 내용도 오류가 많습니다. 고시공고, 자치법규정보시스템에서는 인사고충을 신청할 수 없습니다.
부산광역시 인사운영 기본계획, 지방공무원 인사관계 법령집에 관련 내용이 나와 있습니다.
참고로 인사과 자주찾는 질문에는 공무인력 대상 인사고충 관련 내용이 있으므로 구분해서 답변이 필요합니다.</t>
  </si>
  <si>
    <t>기대답변:
 ❍ (인사상담실 운영) 개인 고충을 인사담당자와 수시로 상담할 수 있는 인사시스템 운영
 - (운영시기) 연중 수시 (상시 인사 상담)
 - (운영방법) 전화, 온톡메신저, 인사관리시스템 등을 통한 인사 상담
 - (상담내용) 개인 인사고충사항(승진, 전보 등) 상담
 - (운영효과) 방문 인사상담 부담 해소 및 직원 편의 증진
 ❍ (찾아가는 인사상담) 직접 찾아가서 상담하는 적극적 인사 운영
 - (운영시기) 상․하반기 연 2회 ‣ 정기인사 전‧후
 - (운영내용) 실‧국‧본부별 및 직렬(직류)별 인사간담회 개최 ※ 서면가능
 - (상담내용) 부서, 직렬별 인사 애로 및 건의사항 청취 반영
 - (조치사항) 건의 사항별 조치 내역(즉시 반영, 중앙부처 건의 등)을 건의자에 안내, 주기적 모니터링 및 반영 노력 이행</t>
  </si>
  <si>
    <t>274_2501_인사과_기본계획_인사과_2025년도_부산광역시_인사운영_기본계획.pdf</t>
  </si>
  <si>
    <t>11</t>
  </si>
  <si>
    <t>□ 인사상담 활성화
 ❍ (인사상담실 운영) 개인 고충을 인사담당자와 수시로 상담할 수 있는
 인사시스템 운영
 - (운영시기) 연중 수시 (상시 인사 상담)
 - (운영방법) 전화, 온톡메신저, 인사관리시스템 등을 통한 인사 상담
 - (상담내용) 개인 인사고충사항(승진, 전보 등) 상담
 - (운영효과) 방문 인사상담 부담 해소 및 직원 편의 증진
 ❍ (찾아가는 인사상담) 직접 찾아가서 상담하는 적극적 인사 운영
 - (운영시기) 상․하반기 연 2회 ‣ 정기인사 전‧후
 - (운영내용) 실‧국‧본부별 및 직렬(직류)별 인사간담회 개최 ※ 서면가능
 - (상담내용) 부서, 직렬별 인사 애로 및 건의사항 청취 반영
 - (조치사항) 건의 사항별 조치 내역(즉시 반영, 중앙부처 건의 등)을
 건의자에 안내, 주기적 모니터링 및 반영 노력 이행</t>
  </si>
  <si>
    <t>인사고충 신청 방법, 인사고충 신청 절차, 인사상담 신청 방법(쪽지, 담당자 연락 등)</t>
  </si>
  <si>
    <r>
      <rPr>
        <rFont val="맑은 고딕"/>
        <b/>
        <color theme="1"/>
        <sz val="11.0"/>
      </rPr>
      <t xml:space="preserve">264_2401_인사과_법령_행정안전부_지방공무원_인사관계_법령집.pdf [56]
-----
</t>
    </r>
    <r>
      <rPr>
        <rFont val="맑은 고딕"/>
        <color theme="1"/>
        <sz val="11.0"/>
      </rPr>
      <t>제 조의 고충처리 67 2( ) ① 공무원은 누구나 인사 조직 처우 등 각종 근무조건과 그 밖의 신상문제와 · ·
관련한 고충에 대하여 상담을 신청하거나 심사를 청구할 수 있으며 누구나 기관 내 성폭력 범 ,
죄 또는 성희롱을 겪거나 그 발생 사실을 알게 된 경우 이를 신고할 수 있다 이 경우 상담 신 .
청이나 심사 청구 또는 신고를 이유로 불이익을 주는 처분이나 대우를 받지 아니한다 개정 . &lt;
2021. 10. 8.&gt;
② 임용권자는 제 항에 따라 상담을 신청 받은 경우에는 소속 공무원을 지정하여 상담하게 하 1
고 심사를 청구 받은 경우에는 인사위원회 회의에 부쳐 심사하도록 하여야 하며 그 결과에 따 ,
라 고충의 해소 등 공정한 처리를 위하여 노력하여야 한다 개정 . &lt; 2020. 1. 29.&gt;
③ 임용권자는 기관 내 성폭력 범죄 또는 성희롱 발생 사실의 신고를 받은 경우에는 지체 없이
사실 확인을 위한 조사를 하고 그에 따라 필요한 조치를 하여야 한다 신설 . &lt; 2021. 10. 8.&gt;
④ 인사위원회는 임용권자로부터 고충심사의 요구를 받으면 지체 없이 이를 심사하고 임용권자
에게 보고하거나 알려야 한다 개정 . &lt; 2020. 1. 29., 2021. 10. 8.&gt;
⑤ 제 항에 따라 고충심사 결과에 대한 보고 또는 통지를 받은 임용권자는 심사결과를 청구인 4
에게 알릴 뿐 아니라 직접 고충 해소를 위한 조치를 하거나 관계 기관의 장에게 시정요청을 할
수 있으며 요청을 받은 관계 기관의 장은 특별한 사유가 없으면 이를 이행하고 그 처리 결과 ,
를 임용권자에게 알려야 한다 다만 부득이한 사유로 이행하지 못할 경우에는 그 사유를 알려 . ,
야 한다 개정 . &lt; 2020. 1. 29., 2021. 10. 8.&gt;
⑥ 고충상담이나 고충심사의 절차 그 밖에 필요한 사항은 대통령령으로 정한다 개정 , . &lt; 2020.
1. 29., 2021. 10. 8.&gt;
[ 2008. 12. 31.]</t>
    </r>
  </si>
  <si>
    <t>[인사과 자주찾는 질문 내역에 고충처리 관련 사항을 확인하지 못함. 부산시 확인 필요]</t>
  </si>
  <si>
    <t>인사랑이 열리지 않을때 조치방법은?</t>
  </si>
  <si>
    <t>인사랑 시스템에 접속이 되지 않는데 이럴때 조치방법에 대해 알려주세요</t>
  </si>
  <si>
    <t>부산광역시 인사랑 시스템이 열리지 않을 때 문제 해결을 위한 조치 방법은 다음과 같습니다.
인터넷 연결 상태 확인: 인터넷 연결이 불안정하거나 끊긴 경우 접속이 어려울 수 있습니다. 다른 웹사이트 접속이 가능한지 확인하여 인터넷 연결 상태를 점검합니다.
브라우저 설정 확인: 브라우저의 캐시 및 쿠키를 삭제하고, 팝업 차단 설정을 해제합니다. 또한, 브라우저의 버전이 오래된 경우 최신 버전으로 업데이트합니다.
시스템 점검 시간 확인: 인사랑 시스템은 정기적으로 점검을 진행할 수 있으므로, 점검 시간을 확인하고 점검 시간 외에만 접속을 시도합니다.
시스템 재시작: 인사랑 시스템을 재시작하여 문제가 해결되는지 확인합니다.
관리자 문의: 위의 방법으로도 문제가 해결되지 않는다면, 인사 담당 부서에 문의하여 문제를 해결합니다.
이러한 조치를 통해 인사랑 시스템 접속 문제를 해결할 수 있습니다.</t>
  </si>
  <si>
    <t xml:space="preserve">인사랑 관련 문서는 없어서 답변이 어려울 것으로 보입니다. </t>
  </si>
  <si>
    <t>인사랑만 조치하는 방법에 대한 답변은 없는데 행정포털 오류조치 안내에 전체적인 행정 초기 시스템에 대한 초기화 방법이 있어서 해당 내용을 안내하면 될 것 같습니다.
 기대답변 :
 아래의 링크(http://99.1.1.29/resources/xf/portal/table.html?)
 Q. [행정포털] 장애조치 Q3. 새 PC설치 시, 에러 발생 시 &gt; 해당 방법으로 조치하시기 바랍니다.</t>
  </si>
  <si>
    <t>1255_행정포털_오류조치_안내_정보화정책과_20251112.pdf</t>
  </si>
  <si>
    <t>1</t>
  </si>
  <si>
    <t>Q. [행정포털] 장애조치 Q3. 새 PC설치 시, 에러 발생 시</t>
  </si>
  <si>
    <t>인사랑 시스템 접속이 안 될 때 해결 방법, 행정포털 시스템 접속 장애 발생시 대처 방법, 새로운 PC 교체시 필요한 보안 등록 절차 및 에러 발생시 해결 방법</t>
  </si>
  <si>
    <t>SQG018</t>
  </si>
  <si>
    <r>
      <rPr>
        <rFont val="맑은 고딕"/>
        <b/>
        <color theme="1"/>
        <sz val="11.0"/>
      </rPr>
      <t>299_2502_인사과_업무매뉴얼_인사과_당직원근무자료.pdf[4]</t>
    </r>
    <r>
      <rPr>
        <rFont val="맑은 고딕"/>
        <color theme="1"/>
        <sz val="11.0"/>
      </rPr>
      <t xml:space="preserve">
-----
※ 행정포털 및 인사랑 장애발생 시 당직보고 m 행안부 유선 보고(044-205-1600) m 바탕화면 당직민원처리부 및 당직근무일지 출력 후 수기 작성 ⇒ 시스템 정상 복구 후 인사랑 등록처리(민원 인수인계 철저)</t>
    </r>
  </si>
  <si>
    <t>행정포털 접속 장애 시 조치 방법은?</t>
  </si>
  <si>
    <t>행정포털 시스템에 접속 시 장애가 발생하는데 조치 방법에 대해 알려주세요.</t>
  </si>
  <si>
    <t>부산광역시 행정포털 접속 장애 발생 시 문제 해결을 위한 조치 방법은 다음과 같습니다.
네트워크 연결 상태 확인: 인터넷 연결 상태를 확인하고, 다른 웹사이트 접속이 가능한지 확인합니다.
브라우저 캐시 및 쿠키 삭제: 브라우저의 캐시와 쿠키를 삭제한 후 다시 시도합니다.
브라우저 업데이트: 사용 중인 브라우저가 최신 버전인지 확인하고, 최신 버전으로 업데이트합니다.
팝업 차단 기능 해제: 팝업 차단 기능이 활성화되어 있는지 확인하고, 필요한 경우 차단 기능을 해제합니다.
컴퓨터 재부팅: 컴퓨터를 재부팅한 후 다시 시도합니다.
인터넷 서비스 제공자(ISP) 문의: 인터넷 서비스 제공자에게 문의하여 네트워크 상태를 확인합니다.
행정포털 관리자에게 문의: 행정포털 관리자에게 문의하여 장애 상황을 알리고 해결 방법을 요청합니다.
이러한 단계를 통해 대부분의 접속 장애 문제를 해결할 수 있습니다. 만약 문제가 지속된다면, 행정포털 관리자에게 직접 문의하는 것이 가장 확실한 방법입니다.</t>
  </si>
  <si>
    <t>행종포털 관련 문서는 학습자료 중 URL 부분에 관련 자료를 작성해서 전달해드렸습니다.
아직 URL이 전부 반영이 되어 있지 않아서 기본적인 답변만 나온것으로 보입니다.</t>
  </si>
  <si>
    <t>기대답변 :
 아래의 링크(http://99.1.1.29/resources/xf/portal/table.html?)
 Q. [행정포털] 장애조치 Q3. 새 PC설치 시, 에러 발생 시 &gt; 해당 방법으로 조치하시기 바랍니다.</t>
  </si>
  <si>
    <t>행정포털 오류조치 안내(최신일 : 2024.08.16.)
 행정포털 주소 : http://99.1.1.29/resources/xf/portal/table.html#question4-8
 본 자료는 내부망에서 확인 요청.(매번 자료가 달라질 수 있습니다.)
 [행정포털] 장애조치
 Q1. 엣지 IE모드 설정 방법(재택근무 등 수동 업데이트)
 키워드 : #엣지 IE모드 설정#IE모드#설정#재택근무#수동 업데이트
 ·소방재난본부 → 행정포털 엣지에서 로그인 후 온나라2.0 접속 필수 환경
 ·온나라2.0에서 온메일/지식 로그인정보 연계되지 않을 때 환경설정 조치
 ·설정방법_다운로드 링크 : http://99.1.1.29/resources/xf/portal/Portal_Edge_IEMode_manual.hwp
 ·설정파일_다운로드 링크 : http://99.1.1.29//resources/xf/portal/IEModePolicy.zip
 ·설정 후,설정이 제대로 안 될 경우 실행 reg파일(다운로드 링크 :
 http://99.1.1.29//resources/xf/portal/regplus.reg
 ·최종, 오류시 조치방법 ·오류시 원상복귀 방법(완전 초기화)_다운로드 링크 :
 http://99.1.1.29/resources/xf/portal/portal_reset_manual.hwp
 Q2. 엣지에서 행정포털을 홈화면으로 설정하기
 키워드 : #엣지에서 행정포털을 홈화면으로 설정하기#엣지#edge#행정포털#홈화면#설정
 ·행정포털 홈화면 설정방법_http://99.1.1.29/resources/xf/portal/Edge_home_setting.hwp
 Q3. 새 PC설치 시, 에러 발생 시
 키워드 : #행정포털#세션이만료되었습니다.#세션이 유효하지 않습니다. #행정업무접속 시 메뉴가 나타나지
 않음#~로그인 중~ 화면 멈추는 경우 #"사용하려는기능이 현재 연결되어 있지 않은 네트워크리소스에 있음."라는
 팝업창이 계속뜨는 경우 #신규 사용자신청 등 화면에서 생년월일 달력이 활성화 되지 않을 때
 ※ [윈도우 검색](시작버튼 옆 돋보기):[제어판] &gt; [인터넷 옵션]
 1) 인터넷 옵션 변경 설정 설정변경(다운로드 링크 : http://99.1.1.29/resources/xf/portal/IESetter.exe)
  [인터넷 옵션] &gt; [고급] &gt; [원래대로], [고급설정복원]
  [인터넷 옵션] &gt; [일반탭] &gt; [삭제]
  검색기록 삭제
  (다운로드 링크 : http://99.1.1.29/resources/xf/portal/search_history.hwp)
  □즐겨찾기웹 사이트 데이터 보존
  ■임시 인터넷 파일 및 웹 사이트 파일
  ■쿠키 및 웹사이트 데이터 보존
  □기록
  ■다운로드 기록
  ■양식 데이터
  ■암호
  ■추적 방지, ActiveX 필터링 및 추적 안 함 데이터
  [삭제] &gt; [적용] &gt; [확인] &gt; [컴퓨터 재부팅]
 2) 설정 변경 PG 실행하기 설정변경PG(다운로드 링크 : http://99.1.1.29/resources/xf/portal/IESetter.exe)
 3) 호환성보기 및 신뢰활 수 있는 사이트 설정(다운로드 링크 : http://99.1.1.29/resources/xf/portal/compatibility.hwp)
  설치PG(다운로드 링크 : http://99.1.1.29/resources/xf/portal/compatibility REG.bat)
 4) 행정포털 로그인보안모듈(MagicPass)
  재설치방법(다운로드 링크 : http://99.1.1.29/ resources/xf/portal/portal_login_reinstall.hwp)
  설치PG(다운로드 링크 : http://99.1.2.11/sso/setup/setupOffLine.exe)
 5) 행정포털 작성기 모듈 설치PG(다운로드 링크 : http://99.1.2.11/EP/web/common/cabfiles/EditorNAttach.exe)
 6) 아크로뱃리더 설치 오류시 설치PG(버전9)
  (다운로드 링크 : http://99.1.1.29//resources/xf/portal/AdbeRdr90_ko_KR.exe)
 7) 한글 업데이트
  [시작] &gt; [한글과컴퓨터] &gt; [한컴자동업데이트]에서 최신업데이트(시간 많이 소요)
  업데이트 완료 후 컴퓨터 재부팅
  패치 다운로드: https://www.hancom.com/cs_center/csDownload.do)
  완료후 컴퓨터 재부팅
  공문서 필터: [온나라] 장애조치 Q8. 문서 발송 시 공문서 필터 오류
 8) 브라우저 캐시 삭제 방법(엣지)
  [Ctrl] + [Shift] + [Delete] 누름
  시간범위 설정 "모든 시간" 선택
  ■[검색기록]
  ■[다운로드 기록]
  ■[쿠키 및 기타 사이트 데이터]
  ■[캐시된 이미지 및 파일]
  [지금 지우기] 클릭
  Internet Explorer 모드에 대한 검색 데이터 지우기
  □[즐겨찾기 웹사이트 데이터 보존]
  ■[임시 인터넷 파일 및 웹 사이트 파일]
  ■[쿠키 및 웹사이트 데이터]
  ■[기록 항목]
  [삭제] 버튼 클릭</t>
  </si>
  <si>
    <t>회의장 예약 방법은?</t>
  </si>
  <si>
    <t>부산광역시 공무원이 부산광역시청의 회의장을 예약하고 싶은데 예약 방법에 대해 알려주세요.</t>
  </si>
  <si>
    <t>부산광역시 행정포털 접속 장애 시, 회의장 예약 방법은 전화 문의, 이메일 문의, 직접 방문이 있습니다.
관련 내용은 다음과 같습니다.
전화 문의: 부산광역시 행정포털의 접속 장애와 관련된 문제를 해결하기 위해 총무과에 직접 전화로 문의할 수 있습니다. 총무과에서는 장애 원인을 파악하고 해결 방안을 제시할 수 있습니다.
이메일 문의: 총무과에 이메일을 보내 장애 상황을 알리고, 회의장 예약 방법에 대한 안내를 요청할 수 있습니다. 이메일 주소는 부산광역시 행정포털이나 총무과 홈페이지에서 확인할 수 있습니다.
직접 방문: 부산광역시청이나 관련 부서에 직접 방문하여 담당자에게 문의하고, 회의장 예약 절차를 안내받을 수 있습니다.</t>
  </si>
  <si>
    <t>앞에 대화를 같이 프롬프트에 전달해서 생성형 AI 답변을 만드는거때문인거 같은데
처음 질문이 행정포털 접속 장애 시 조치 방법은? 이라고 물어본 뒤
그 다음 2번째 질문은 회의장 예약 방법에 대해서 문의를 하니
답변 내용이 행정포털 접속 장애 시, 회의장 예약 방법에 대해 안내를 해주고 있습니다. 
앞의 질문과 뒤의 질문은 전혀 관련이 없기 때문에 이러한 상황에서는
앞 뒤 질문의 관계 분석에 대해 확인이 필요할 것으로 보입니다.
회의장 예약 방법에 대한 관련 문서는 없어서 답변이 어려울 것으로 보입니다.</t>
  </si>
  <si>
    <t>해당 내용은 제출된 파일이 없지만 기본적인 내용이라 답변이 필요할 것으로 보입니다.
 기대답변 : 
 행정포털 - 개인서비스 - 회의장 클릭 후 원하는 날짜 예약</t>
  </si>
  <si>
    <t>1. 회의장 예약 방법 안내
 행정포털 - 개인서비스 - 회의장 클릭 후 원하는 날짜 예약</t>
  </si>
  <si>
    <t>시청 내 사용 가능한 회의실 확인 방법을 안내해주세요, 시청 1층 대강당 예약 어떻게 하는지 방법 안내, 시청 1층 대강당 시설 예약 절차 안내, 시청 1층 대강당 예약 확인, 회의실 신청 어떻게 하는지 안내, 시청 1층 대강당은 회의실 예약 안내를 통해 확인, 회의장 예약 방법, 회의장 예약 신청 절자 안내, 시청 1층 대강당 시설 사용 신청 방법</t>
  </si>
  <si>
    <t>SQG019</t>
  </si>
  <si>
    <t>PC 개인정보 삭제 방법은? </t>
  </si>
  <si>
    <t>컴퓨터에 있는 개인정보 파일을 삭제 할 수 있는 방법이 있나요?</t>
  </si>
  <si>
    <t>PC에 저장된 개인정보 삭제 방법은 Fasoo Data Radar를 이용하여 파일을 암호화하고 삭제하는 것입니다.
관련 내용은 다음과 같습니다.
Fasoo Data Radar 열기: 모니터 우측 하단의 지구본 모양의 아이콘을 우클릭한 후 Fasoo Data Radar를 실행합니다.
검출파일관리 클릭: 실행된 창의 좌측 세 번째 메뉴에서 "검출파일관리"를 클릭합니다.
암호화 상태 확인: 암호화 상태가 일반문서로 되어 있는 파일을 확인합니다.
파일 정비: 일반문서인 파일을 우클릭하여 암호화 또는 삭제 조치를 합니다. 삭제는 영구적으로 이루어지므로 주의가 필요합니다.
개인정보 내용 삭제: 해당 파일을 열어서 개인정보 내용을 삭제합니다. 파일명을 클릭하면 파일이 열리며, 여기서 상세정보에서 파일명을 클릭하여 내용을 확인할 수 있습니다.
압축파일 처리: 일반문서인데 처리 메뉴가 비활성화되는 경우는 대부분 압축파일입니다. 압축을 해제 후 암호화 또는 삭제 조치를 하고, 압축파일은 삭제합니다.
암호화: 압축해제된 파일을 암호화하려면, 윈도우 탐색기에서 파일명을 우클릭한 후 “보안문서” 메뉴에서 "보안문서 생성"을 선택하여 암호화를 진행합니다.
이 과정을 통해 PC에 저장된 불필요하거나 과도하게 수집된 개인정보를 안전하게 삭제할 수 있습니다</t>
  </si>
  <si>
    <t>ㆍ357_2412_정보화정책과_업무매뉴얼_정보화정책과_PC개인정보파일_정비방법간단매뉴얼_0310.pdf (p.1)
https://busanai.busan.go.kr/download/357_2412_정보화정책과_업무매뉴얼_정보화정책과_PC개인정보파일_정비방법간단매뉴얼_0310.pdf</t>
  </si>
  <si>
    <t>이상없습니다.</t>
  </si>
  <si>
    <t>PC에 저장된 개인정보 삭제 방법은 Fasoo Data Radar를 이용하여 파일을 암호화하고 삭제하는 것입니다.
 관련 내용은 다음과 같습니다.
 Fasoo Data Radar 열기: 모니터 우측 하단의 지구본 모양의 아이콘을 우클릭한 후 Fasoo Data Radar를 실행합니다.
 검출파일관리 클릭: 실행된 창의 좌측 세 번째 메뉴에서 "검출파일관리"를 클릭합니다.
 암호화 상태 확인: 암호화 상태가 일반문서로 되어 있는 파일을 확인합니다.
 파일 정비: 일반문서인 파일을 우클릭하여 암호화 또는 삭제 조치를 합니다. 삭제는 영구적으로 이루어지므로 주의가 필요합니다.
 개인정보 내용 삭제: 해당 파일을 열어서 개인정보 내용을 삭제합니다. 파일명을 클릭하면 파일이 열리며, 여기서 상세정보에서 파일명을 클릭하여 내용을 확인할 수 있습니다.
 압축파일 처리: 일반문서인데 처리 메뉴가 비활성화되는 경우는 대부분 압축파일입니다. 압축을 해제 후 암호화 또는 삭제 조치를 하고, 압축파일은 삭제합니다.
 암호화: 압축해제된 파일을 암호화하려면, 윈도우 탐색기에서 파일명을 우클릭한 후 “보안문서” 메뉴에서 "보안문서 생성"을 선택하여 암호화를 진행합니다.
 이 과정을 통해 PC에 저장된 불필요하거나 과도하게 수집된 개인정보를 안전하게 삭제할 수 있습니다</t>
  </si>
  <si>
    <t>357_2412_정보화정책과_업무매뉴얼_정보화정책과_PC개인정보파일_정비방법간단매뉴얼_0310.pdf</t>
  </si>
  <si>
    <t>PC개인정보파일 정비방법(사용자) (PC에 저장된 불필요하거나 과도하게 수집된 개인정보 삭제, 암호화) 1. 모니터 우측 하단 - 지구본 모양의 아이콘에서 우클릭 - Fasoo Data Radar 열기 2. 실행된 창의 좌측 세 번째 메뉴 - [검출파일관리] 클릭 - 암호화상태 항목에서 일반문서로 되어 있는 파일 정비(파일명에서 우클릭) 1 암호화, 삭제 조치함 (※삭제는 영구삭제되니 필히 주의) 2 해당 파일을 열어서 개인정보 내용 삭제 (상세정보에서 파일명 클릭하면 열림) - 일반문서인데 처리메뉴가 비활성화되는 경우는 대부분 압축파일이니 압축해제 후 조치(암호화, 삭제)하고, 압축파일은 삭제 ※ 압축해제된 파일 암호화는 윈도우 탐색기 - 파일명 우클릭 – 보안문서 – 보안문서생성 클릭 - 목록에서 해당파일 좌클릭 – 상세정보창에서 파일클릭(파일열림) 또는 파일경로클릭(해당경로의 윈도우 탐색기 실행)하여 개별적 조치 ☞ 상세정보 : 파일명, 파일경로, 패턴(문서내 개인정보 유형) 확인 - 1 -</t>
  </si>
  <si>
    <t>PC 개인정보 안전 삭제 방법  및 개인정보 파일 삭제 가이드</t>
  </si>
  <si>
    <r>
      <rPr>
        <rFont val="맑은 고딕"/>
        <b/>
        <color theme="1"/>
        <sz val="11.0"/>
      </rPr>
      <t xml:space="preserve">357_2412_정보화정책과_업무매뉴얼_정보화정책과_PC개인정보파일_정비방법간단매뉴얼_0310.pdf[1]
-----
</t>
    </r>
    <r>
      <rPr>
        <rFont val="맑은 고딕"/>
        <color theme="1"/>
        <sz val="11.0"/>
      </rPr>
      <t>PC개인정보파일 정비방법(사용자) (PC에 저장된 불필요하거나 과도하게 수집된 개인정보 삭제, 암호화) 1. 모니터 우측 하단 - 지구본 모양의 아이콘에서 우클릭 - Fasoo Data Radar 열기 2. 실행된 창의 좌측 세 번째 메뉴 - [검출파일관리] 클릭 - 암호화상태 항목에서 일반문서로 되어 있는 파일 정비(파일명에서 우클릭) 1 암호화, 삭제 조치함 (※삭제는 영구삭제되니 필히 주의) 2 해당 파일을 열어서 개인정보 내용 삭제 (상세정보에서 파일명 클릭하면 열림) - 일반문서인데 처리메뉴가 비활성화되는 경우는 대부분 압축파일이니 압축해제 후 조치(암호화, 삭제)하고, 압축파일은 삭제 ※ 압축해제된 파일 암호화는 윈도우 탐색기 - 파일명 우클릭 – 보안문서 – 보안문서생성 클릭 - 목록에서 해당파일 좌클릭 – 상세정보창에서 파일클릭(파일열림) 또는 파일경로클릭(해당경로의 윈도우 탐색기 실행)하여 개별적 조치 ☞ 상세정보 : 파일명, 파일경로, 패턴(문서내 개인정보 유형) 확인 - 1 -</t>
    </r>
  </si>
  <si>
    <t>부산시 관용차량을 운행하기 위해 배차 신청을 하려고 하는데 절차에 대해서 알려주세요</t>
  </si>
  <si>
    <t>부산광역시 행정포털에서 차량 배차 신청 절차는 다음과 같습니다.
부산광역시 행정포털에 접속합니다.
로그인 후, “차량 배차 신청” 메뉴를 선택합니다.
배차 신청서를 작성합니다. 이때, 차량 정보, 운전자 정보, 배차 목적 및 일정 등을 정확히 입력해야 합니다.
신청서를 제출하면, 담당자가 배차 가능 여부를 검토합니다.
배차가 승인되면, 배차 확정 문자 또는 이메일을 통해 결과를 통보받습니다.
배차된 차량을 이용하여 목적지로 이동합니다.
이 절차는 상황에 따라 다소 변동될 수 있으니, 부산광역시 행정포털의 공지사항이나 담당 부서에 문의하여 최신 정보를 확인하는 것이 좋습니다.</t>
  </si>
  <si>
    <t xml:space="preserve">관련 근거문서는 없습니다. 이것 또한 앞의 질문과 관련이 없음에도 불구하고 앞 질문(행정포털 관련) 내용이 들어가 있어서 오류가 있습니다. </t>
  </si>
  <si>
    <t>해당 답변 또한 기본적인 질문으로 보여 참조 답변 생성이 필요할 것으로 보입니다.
 기대답변 : 
 차량배차안내
 ■ 배차신청 방법(본청에 한함)
  - 행정포털 - 개인서비스 - 배차신청
 ■ 배차신청(본청에 한함)
  - 업무용, 버스, 의전 
  ※ 배차신청 전 담당자에게 전화하여 배차가능여부 확인하여 주시기 바랍니다.(이중배차 방지 등)
  ※ 핸드폰 대시보드 거치대가 필요하신 분은 문의하여 주기기 바랍니다.(기본 핸드폰 거치대는 기설치 중)
 ■ 만26세 미만 배차불가(자동차보험 미적용)
 ■ 전기차 운행 후 운전자가 직접 충전
 ■ 공용차 사적인 용도로 사용 금지
 ■ 공용차 내 커피,음식물 등 섭취 후 뒷정리 철저(깨끗이 사용)
 ■ 교통사고 예방 안전운전 하기
  1) 신호•속도•차로준수, 출차 및 주차시 주의집중 ※주차장 입출차시 부주의로 인한 사고증가로 각별한 주의 필요
  2) 사고 시 과실비율에 따라 개인부담금(최소20~최고50만원)발생
  3) 사고 시 사고사진(전,후,좌,우)을 다각도로 촬영
  4) 공용차량 보험사(담당자 확인 필요) 연락해서 처리 후 배차실에 통보</t>
  </si>
  <si>
    <t>2. 차량배차안내
 ■ 배차신청 방법(본청에 한함)
  - 행정포털 - 개인서비스 - 배차신청
 ■ 배차신청(본청에 한함)
  - 업무용, 버스, 의전 
  ※ 배차신청 전 담당자에게 전화하여 배차가능여부 확인하여 주시기 바랍니다.(이중배차 방지 등)
  ※ 핸드폰 대시보드 거치대가 필요하신 분은 문의하여 주기기 바랍니다.(기본 핸드폰 거치대는 기설치 중)
 ■ 만26세 미만 배차불가(자동차보험 미적용)
 ■ 전기차 운행 후 운전자가 직접 충전
 ■ 공용차 사적인 용도로 사용 금지
 ■ 공용차 내 커피,음식물 등 섭취 후 뒷정리 철저(깨끗이 사용)
 ■ 교통사고 예방 안전운전 하기
  1) 신호•속도•차로준수, 출차 및 주차시 주의집중 ※주차장 입출차시 부주의로 인한 사고증가로 각별한 주의 필요
  2) 사고 시 과실비율에 따라 개인부담금(최소20~최고50만원)발생
  3) 사고 시 사고사진(전,후,좌,우)을 다각도로 촬영
  4) 공용차량 보험사(담당자 확인 필요) 연락해서 처리 후 배차실에 통보</t>
  </si>
  <si>
    <r>
      <rPr>
        <rFont val="맑은 고딕"/>
        <b/>
        <color theme="1"/>
        <sz val="11.0"/>
      </rPr>
      <t>336_페이지34_문서6_162645_부산광역시_공용차량_관리_규정.pdf[3][자치법규]</t>
    </r>
    <r>
      <rPr>
        <rFont val="맑은 고딕"/>
        <color theme="1"/>
        <sz val="11.0"/>
      </rPr>
      <t xml:space="preserve">
-----
2 단위부서의 장이 차량의 등록 또는 차량교환에 따른 이전등록을 하는 경우에 구차량의 말소등록이 필요한 때에는 등록신청과 함 께 말소등록신청을 하여야 한다.&lt;개정 2005. 10. 19, 2011. 12. 28&gt; 3 차량등록사업소장은 차량의 등록신청이 있을 경우에는 제1항에 따라 송부된 배정 또는 승인확인서 내용과의 일치 여부를 확인 하고, 일치하지 아니하는 때에는 해당 차량의 등록을 하여서는 아니 되며, 승인확인서에 등록을 말소하여야 할 차량의 표시가 있을 때에는 그 차량의 말소등록을 동시에 하여야 한다.&lt;개정 2011. 12. 28&gt; 4 제2항에 따라 차량을 등록하였거나 등록을 말소한 단위부서의 장은 20일 이내에 별지 제7호서식에 따른 등록 또는 말소등록보 고서를 차량 총괄부서의 장에게 제출하여야 한다.&lt;개정 2011. 12. 28&gt; 제3장 차량운행관리 제20조(차량 집중관리부서 지정) 1 단위부서의 장은 공용차량 담당 주무부서를 집중관리부서로 지정하여 차량을 관리하여야 한다. &lt;개정 2014. 7. 9&gt; 2 제1항에 따라 지정을 받은 집중관리부서는 사업의 성질상 해당 사업부서에서 관리하는 것이 효율적이라고 판단되는 경우 제2 차 관리부서를 지정할 수 있다. 다만, 통근용 버스는 그러하지 아니하다.&lt;개정 2011. 12. 28&gt; 제21조(차량 관리 및 운행&lt;개정 2014. 7. 9&gt;) 1단위부서가 보유하는 차량 및 운전원 등에 관한 예산 등은 집중관리 부서에서 일괄 계상하여 집행하여야 한다. 2 집중관리부서는 해당 차량에 대한 차량점검·정비·수리업무와 운전원 복무관리 그 밖에 차량 운영관리 전반을 담당한다.&lt;개정 2011. 12. 28&gt; 3 제20조제2항에 따라 지정을 받은 제2차 관리부서는 해당 차량의 배차관리 등 운행관리만 담당한다.&lt;개정 2011. 12. 28&gt; 4 모든 공용차량은 정당한 사유 없이 사적용도로 사용·수익하지 못하며, 공무용 차량임을 표시하여야 한다. 다만, 전용·의전용 차 량 등 공무용 차량임을 표시하기 곤란한 차량은 공무용 차량임을 표시하지 아니할 수 있다.&lt;신설 2014. 7. 9&gt; 5 시장은 다음 각 호의 어느 하나에 해당하는 차량의 경우에는 신속한 재난현장 출동을 위해 관사 또는 숙소 등에 배차하여 상시 운행하게 할 수 있다. &lt;개정 2024. 6. 26.&gt; 1. 화재·붕괴·폭발 등 각종 사고의 긴급구조 및 수습을 위해 「재난 및 안전관리 기본법」 제50조에 따른 긴급구조통제단장에게 배차 된 차량 2. 재난발생 등으로 신속한 기동성이 요구되는 직무를 일정기간 수행하는 사람에게 배차된 차량 제21조의2(의무보험 및 정기검사 관리) 단위부서의 장은 공용차량 운행 직원이 의무보험의 보장기간 및 정기검사 실시일을 확인할 수 있도록 관련 정보를 차량 내부에 게시하여야 한다. [본조신설 2024. 6. 26.]</t>
    </r>
    <r>
      <rPr>
        <rFont val="맑은 고딕"/>
        <color rgb="FFFF0000"/>
        <sz val="11.0"/>
      </rPr>
      <t xml:space="preserve"> 제22조(배차신청·승인) 1 차량을 사용하고자 하는 부서에서는 차량배차신청서를 사용일 1일 전에 차량 집중관리부서에 신청하여 야 한다. 다만, 제2차 관리부서로 지정을 받았거나 특별한 경우에는 그러하지 아니하다.&lt;개정 2011. 12. 28&gt; 2 제1항에 따라 배차신청을 받은 집중관리부서의 장은 차량배차신청사항을 종합·검토하여 지체 없이 배차승인 여부를 통지하여 야 한다.&lt;개정 2011. 12. 28&gt;</t>
    </r>
    <r>
      <rPr>
        <rFont val="맑은 고딕"/>
        <color theme="1"/>
        <sz val="11.0"/>
      </rPr>
      <t xml:space="preserve"> 제23조(유류구입 등) 단위부서의 장은 필요시 차량용 유류 및 엘피지(이하 "유류"라 한다)의 필요 수급물량을 기준하여 유류공급자 와 유류공급가를 단가계약 또는 후불정산 계약하거나 카드제 등으로 구입할 수 있다. 제24조(유류사용 정산) 1배차담당공무원이 차량을 배차하는 때에는 전회 지급 유류의 소모량, 잔고량을 정산하여 유류를 지급하여 야 한다. 2단위부서의 차량 운전원은 운행일지에 전일까지의 총 주행거리와 유류잔고량을 기록하고, 배차당일 주행거리, 유류지급상황, 사 용량 및 잔고량을 기록하여 배차담당공무원의 확인을 받아야 한다. 제25조(차고운영) 1 단위부서의 장은 차량의 집중관리를 위하여 청사 내에 차고를 설치하고, 차고에는 운전원 대기실·주차지·세차 장 및 정비실 등을 갖추어 운영할 수 있다.&lt;개정 2011. 12. 28&gt; 2 제1항에 따라 차고를 설치한 단위부서의 장은 소속 운전원 중에서 차고장 1명을 지정하여 차고내의 모든 업무를 수행토록 할 수 있다.&lt;개정 2011. 12. 28&gt; 3 제2항에 따라 지정을 받은 차고장은 차량 집중관리부서의 지휘감독을 받아 보유차량 운행관리, 운전원 관리 등 차고 내의 모든 업무를 담당한다. 이 경우 차량 운전원은 차고장의 지시에 따라야 한다.&lt;개정 2011. 12. 28&gt;</t>
    </r>
  </si>
  <si>
    <t>시 공무원 장례비 지원 및 사망조위금 신청방법은?</t>
  </si>
  <si>
    <t>부산광역시 지방공무원 또는 가족의 사망 시 관련 규정에서 정한 장례비와 사망조위금의 지원 기준, 지급 요건, 신청 절차는 각각 어떻게 되나요?</t>
  </si>
  <si>
    <t>부산광역시 시 공무원의 장례비 지원 및 사망조위금 신청 방법은 장례비용 선결제 후 영수증 및 증빙자료를 복지지원시스템에 등록하는 것입니다.
관련내용은 다음과 같습니다.
장례비용 선결제: 장례가 발생하면 먼저 장례비용을 선결제합니다.
영수증 및 증빙자료 제출: 선결제 후, 영수증과 증빙자료를 준비합니다. 증빙자료는 장례비용을 증명할 수 있는 서류입니다.
복지지원시스템 등록: 준비한 영수증과 증빙자료를 부산광역시 복지지원시스템에 등록합니다.
이러한 절차를 통해 부산광역시 시 공무원은 장례비 지원 및 사망조위금을 신청할 수 있습니다.</t>
  </si>
  <si>
    <t>278_2501_인사과_기타_인사과_2025년_공무원_장례비_지원_추진계획.pdf (p.2)
https://busanai.busan.go.kr/download/278_2501_인사과_기타_인사과_2025년_공무원_장례비_지원_추진계획.pdf</t>
  </si>
  <si>
    <t>부산광역시 시 공무원의 장례비 지원 및 사망조위금 신청 방법은 장례비용 선결제 후 영수증 및 증빙자료를 복지지원시스템에 등록하는 것입니다.
 관련내용은 다음과 같습니다.
 장례비용 선결제: 장례가 발생하면 먼저 장례비용을 선결제합니다.
 영수증 및 증빙자료 제출: 선결제 후, 영수증과 증빙자료를 준비합니다. 증빙자료는 장례비용을 증명할 수 있는 서류입니다.
 복지지원시스템 등록: 준비한 영수증과 증빙자료를 부산광역시 복지지원시스템에 등록합니다.
 이러한 절차를 통해 부산광역시 시 공무원은 장례비 지원 및 사망조위금을 신청할 수 있습니다.</t>
  </si>
  <si>
    <t>278_2501_인사과_기타_인사과_2025년_공무원_장례비_지원_추진계획.pdf</t>
  </si>
  <si>
    <t>2</t>
  </si>
  <si>
    <t>2025년 공무원 장례비 지원 추진계획 친족의 부고 발생에 따른 대상자를 격려하고 소속감 고취를 위한 공무원 장례비 지원 추진계획임 I 추진개요 m 추진근거 - 「지방공무원법」,「부산광역시 공무원 후생복지에 관한 조례」 - 「공공기관 1회용품 등 사용 줄이기 실천지침」국무총리 훈령 - 「부산광역시 1회용품 사용 줄이기 조례」 m 지원목적: 친족 부고에 따른 직원 격려 및 소속감 고취 m 지원대상: 본청·직속기관·사업소·시의회(시의원 포함) 소속 공무원 ※ 상수도사업본부, 소방재난본부 별도 시행 m 지원범위: 배우자, 부모(배우자의 부모 포함), 자녀, 사위, 며느리 사망(조부모 제외) ※ 공무원 사망의 경우 유가족 위로금(5,000천원) 별도 지급 m 예 산 액: 170,000천원 (1,000천원 × 170명) m 최근 3년간 지원실적 &lt;table border="1" class="table table-striped table-hover"&gt;&lt;thead&gt;&lt;tr&gt;&lt;th&gt;연도&lt;/th&gt;&lt;th&gt;지원인원&lt;/th&gt;&lt;th&gt;지원금액&lt;/th&gt;&lt;th&gt;비고&lt;/th&gt;&lt;/tr&gt;&lt;/thead&gt;&lt;tbody&gt;&lt;tr&gt;&lt;td&gt;2024년&lt;/td&gt;&lt;td&gt;173명&lt;/td&gt;&lt;td&gt;173,000천원&lt;/td&gt;&lt;td&gt;&lt;/td&gt;&lt;/tr&gt;&lt;tr&gt;&lt;td&gt;2023년&lt;/td&gt;&lt;td&gt;195명&lt;/td&gt;&lt;td&gt;194,322천원&lt;/td&gt;&lt;td&gt;&lt;/td&gt;&lt;/tr&gt;&lt;tr&gt;&lt;td&gt;2022년&lt;/td&gt;&lt;td&gt;192명&lt;/td&gt;&lt;td&gt;191,412천원&lt;/td&gt;&lt;td&gt;&lt;/td&gt;&lt;/tr&gt;&lt;/tbody&gt;&lt;/table&gt; II 세부내용 m 지원금액: 1,000천 원 이내 실비 지원 (단, 재직 중 최대 2회) ※ 사망일기준 1년이내 미 청구시 소멸 m 신청방법: 장례비용 선결제 후 영수증 및 증빙자료* 복지지원시스템 등록 ※ 증빙자료: [제출자료] 참조</t>
  </si>
  <si>
    <t xml:space="preserve">시 공무원 사망 장례비 지원 절차 및 사망조위금 신청 방법 </t>
  </si>
  <si>
    <r>
      <rPr>
        <rFont val="맑은 고딕"/>
        <b/>
        <color theme="1"/>
        <sz val="11.0"/>
      </rPr>
      <t>278_2501_인사과_기타_인사과_2025년_공무원_장례비_지원_추진계획.pdf[2]</t>
    </r>
    <r>
      <rPr>
        <rFont val="맑은 고딕"/>
        <color theme="1"/>
        <sz val="11.0"/>
      </rPr>
      <t xml:space="preserve">
-----
2025년 공무원 장례비 지원 추진계획 친족의 부고 발생에 따른 대상자를 격려하고 소속감 고취를 위한 공무원 장례비 지원 추진계획임 I 추진개요 </t>
    </r>
    <r>
      <rPr>
        <rFont val="Wingdings"/>
        <color theme="1"/>
        <sz val="11.0"/>
      </rPr>
      <t></t>
    </r>
    <r>
      <rPr>
        <rFont val="맑은 고딕"/>
        <color theme="1"/>
        <sz val="11.0"/>
      </rPr>
      <t xml:space="preserve"> 추진근거 - 「지방공무원법」,「부산광역시 공무원 후생복지에 관한 조례」 - 「공공기관 1회용품 등 사용 줄이기 실천지침」국무총리 훈령 - 「부산광역시 1회용품 사용 줄이기 조례」 </t>
    </r>
    <r>
      <rPr>
        <rFont val="Wingdings"/>
        <color theme="1"/>
        <sz val="11.0"/>
      </rPr>
      <t></t>
    </r>
    <r>
      <rPr>
        <rFont val="맑은 고딕"/>
        <color theme="1"/>
        <sz val="11.0"/>
      </rPr>
      <t xml:space="preserve"> 지원목적: 친족 부고에 따른 직원 격려 및 소속감 고취 </t>
    </r>
    <r>
      <rPr>
        <rFont val="Wingdings"/>
        <color theme="1"/>
        <sz val="11.0"/>
      </rPr>
      <t></t>
    </r>
    <r>
      <rPr>
        <rFont val="맑은 고딕"/>
        <color theme="1"/>
        <sz val="11.0"/>
      </rPr>
      <t xml:space="preserve"> 지원대상: 본청·직속기관·사업소·시의회(시의원 포함) 소속 공무원 ※ 상수도사업본부, 소방재난본부 별도 시행 </t>
    </r>
    <r>
      <rPr>
        <rFont val="Wingdings"/>
        <color theme="1"/>
        <sz val="11.0"/>
      </rPr>
      <t></t>
    </r>
    <r>
      <rPr>
        <rFont val="맑은 고딕"/>
        <color theme="1"/>
        <sz val="11.0"/>
      </rPr>
      <t xml:space="preserve"> 지원범위: 배우자, 부모(배우자의 부모 포함), 자녀, 사위, 며느리 사망(조부모 제외) ※ 공무원 사망의 경우 유가족 위로금(5,000천원) 별도 지급 </t>
    </r>
    <r>
      <rPr>
        <rFont val="Wingdings"/>
        <color theme="1"/>
        <sz val="11.0"/>
      </rPr>
      <t></t>
    </r>
    <r>
      <rPr>
        <rFont val="맑은 고딕"/>
        <color theme="1"/>
        <sz val="11.0"/>
      </rPr>
      <t xml:space="preserve"> 예 산 액: 170,000천원 (1,000천원 × 170명) </t>
    </r>
    <r>
      <rPr>
        <rFont val="Wingdings"/>
        <color theme="1"/>
        <sz val="11.0"/>
      </rPr>
      <t></t>
    </r>
    <r>
      <rPr>
        <rFont val="맑은 고딕"/>
        <color theme="1"/>
        <sz val="11.0"/>
      </rPr>
      <t xml:space="preserve"> 최근 3년간 지원실적 &lt;table border="1" class="table table-striped table-hover"&gt;&lt;thead&gt;&lt;tr&gt;&lt;th&gt;연도&lt;/th&gt;&lt;th&gt;지원인원&lt;/th&gt;&lt;th&gt;지원금액&lt;/th&gt;&lt;th&gt;비고&lt;/th&gt;&lt;/tr&gt;&lt;/thead&gt;&lt;tbody&gt;&lt;tr&gt;&lt;td&gt;2024년&lt;/td&gt;&lt;td&gt;173명&lt;/td&gt;&lt;td&gt;173,000천원&lt;/td&gt;&lt;td&gt;&lt;/td&gt;&lt;/tr&gt;&lt;tr&gt;&lt;td&gt;2023년&lt;/td&gt;&lt;td&gt;195명&lt;/td&gt;&lt;td&gt;194,322천원&lt;/td&gt;&lt;td&gt;&lt;/td&gt;&lt;/tr&gt;&lt;tr&gt;&lt;td&gt;2022년&lt;/td&gt;&lt;td&gt;192명&lt;/td&gt;&lt;td&gt;191,412천원&lt;/td&gt;&lt;td&gt;&lt;/td&gt;&lt;/tr&gt;&lt;/tbody&gt;&lt;/table&gt; II 세부내용 </t>
    </r>
    <r>
      <rPr>
        <rFont val="Wingdings"/>
        <color theme="1"/>
        <sz val="11.0"/>
      </rPr>
      <t></t>
    </r>
    <r>
      <rPr>
        <rFont val="맑은 고딕"/>
        <color theme="1"/>
        <sz val="11.0"/>
      </rPr>
      <t xml:space="preserve"> 지원금액: 1,000천 원 이내 실비 지원 (단, 재직 중 최대 2회) ※ 사망일기준 1년이내 미 청구시 소멸 </t>
    </r>
    <r>
      <rPr>
        <rFont val="Wingdings"/>
        <color theme="1"/>
        <sz val="11.0"/>
      </rPr>
      <t></t>
    </r>
    <r>
      <rPr>
        <rFont val="맑은 고딕"/>
        <color theme="1"/>
        <sz val="11.0"/>
      </rPr>
      <t xml:space="preserve"> 신청방법: 장례비용 선결제 후 영수증 및 증빙자료* 복지지원시스템 등록 ※ 증빙자료: [제출자료] 참조</t>
    </r>
  </si>
  <si>
    <t>민원 전화시 민원내용 담당부서가 어디인지 알려줘</t>
  </si>
  <si>
    <t>부산시에 관한 민원(예: 주차 단속 문의, 도로시설물 파손, 버스나 택시 관련, 그 외 다양한 민원 포함)이 접수된 경우, 부산시에서 해당 민원을 담당하는 부서는 어디인가요?</t>
  </si>
  <si>
    <t>부산광역시청 민원 전화 시 민원 내용에 따라 담당 부서는 다음과 같습니다.
유통 단지 개발 사업 실시 계획 승인(변경 승인)은 도시균형개발과입니다.
산업 단지 개발 사업 실시 계획 승인은 산업입지과입니다.
여객 자동차 터미널 사업 면허는 공공교통정책과입니다.
화물 터미널 공사 시행 인가는 물류정책과입니다.
채광 계획(변경) 인가는 미래에너지산업과입니다.
공유 수면 매립 면허는 해운항만과입니다.
공유 수면 매립 공사 실시 계획 인가는 해운항만과입니다.
주택 건설 사업 계획 승인 신청은 총괄건축과입니다.
건축 허가 신청은 총괄건축과입니다.
(임시)사용 승인 신청은 총괄건축과입니다.
토지 구획 정리 사업 시행(변경) 인가는 도시정비과입니다.</t>
  </si>
  <si>
    <t>ㆍ80_민원_1회방문처리제_부산민원120.pdf (p.1)</t>
  </si>
  <si>
    <t>첨부파일 확인 필요한데 다운로드가 안됩니다.</t>
  </si>
  <si>
    <t>미답변 처리
  &gt; 관련 내용이 너무 많고 통합민원과에서 업무편람 파일 미제공으로 미답변 처리</t>
  </si>
  <si>
    <t>회의실 예약은 어떻게 하나요?</t>
  </si>
  <si>
    <t xml:space="preserve">부산광역시청 회의실 예약은 부산광역시청 홈페이지에서 가능합니다.
관련내용은 다음과 같습니다.
1. 부산광역시청 홈페이지에 접속합니다.
2. 홈페이지 상단 메뉴에서 "행사/공간 예약"을 선택합니다.
3. 예약 가능한 회의실을 확인하고, 원하는 날짜와 시간을 선택합니다.
4. 예약 신청서를 작성하고 제출합니다.
5. 예약 신청 후, 부산광역시청 담당 부서에서 예약 가능 여부를 검토하고 승인합니다.
예약 가능 여부는 해당 부서의 일정에 따라 달라질 수 있으므로, 미리 예약하는 것이 좋습니다. </t>
  </si>
  <si>
    <t>근거문서가 없기 때문에 관련 내용이 없다고 나와야 할거 같습니다.
내용은 잘못된 내용으로 나옵니다.</t>
  </si>
  <si>
    <t>게시판(벼룩시장)에 등록하는 방법은?</t>
  </si>
  <si>
    <t>부산광역시 행정포털 내의 ‘벼룩시장’ 게시판에 글을 등록하려는 경우, 직원이 따라야 하는 작성 절차와 승인 여부는 어떻게 되나요?</t>
  </si>
  <si>
    <t>부산광역시청 게시판(벼룩시장)에 등록하는 방법은 다음과 같습니다.
부산광역시청 홈페이지에 접속합니다.
홈페이지 상단 메뉴에서 "시민참여"를 클릭합니다.
“벼룩시장” 메뉴를 선택합니다.
벼룩시장 페이지에서 “글쓰기” 버튼을 클릭합니다.
판매할 물품의 사진과 상세 정보를 입력합니다.
가격과 거래 방법을 설정합니다.
게시글을 등록합니다.
등록 시 주의사항은 다음과 같습니다.
물품의 상태와 가격을 정확하게 기재해야 합니다.
거래 방법(직거래, 택배 등)을 명시해야 합니다.
개인정보 노출을 방지하기 위해 연락처는 공개하지 않는 것이 좋습니다.
허위 정보나 불법적인 물품은 등록할 수 없습니다.
등록 후에도 관리자가 검토하여 부적절한 게시글은 삭제될 수 있으니, 규정을 준수해 주시기 바랍니다.</t>
  </si>
  <si>
    <t>이것도 근거문서가 없기 때문에 관련 내용이 없다고 나와야 할거 같습니다
내용도 잘못된 내용입니다</t>
  </si>
  <si>
    <t>미답변 처리</t>
  </si>
  <si>
    <t>임기제공무원은 어떻게 임용되나요?</t>
  </si>
  <si>
    <t>지방자치단체에서 임기제공무원을 신규로 채용·임용할 때 적용되는 절차(채용 공고, 선발 방식, 임용 결정 순서)는 어떻게 이루어지나요?</t>
  </si>
  <si>
    <t>부산광역시청 임기제공무원은 임용분야, 선발인원, 응시 자격 요건, 임용기간, 응시원서 접수, 시험 방법, 최종 합격자 발표의 과정을 거쳐 임용됩니다.
관련내용은 다음과 같습니다.
임용분야, 선발인원, 응시 자격 요건 확인: 임기제공무원 임용 공고문에서 임용분야, 선발인원, 응시 자격 요건 등을 확인합니다.
응시원서 접수: 공고문에 따라 응시원서를 접수합니다. 접수 방법은 공고문에 명시되어 있습니다.
시험 방법: 서류전형, 필기시험, 면접시험 등의 절차를 거쳐 최종 합격자를 선발합니다. 각 단계별 합격자 발표는 공고문을 통해 공지됩니다.
최종 합격자 발표: 최종 합격자는 공고문을 통해 발표되며, 개별 통보될 수 있습니다.
이러한 과정을 통해 부산광역시청 임기제공무원이 선발되며, 각 단계별로 준비해야 할 사항들이 다를 수 있으므로 공고문을 꼼꼼히 확인하고 준비하는 것이 중요합니다.</t>
  </si>
  <si>
    <t>내용은 괜찮은데 관련 근거가 있음에도 불구하고 안나옵니다.
2501_인사과_대통령령_인사혁신처_공무원임용령(대통령령)(제35191호) 제22조4(임기제공무원의 임용 절차 등) 이라는 근거가 있습니다</t>
  </si>
  <si>
    <t>기대답변 :
 1. 운영 목적
  - 새로운 행정수요 대응과 전문분야 역량 강화를 위해 민간 전문가를 채용하여 행정의 유연성과 전문성을 높이기 위해 운용됨.
 2. 임용 요건 
  - 일반임기제: 정원 및 예산 범위 내에서 임용
  - 전문·시간선택제·한시임기제: 예산 범위 내에서 계약으로 임용
 3. 임용 기간
  - 기본적으로 최대 5년
  - 총 근무 5년에 도달한 자가 성과가 뛰어난 경우, 인사위원회 의결을 거쳐 추가 5년 범위 내에서 기간 단위 연장 가능
 4. 임용 절차
  - 해당 부서의 채용 의뢰 → 인사위원회에서 선발
 5. 운영 방향
  - 전문성이 필요한 신규 직위에 임기제 채용 확대
  - 행정 수요 감소 또는 일반직 수행 가능 분야는 단계적 정비
  - 일반·시간선택제 임기제 임용 시 직무진단 및 사전협의 절차 필수</t>
  </si>
  <si>
    <t>291_2501_인사과_대통령령_인사혁신처_공무원임용령대통령령제35191호.pdf</t>
  </si>
  <si>
    <t>13</t>
  </si>
  <si>
    <t>제22조의4(임기제공무원의 임용 절차 등) ① 임용권자 또는 임용제청권자는 정원(일반임기제공무원을 임용하는 경우만
 해당한다) 및 예산의 범위에서 임기제공무원을 임용할 수 있다. 이 경우 소속 장관이 아닌 기관의 장이 일반임기제공
 무원 및 한시임기제공무원을 임용한 경우에는 그 사실을 소속 장관에게 통보하여야 하며, 전문임기제공무원을 임용
 하려는 경우에는 소속 장관의 승인을 받아야 한다.
 ② 소속 장관은 제1항에 따라 임기제공무원을 임용하거나, 일반임기제공무원 및 한시임기제공무원의 임용 사실을
 통보받은 경우와 전문임기제공무원의 임용을 승인한 경우에는 그 사실을 지체 없이 인사혁신처장에게 통보하여야
 한다.&lt;개정 2014. 11. 19.&gt;
 ③ 소속 장관은 전문임기제공무원을 임용하거나, 전문임기제공무원의 임용을 승인하려는 경우에는 다음 각 호의 사
 항을 미리 정하여야 한다. 이 경우 제1호부터 제3호까지의 사항에 관하여는 행정안전부장관과 협의하여야 한다.&lt;개
 정 2014. 11. 19., 2017. 7. 26.&gt;
 1. 사업의 필요성
 2. 임용예정 직위의 업무 내용
 3. 임용 인원ㆍ등급 및 기간
 4. 임용자격
 5. 공고 계획
 6. 임용조건
 ④ 법 제32조의2에 따른 인사교류계획에 따라 대학의 교원, 연구기관의 연구원 또는 공공기관의 임직원을 임기제공
 무원으로 임용하는 경우에는 「공무원임용시험령」 제3조에 따른 사전 협의, 같은 영 제29조에 따른 경력경쟁채용시
 험등, 같은 영 제47조에 따른 공고 및 같은 영 제49조의2에 따른 점검 등을 생략할 수 있다.&lt;개정 2013. 12. 16.&gt;
 ⑤ 「비상대비에 관한 법률」 제12조의2제1항제2호에 따라 중앙행정기관 및 소속 지방행정기관, 대통령 소속 기관
 및 국무총리 소속 기관에 두는 비상대비업무담당자와 인사혁신처장이 정하는 업무 분야의 담당자(이하 “비상대비
 업무담당자등”이라 한다)는 일반임기제공무원 또는 전문경력관으로 임용한다. 이 경우 임용계급 또는 상당계급, 임
 용 절차, 자격요건 등은 인사혁신처장이 따로 정한다.&lt;개정 2014. 11. 19., 2023. 12. 26.&gt;
 ⑥ 전문경력관은 다음 각 호의 어느 하나에 해당할 경우에만 일반임기제공무원으로 임용할 수 있다.&lt;개정 2023.
 10. 10.&gt;
 1. 법 제43조제1항부터 제3항까지에 따른 결원보충의 경우
 2. 강의 및 연구 관련 직위에 채용하는 경우
 ⑦ 임용권자 또는 임용제청권자는 임기제공무원의 임용을 위해 필요한 경우에는 「공직후보자 등에 관한 정보의 수
 집 및 관리에 관한 규정」 제6조의2제1항제1호에 따라 인사혁신처장으로부터 해당 직위의 적격자를 추천받을 수 있
 다.&lt;신설 2023. 8. 30.&gt;
 [본조신설 2013. 11. 20.]</t>
  </si>
  <si>
    <t>임기제 공무원 임용 방법 안내</t>
  </si>
  <si>
    <r>
      <rPr>
        <rFont val="맑은 고딕"/>
        <b/>
        <color theme="1"/>
        <sz val="11.0"/>
      </rPr>
      <t xml:space="preserve">264_2401_인사과_법령_행정안전부_지방공무원_인사관계_법령집.pdf[107] 
-----
</t>
    </r>
    <r>
      <rPr>
        <rFont val="맑은 고딕"/>
        <color theme="1"/>
        <sz val="11.0"/>
      </rPr>
      <t>[제목개정 2021. 11. 30.]</t>
    </r>
    <r>
      <rPr>
        <rFont val="맑은 고딕"/>
        <color rgb="FFFF0000"/>
        <sz val="11.0"/>
      </rPr>
      <t xml:space="preserve"> 제21조의3(임기제공무원의 임용절차 등) </t>
    </r>
    <r>
      <rPr>
        <rFont val="맑은 고딕"/>
        <color theme="1"/>
        <sz val="11.0"/>
      </rPr>
      <t>1 지방자치단체의 장과 지방의회의 의장은 정원(일반임기 제공무원을 임용하는 경우만 해당한다) 및 예산의 범위에서 임기제공무원을 임용할 수 있다. &lt;개정 2021. 11. 30.&gt; 2 지방자치단체의 장과 지방의회의 의장이 제1항에 따라 임기제공무원을 임용하려는 경우에는 다음 각 호의 사항을 미리 해당 인사위원회의 의결을 거쳐 정해야 한다. &lt;개정 2021. 11. 30.&gt; 1. 사업의 필요성 2. 임용예정 직위의 업무 내용 3. 임용 인원·등급 및 기간 4. 임용자격 5. 공고 계획 6. 임용요건 3 임기제공무원의 임용시험은 제42조의2에도 불구하고 법 제7조제1항에 따라 임용권자별로 설치된 인사위원회가 실시한다. 다만, 5급 상당 이상 임기제공무원의 임용시험은 시장·군수 또 는 자치구의 구청장이나 시·군·구의회의 의장의 요구에 따라 시·도 단위로 각각 해당 시·도의 인사위원회가 실시할 수 있다. &lt;개정 2013. 12. 30., 2018. 3. 20., 2021. 11. 30.&gt; 4 시험실시기관은 임기제공무원에 대하여 경력경쟁임용시험을 실시하는 경우 제62조제2항에 도 불구하고 다음 각 호의 어느 하나에 해당하는 경우에는 공고하지 않을 수 있다. &lt;개정 2016. 12. 30., 2021. 11. 30.&gt; 1. 외국인 및 북한이탈주민을 임기제공무원으로 임용하는 경우로서 불가피한 사유가 있는 경우 2. 기구의 개편, 직제 또는 정원의 개정 또는 폐지 등으로 임기제공무원의 정원이 다른 기관 등으로 이체(移替)되어 해당 임기제공무원을 직급 및 직무분야의 변경 없이 근무기간 동안 계속 임용하는 경우. 이 경우 해당 임기제공무원은 근무기간, 연봉등급 등에 관하여 종전의 임용요건에 따라 임용된 것으로 본다. 3. 파견자 또는 휴직자의 결원 보충 등의 사유로 임기제공무원을 3개월의 범위에서 임용하는 경우. 다만, 결원 보충 등의 사유가 계속되어 근무기간을 연장하는 경우로서 전체 근무기간 이 6개월을 초과하는 경우에는 임용공고 절차를 거쳐야 한다. 4. 한시임기제공무원을 임용하는 경우 5. 정책결정의 보좌를 위하여 전문임기제공무원을 임용하는 경우 6. 중증장애인인 지방의회의원의 활동을 보조하기 위하여 임기제공무원을 임용하는 경우 5 제4항제4호에 해당하는 한시임기제공무원을 임용하는 경우에는 제55조에도 불구하고 경력 경쟁임용시험등을 면제할 수 있다. 6 「비상대비에 관한 법률」 제12조의2제1항제3호에 따라 시·도 및 시·도 교육청에 두는 비상 대비업무담당자와 교육부장관 또는 행정안전부장관이 정하는 업무 분야의 담당자(이하 “비상대 비업무담당자등”이라 한다)는 지방전문경력관 또는 일반임기제공무원으로 임용한다. 이 경우 임용계급 또는 상당계급, 임용 절차, 자격요건 등은 교육부장관 또는 행정안전부장관이 따로 정한다. &lt;개정 2014. 11. 19., 2017. 7. 26., 2020. 7. 28., 2023. 6. 13.&gt; 7 법 제41조제1항 및 제2항에 따른 결원 보충의 경우에 한정하여 지방전문경력관을 일반임기 제공무원으로 임용할 수 있다. [본조신설 2013. 11. 20.] 대통령령|지방공무원 임용령 0103</t>
    </r>
  </si>
  <si>
    <r>
      <rPr>
        <rFont val="맑은 고딕"/>
        <b/>
        <color theme="1"/>
        <sz val="11.0"/>
      </rPr>
      <t xml:space="preserve">264_2401_인사과_법령_행정안전부_지방공무원_인사관계_법령집.pdf[863] 
-----
</t>
    </r>
    <r>
      <rPr>
        <rFont val="맑은 고딕"/>
        <color rgb="FFFF0000"/>
        <sz val="11.0"/>
      </rPr>
      <t>제 22조의4 (임기제공무원의 임용 절차 등)</t>
    </r>
    <r>
      <rPr>
        <rFont val="맑은 고딕"/>
        <color theme="1"/>
        <sz val="11.0"/>
      </rPr>
      <t xml:space="preserve"> ① 임용권자 또는 임용제청권자는 정원 일반임기제공무원 (
을 임용하는 경우만 해당한다 및 예산의 범위에서 임기제공무원을 임용할 수 있다 이 경우 ) .
소속 장관이 아닌 기관의 장이 일반임기제공무원 및 한시임기제공무원을 임용한 경우에는 그
사실을 소속 장관에게 통보하여야 하며 전문임기제공무원을 임용하려는 경우에는 소속 장관의 ,
승인을 받아야 한다.
② 소속 장관은 제 항에 따라 임기제공무원을 임용하거나 일반임기제공무원 및 한시임기제공 1 ,
무원의 임용 사실을 통보받은 경우와 전문임기제공무원의 임용을 승인한 경우에는 그 사실을
지체 없이 인사혁신처장에게 통보하여야 한다 개정 . &lt; 2014. 11. 19.&gt;
③ 소속 장관은 전문임기제공무원을 임용하거나 전문임기제공무원의 임용을 승인하려는 경우 ,
에는 다음 각 호의 사항을 미리 정하여야 한다 이 경우 제 호부터 제 호까지의 사항에 관하 . 1 3
여는 행정안전부장관과 협의하여야 한다 개정 . &lt; 2014. 11. 19., 2017. 7. 26.&gt;
1. 사업의 필요성
2. 임용예정 직위의 업무 내용
3. · 임용 인원 등급 및 기간
4. 임용자격
5. 공고 계획
6. 임용조건
④ 법 제 조의 에 따른 인사교류계획에 따라 대학의 교원 연구기관의 연구원 또는 공공기관 32 2 ,
의 임직원을 임기제공무원으로 임용하는 경우에는 공무원임용시험령 제 조에 따른 사전 협</t>
    </r>
  </si>
  <si>
    <r>
      <rPr>
        <rFont val="맑은 고딕"/>
        <b/>
        <color theme="1"/>
        <sz val="11.0"/>
      </rPr>
      <t xml:space="preserve">264_2401_인사과_법령_행정안전부_지방공무원_인사관계_법령집.pdf[37] </t>
    </r>
    <r>
      <rPr>
        <rFont val="맑은 고딕"/>
        <color theme="1"/>
        <sz val="11.0"/>
      </rPr>
      <t xml:space="preserve">
-----
식·기술이 요구되거나 임용관리에 특수성이 요구되는 업무를 담당하게 하기 위하여 경력직공무 원을 임용할 때에 일정기간을 정하여 근무하는 공무원(이하 “임기제공무원”이라 한다)을 임용 할 수 있다. &lt;개정 2021. 10. 8.&gt; 2 임기제공무원의 임용조건, 임용절차, 근무상한연령 및 그 밖에 필요한 사항은 대통령령으로 정한다. [본조신설 2012. 12. 11.] 제25조의6(차별금지) 임용권자는 소속 공무원을 임용할 때 합리적인 이유 없이 성별, 종교 또는 사회적 신분 등을 이유로 차별해서는 아니 된다. [본조신설 2020. 1. 29.] 제26조(결원 보충 방법) 임용권자는 공무원의 결원을 신규임용·승진임용·강임·전직 또는 전보의 방 법으로 보충한다. [전문개정 2008. 12. 31.] </t>
    </r>
    <r>
      <rPr>
        <rFont val="맑은 고딕"/>
        <color rgb="FFFF0000"/>
        <sz val="11.0"/>
      </rPr>
      <t xml:space="preserve">제27조(신규임용) 1 공무원의 신규임용은 공개경쟁임용시험으로 한다. </t>
    </r>
    <r>
      <rPr>
        <rFont val="맑은 고딕"/>
        <color theme="1"/>
        <sz val="11.0"/>
      </rPr>
      <t>&lt;개정 2011. 5. 23.&gt; 2 제1항에도 불구하고 다음 각 호의 어느 하나에 해당하는 경우에는 경력 등 응시요건을 정 하여 같은 사유에 해당하는 다수인을 대상으로 경쟁의 방법으로 임용하는 시험(이하 “경력경쟁 임용시험”이라 한다)으로 공무원을 임용할 수 있다. 다만, 제1호, 제3호, 제4호, 제5호, 제7호, 제10호의 어느 하나에 해당하는 경우 중 다수인을 대상으로 시험을 실시하는 것이 적당하지 아니하여 대통령령으로 정하는 경우에는 다수인을 대상으로 하지 아니한 시험으로 공무원을 임용할 수 있다. &lt;개정 2011. 5. 23., 2012. 3. 21., 2012. 12. 11., 2013. 3. 23., 2014. 11. 19., 2015. 5. 18., 2017. 7. 26., 2018. 3. 20.&gt; 1. 제62조제1항제1호의 사유로 퇴직하거나 제63조제1항제1호의 휴직기간 만료로 퇴직한 경력 직공무원을 퇴직한 날부터 3년(「공무원 재해보상법」에 따른 공무상 부상 또는 질병으로 인 한 휴직의 경우는 5년) 이내에 퇴직 시에 재직한 직급의 경력직공무원으로 재임용하는 경우 또는 경력직공무원으로 재직하던 중 특수경력직공무원이나 다른 종류의 경력직공무원이 되 기 위하여 퇴직한 사람을 퇴직 시에 재직한 직급의 경력직공무원으로 재임용하는 경우 2. 공개경쟁임용시험으로 임용하는 것이 부적당한 경우에 임용예정 직무에 관한 자격증 소지자 를 임용하는 경우 3. 임용예정 직급·직위와 같은 직급·직위에서의 근무경력 또는 임용예정 직급·직위에 상응하는 근무기간이나 연구 경력이 대통령령으로 정하는 기간 이상인 사람을 임용하는 경우 4. 임용예정직에 관련된 특수목적을 위하여 설립된 학교(대학원을 포함한다) 중 대통령령으로 정하는 학교의 졸업자로서 국가기관 또는 지방자치단체에서 실무수습을 마친 사람을 임용하 는 경우 5. 1급 공무원을 임용하는 경우 6. 공개경쟁임용시험으로 결원을 보충하기 곤란한 특수한 직무분야나 직무환경 또는 섬, 외딴 곳 등 특수한 지역에 근무할 사람을 임용하는 경우 7. 국가공무원을 그 직급·직위(고위공무원단에 속하는 공무원의 경우 해당 직위와 곤란성 및 책임도가 유사한 직위를 말한다)에 해당하는 지방공무원으로 임용하는 경우 8. 임용예정직에 관련된 실업계·예능계 및 사학계(史學系)의 고등학교·전문대학 및 대학(대학원 을 포함한다)의 학과 중 대통령령으로 정하는 학과 졸업자로서 교육부장관 또는 행정안전부 장관이 정하는 바에 따라 해당 학교장의 추천을 받은 사람을 연구 또는 기술직렬 공무원으 법률|지방공무원법 0033</t>
    </r>
  </si>
  <si>
    <t>부산시 도시관리계획 결정변경절차는 어떻게 되나요?</t>
  </si>
  <si>
    <t>부산광역시가 도시관리계획(용도지역·지구·구역 등)을 변경하고자 할 때, 행정청 자체 결정 변경에 적용되는 검토·입안·공고·결정 절차는 어떻게 진행되나요?</t>
  </si>
  <si>
    <t>부산시 도시관리계획 결정변경 절차는 크게 도시관리계획 결정(변경) 신청, 도시관리계획 결정(변경) 고시, 지형도면 고시, 관계도서 비치 및 열람, 일반인 및 이해관계인 열람 등의 단계로 진행됩니다.
관련내용은 다음과 같습니다.
도시관리계획 결정(변경) 신청: 부산광역시 동구청장이 도시관리계획(시설: 도로) 변경 결정을 신청합니다.
도시관리계획 결정(변경) 고시: 부산광역시는 도시관리계획 결정(변경)을 고시합니다.
지형도면 고시: 도시관리계획 결정(변경)에 따른 지형도면을 고시하며, 토지이용규제기본법 제8조에 따라 지형도면을 고시합니다.
관계도서 비치 및 열람: 부산광역시와 동구청에 관계도서를 비치하고 일반인 및 이해관계인에게 열람할 수 있도록 합니다.
일반인 및 이해관계인 열람: 일반인 및 이해관계인은 해당 기간 동안 관계도서를 열람할 수 있습니다.
이러한 절차를 통해 부산시의 도시관리계획이 결정되고 변경됩니다.</t>
  </si>
  <si>
    <t>ㆍ9708_부산광역시고시_제2022-192호지형도면고시문-공중보행로_6번보도교.pdf (p.1)</t>
  </si>
  <si>
    <t>관련 근거 링크 오류, 내용도 오류인거 같습니다. 
동구청장이 변경, 결정을 하는 내용이 오류입니다.</t>
  </si>
  <si>
    <t>미답변 처리
  &gt; 조례로만 해당 절차에 대해 설명하기 어려움</t>
  </si>
  <si>
    <r>
      <rPr>
        <rFont val="맑은 고딕"/>
        <b/>
        <color theme="1"/>
        <sz val="11.0"/>
      </rPr>
      <t>580_페이지58_문서10_163054_부산광역시_도시균형발전_지원에_관한_조례.pdf[4] : 0.89</t>
    </r>
    <r>
      <rPr>
        <rFont val="맑은 고딕"/>
        <color theme="1"/>
        <sz val="11.0"/>
      </rPr>
      <t xml:space="preserve">
-----
제18조(용적률 완화 등) 시장은 제17조 각 호의 어느 하나에 해당하는 시설 등 도시균형발전을 위하여 유치가 필요하다고 인정하 는 시설에 대하여는 다음 각 호의 사항을 「부산광역시 도시계획 조례」에 따로 규정하거나 도시관리계획에 반영할 수 있다.&lt;개정 2017. 5. 31&gt; 1. 「국토의 계획 및 이용에 관한 법률」이 정하는 범위에서 각각의 용도지역에서 적용 하는 용적률의 상한&lt;개정 2017. 5. 31&gt; 2. 「국토의 계획 및 이용에 관한 법률」이 정하는 범위에서 공동주택과 다른 용도가 복합되는 건축물의 주거용 면적 비율에 따른 용 적률의 상한&lt;개정 2017. 5. 31&gt; 3. 도시기본계획에 부합하는 용도지역과 같은 지역의 세분지정·변경에 관한 도시관리계획결정&lt;개정 2017. 5. 31&gt; 제19조 삭제 &lt;2022.2.16.&gt; 제20조(행정지원 등) 시장은 민간기업 등이 참여하는 도시균형발전사업을 효율적으로 추진하기 위하여 관계공무원을 지정하여 각 종 사업시행에 관한 절차와 업무 협의 등의 대행과 필요한 정보 등 행정지원을 할 수 있다. 제4장 부산광역시도시균형발전위원회 제21조(설치) 시장은 도시균형발전을 위한 정책 및 사업에 관한 사항을 심의하기 위하여 부산광역시도시균형발전위원회(이하 "위원 회"라 한다)를 둔다. 제22조(기능) 위원회는 다음 각 호의 사항을 심의한다. &lt;개정 2017.5.31., 2022.2.16. &gt; 1. 제4조에 따른 기본계획의 수립에 관한 사항&lt;개정 2017. 5. 31&gt; 2. 제6조·제8조 및 제9조에 따른 사업의 지정·변경 및 우선순위에 관한 사항&lt;개정 2017. 5. 31&gt; 3. 제12조에 따른 사업시행방식별 사업계획에 관한 사항&lt;개정 2017. 5. 31&gt; 4. 도시균형발전특별회계 운영에 관한 사항 5. 그 밖에 시장이 필요하다고 인정하는 사항 제23조(구성) 1 위원회는 위원장 및 부위원장 각 1명을 포함하여 20명 이내의 위원으로 구성한다.&lt;개정 2017. 5. 31&gt; 2 위원장 및 부위원장은 위원 중에서 각각 호선하며, 그 임기는 2년으로 한다.&lt;개정 2017. 5. 31&gt; 3 위원은 다음 각 호의 어느 하나에 해당하는 사람 중에서 시장이 임명 또는 위촉한다. 이 경우 제1호에 해당하는 위원의 수는 전 체 위원수의 3분의 1을 초과할 수 없다.&lt;개정 2017. 5. 31&gt; 1. 시 소속 3급 이상 공무원 2. 시의회에서 추천하는 사람&lt;개정 2017. 5. 31&gt; 3. 도시계획, 건축, 교통, 항만, 물류, 교육, 문화, 사회복지, 재정, 환경, 조경 등의 분야에 관한 학식과 경험이 풍부한 사람&lt;개정 2017. 5. 31&gt; 제24조(임기) 위촉위원의 임기는 2년으로 하되, 한 차례만 연임할 수 있다. 다만, 보궐위원의 임기는 전임자의 남은 기간으로 한다.&lt; 개정 2017. 5. 31&gt; 제25조(위원장의 직무) 1 위원장은 위원회를 대표하고 위원회의 업무를 총괄한다.&lt;개정 2017. 5. 31&gt; 2 위원장이 부득이한 사유로 직무를 수행할 수 없을 때에는 부위원장이 그 직무를 대행하며, 위원장 및 부위원장이 모두 부득이한 사유로 직무를 수행할 수 없을 때에는 위원장이 미리 지명한 위원이 그 직무를 대행한다.&lt;개정 2017. 5. 31&gt; 제26조(회의) 1 위원장은 위원회의 회의를 소집하고, 그 의장이 된다.&lt;개정 2017. 5. 31&gt; 2 위원회의 회의는 재적위원 과반수의 출석으로 개의하고, 출석위원 과반수의 찬성으로 의결한다.&lt;개정 2017. 5. 31&gt; 제27조(소위원회) 1 위원장은 위원회를 효율적으로 운영하기 위하여 필요하면 소위원회를 둘 수 있다.&lt;개정 2017. 5. 31&gt; 2 소위원회의 설치 및 운영에 필요한 사항은 위원회의 의결을 거쳐 위원장이 정한다.&lt;개정 2017. 5. 31&gt; 제28조(간사 및 서기) 1 위원회의 사무를 처리하기 위하여 위원회에 간사 및 서기 각 1명을 둔다.&lt;개정 2017. 5. 31&gt;</t>
    </r>
  </si>
  <si>
    <r>
      <rPr>
        <rFont val="맑은 고딕"/>
        <b/>
        <color theme="1"/>
        <sz val="11.0"/>
      </rPr>
      <t xml:space="preserve">28_페이지3_문서8_162125_부산광역시_도시계획_조례.pdf[23]
-----
</t>
    </r>
    <r>
      <rPr>
        <rFont val="맑은 고딕"/>
        <color theme="1"/>
        <sz val="11.0"/>
      </rPr>
      <t>제6조(다른 조례의 개정)1 부산광역시도시공원조례중 다음과 같이 개정한다. 제8조제1항제1호 및 제9조제2항제2호다목중 "도시계획법"을 각각 "국토의계획및이용에관한법률"로 한다. 제8조제1항제2호·제3호 및 제9조제1항제2호·제3호중 "도시계획법 제58조"를 각각 "국토의계획및이용에관한법률 제85조"로 한다. 제8조제4항제3호, 제9조제1항제4호 및 제17조제2호중 "도시계획시설기준에관한규칙"을 각각 "도시계획시설의결정·구조및설치기 준에관한규칙"으로 한다. 2부산광역시유원지관리조례중 다음과 같이 개정한다. 제5조제1호중 "도시계획법 제50조제2항"을 "국토의계획및이용에관한법률 제64조"로 한다. 제6조제2항 및 제3항중 "도시계획법 제58조"를 각각 "국토의계획및이용에관한법률 제85조"로 한다. 3부산광역시공유재산관리조례중 다음과 같이 개정한다. 제18조제1항제2호 및 제23조제4항제1호중 "도시계획"을 각각 "도시관리계획"으로 한다. 제39조의2제3항제1호중 "도시계획법상"을 "도시관리계획상"으로 한다. 4부산광역시공동구관리및점용료등징수조례중 다음과 같이 개정한다. 제1조중 "도시계획법(이하 "법"이라 한다) 제37조"를 "국토의계획및이용에관한법률(이하 "법"이라 한다) 제44조"로 "동법시행령(이 하 "영"이라 한다) 제36조"를 "동법시행령(이하 "영"이라 한다) 제39조"로 한다. 5부산광역시건축조례중 다음과 같이 개정한다. 제18조제1항제6호중 "도시계획법 제50조"를 "국토의계획및이용에관한법률 제64조"로 한다. 제58조제3항제1호중 "도시계획법"을 "국토의계획및이용에관한법률"로 "도시계획법령"을 "국토계획법령"으로 하고, 동항 제2호·제3 호 및 제4호중 "도시계획법령"을 각각 "국토계획법령"으로 한다. 6부산광역시주차장설치및관리조례 제13조제1항중 "도시계획법"을 "국토의계획및이용에관한법률"로 한다. 7부산광역시하수도사용조례 제17조제2항제2호 2), 가)중 "도시계획법"을 "국토의계획및 이용에관한법률"로 한다. 8부산광역시재개발사업조례중 다음과 같이 개정한다. 제5조제3호중 "도시계획시설기준에관한규칙"을 "도시계획시설의결정·구조및설치기준에관한규칙"으로 한다. 제7조제1항제3호중 "도시계획법 제17조"를 "국토의계획및이용에관한법률 제36조"로 한다. 부 칙(사무의위임·위탁에관한조례)&lt;2004. 3. 11&gt; 제1조(시행일)이 조례는 부산·진해경제자유구역청을 개청한 날부터 시행한다. 제2조(다른 조례의 개정)1 ～ (21) 생략 (22)부산광역시도시계획조례 제9조중 "구·군"을 “구, 군, 부산·진해경제자유구역청(이 하 “구·군”이라 한다)으로 하고, 제66조제1항 및 제3항중 “구청장·군수”를 각각 “구청장, 군수, 부산·진해경제자유구역청장"으로 한다. (23) ～ (26) 생략 부 칙&lt;2004. 4. 22&gt; 1 (시행일) 이 조례는 공포후 1월이 경과한 날부터 시행한다. 2 (경과조치) 이 조례 시행당시 건축허가(건축허가가 의제되는 허가·인가 등을 포함한다)를 신청중인 경우 또는 건축허가를 받았거 나 건축신고를 하고 건축중인 경우에는 종전의 규정에 의한다. 다만, 종전의 규정이 이 조례의 규정에 비하여 불리한 경우에는 이 조례의 규정에 의한다. 부 칙(조례 제명 띄어쓰기 등 일괄개정 조례)&lt;2005. 2. 16&gt; 이 조례는 공포한 날부터 시행한다. 부 칙(사무의 위임·위탁에 관한 조례)&lt;2005. 6. 8&gt;</t>
    </r>
  </si>
  <si>
    <t>용도지역을 바꾸고 싶은데 어떻게 해야하나요?</t>
  </si>
  <si>
    <t>부산광역시에서 토지 소유자가 용도지역 변경을 신청하려는 경우 변경 절차는 어떻게 진행되나요?</t>
  </si>
  <si>
    <t>용도지역 변경을 위해서는 다음과 같은 절차를 거쳐야 합니다.
용도지역 변경 계획 수립: 먼저, 용도지역 변경을 위한 계획을 수립해야 합니다. 이 계획에는 변경하고자 하는 용도지역의 면적, 비율, 변경 사유 등이 포함되어야 합니다.
주민 의견 수렴: 변경 계획을 수립한 후에는 해당 지역 주민들의 의견을 수렴해야 합니다. 이는 주민 공청회나 설문조사 등을 통해 이루어질 수 있습니다.
관계 기관 협의: 용도지역 변경 계획이 수립되면, 관련 기관과의 협의를 진행해야 합니다. 이는 국토교통부, 환경부 등 관련 중앙행정기관 및 지방자치단체와의 협의를 포함합니다.
도시계획위원회 심의: 용도지역 변경 계획이 확정되면, 도시계획위원회의 심의를 받아야 합니다. 이 과정에서 계획의 타당성, 환경영향, 교통영향 등이 검토됩니다.
고시 및 공포: 도시계획위원회의 심의를 통과하면, 변경 계획을 고시하고 공포합니다. 이는 일반 대중이 변경된 용도지역을 알 수 있도록 하는 절차입니다.
후속 조치: 용도지역 변경이 고시된 후에는, 변경된 용도지역에 따라 건축물이나 개발사업 등이 진행될 수 있도록 후속 조치를 취해야 합니다.
이러한 절차를 통해 용도지역 변경이 이루어지며, 각 단계에서 필요한 서류 작성, 제출, 검토, 협의 등의 과정이 포함됩니다.</t>
  </si>
  <si>
    <t>관련 근거가 없어 내용 확인이 불가합니다. 기초적인 내용만 써있는걸로 보입니다.</t>
  </si>
  <si>
    <t>제 땅이 도시계획시설에 편입되어 있는데 보상받는 방법은 어떻게 되나요?</t>
  </si>
  <si>
    <t>부산광역시에서 도시계획시설 사업이 시행되어 제 토지가 편입된 경우, 토지 소유자가 받을 수 있는 보상 절차는 어떻게 진행되나요?</t>
  </si>
  <si>
    <t>도시계획시설에 편입된 경우 보상받는 방법은 보상협의회를 거쳐 보상액을 산정하고, 보상금을 지급하는 절차로 이루어집니다.
관련내용은 다음과 같습니다.
보상협의회 개최 요청: 토지보상법 제82조 및 동법 시행령 제44조에 따라 관할 지방자치단체의 장에게 보상협의회 개최를 의뢰합니다.
보상액 산정: 감정평가업자 3인(해당 토지를 관할하는 시·도지사와 토지 소유자가 모두 감정평가업자를 추천하지 아니하거나 시·도지사 또는 토지 소유자 어느 한쪽이 감정평가업자를 추천하지 아니하는 경우에는 2인)을 선정하여 토지 등의 평가를 의뢰합니다.
보상액 산정 및 지급: 선정된 감정평가업자의 평가액을 산술평균하여 보상액을 산정하고, 이를 토지 소유자 등에게 손실보상협의 요청서를 통해 통보합니다. 협의 기간은 특별한 사유가 없으면 30일 이상으로 설정됩니다.
계약 체결 및 보상금 지급: 토지 소유자 등과 개별적 또는 집단적으로 협의를 진행하여 계약 체결을 요구하며, 협의가 완료되면 지체 없이 보상액 전액을 토지 소유자 등에게 지급합니다.
이러한 절차를 통해 도시계획시설에 편입된 토지에 대한 보상이 이루어지게 됩니다.</t>
  </si>
  <si>
    <t>ㆍ502_압축보상업무규정20241231.pdf (p.3)</t>
  </si>
  <si>
    <t>관련 근거 오류입니다. 아마 해당 질문에 대한 관련 근거는 제출 자료에 없을것으로 보입니다. (자료 요청한 부서에 해당되지 않음)</t>
  </si>
  <si>
    <t>주택건설사업은 어떻게 하나요?</t>
  </si>
  <si>
    <t>부산광역시에서 민간 사업자가 공동주택을 건설하기 위해 주택건설사업 계획 승인을 받으려는 경우, 인허가 절차는 어떻게 진행되나요?</t>
  </si>
  <si>
    <t>부산광역시에서 주택건설사업을 추진하기 위한 절차와 방법은 다음과 같습니다.
사업 계획 수립: 주택건설사업을 추진하기 위해서는 먼저 사업 계획을 수립해야 합니다. 이 단계에서는 사업의 목적, 규모, 위치, 예산 등을 결정하고, 관련 법규와 규정을 검토해야 합니다.
관련 법규 검토: 주택건설사업은 다양한 법규와 규정의 적용을 받습니다. 따라서, 주택법, 도시 및 주거환경정비법, 건축법, 환경영향평가법 등을 검토하여 사업 계획에 반영해야 합니다.
인허가 절차: 주택건설사업을 추진하기 위해서는 여러 가지 인허가를 받아야 합니다. 이에는 주택건설사업계획 승인, 건축 허가, 환경영향평가 등이 포함됩니다. 각 인허가는 관련 기관에서 심사를 거쳐 승인받아야 합니다.
토지 확보: 주택건설사업을 위해서는 토지를 확보해야 합니다. 토지 매입은 직접 매입하거나, 수용, 사용 등의 방법을 통해 이루어질 수 있습니다.
시공 및 준공: 인허가 절차가 완료되고 토지 확보가 이루어지면, 시공사를 선정하고 공사를 진행합니다. 공사가 완료되면, 준공 검사를 받고 사용 승인을 받아야 합니다.
입주 및 관리: 주택이 완공되면, 입주자를 모집하고 주택을 관리합니다. 이 단계에서는 입주자의 편의와 안전을 위해 다양한 서비스를 제공해야 합니다.
주택건설사업은 복잡한 절차와 규정이 따르기 때문에, 전문가의 도움을 받는 것이 좋습니다. 또한, 부산광역시 주택건설 관련 기관이나 전문가와 상담하여 구체적인 절차와 방법을 확인하는 것이 중요합니다.</t>
  </si>
  <si>
    <t xml:space="preserve">제출 자료 중에 근거자료가 없을것으로 보입니다. </t>
  </si>
  <si>
    <t>부산의 도시계획 고시는 어디서 확인할 수 있나요?</t>
  </si>
  <si>
    <t>부산광역시에서 도시관리계획이 고시된 경우, 시민이나 사업자가 해당 고시 내용을 확인할 수 있는 공식 열람 경로는 어디인가요?</t>
  </si>
  <si>
    <t>부산광역시의 도시계획 고시 자료를 확인할 수 있는 곳은 부산광역시 공원여가정책과, 사상구 녹지공원과, 부산광역시 홈페이지입니다.
관련내용은 다음과 같습니다.
부산광역시 공원여가정책과: ☎ 888-3815
사상구 녹지공원과: ☎ 310-4522
부산광역시 홈페이지: https://www.busan.go.kr/ 도시계획 아고라 ≫ 도시 계획정보
이곳에서는 부산광역시의 도시계획과 관련된 다양한 정보를 열람할 수 있으며, 특히 "2040년 부산도시기본계획"에 대한 자세한 내용도 확인 가능합니다.</t>
  </si>
  <si>
    <t>24300_공고문2040년_부산도시기본계획-hwp.pdf (p.1)
https://busanai.busan.go.kr/download/24300_공고문2040년_부산도시기본계획-hwp.pdf
ㆍ34650_부산광역시_고시_제2025-279호_도시관리계획부산도서관_문화공원_조성계획_변경_결정_및_도시계획시설사업부산도서관_문화공원_실시계획변경인가_고시문-hwp.pdf (p.1)
https://busanai.busan.go.kr/download/34650_부산광역시_고시_제2025-279호_도시관리계획부산도서관_문화공원_조성계획_변경_결정_및_도시계획시설사업부산도서관_문화공원_실시계획변경인가_고시문-hwp.pdf</t>
  </si>
  <si>
    <t>일단 링크 2개다 열리지 않습니다.
그리고 도시계획 고시 자료는 시 홈페이지에서 확인이 가능한데 공원여가정책과, 사상구는 잘못된 답변입니다. 
해당 자료는 홈페이지에 있을걸로 예상됩니다. 내부자료나 온나라문서는 관계부서에서 자료를 받은 적이 없기 때문에 자료가 없을 것입니다.</t>
  </si>
  <si>
    <t>부산의 도시계획현황에 대해서 자세하게 설명해주세요?</t>
  </si>
  <si>
    <t>부산광역시의 도시관리계획 현황(용도지역, 지구·구역, 지구단위계획 등)에 대해 자료와 열람 방법, 제공되는 정보 범위는 무엇인가요?</t>
  </si>
  <si>
    <t>부산광역시의 도시계획 현황은 2040년 부산도시기본계획, 도시관리계획(폐기물처리 및 재활용시설, 용도지역, 지구단위계획구역 및 지구단위계획) 결정(변경)안 열람공고, 2040년 부산도시기본계획 시민계획단, 부산도시기본계획 주요 내용, 부산도시기본계획에 인구 감소 시대를 반영하여 2040년까지 350만 명의 계획인구를 설정하였고, 도시공원 1인당 21.5㎡ 확충, 마을건강센터 250개소 확장, 신재생에너지 전력 자립률 40% 상향, 온실가스 감축 비율 2018년 대비 73.5% 감소 등 지속가능한 도시의 성장과 발전을 위한 계획지표도 담았습니다.</t>
  </si>
  <si>
    <t>ㆍ64168_20200624_도시계획과_참고자료_5-hwp.pdf (p.2)
https://busanai.busan.go.kr/download/64168_20200624_도시계획과_참고자료_5-hwp.pdf
ㆍ24300_공고문2040년_부산도시기본계획-hwp.pdf (p.1)
https://busanai.busan.go.kr/download/24300_공고문2040년_부산도시기본계획-hwp.pdf
ㆍ69484_20230315_도시계획과_보도자료2040년_부산도시기본계획_수립하다-hwp.pdf (p.4)
https://busanai.busan.go.kr/download/69484_20230315_도시계획과_보도자료2040년_부산도시기본계획_수립하다-hwp.pdf</t>
  </si>
  <si>
    <t>미답변 처리
  &gt; 도시계획과 등 담당부서의 파일이 필요합니다.
  자치법규에 있는 자료로는 해당 내용을 답변하기 어렵습니다</t>
  </si>
  <si>
    <r>
      <rPr>
        <rFont val="맑은 고딕"/>
        <b/>
        <color theme="1"/>
        <sz val="11.0"/>
      </rPr>
      <t xml:space="preserve">69_2410_기획담당관_기타_기획담당관_2024년_하반기_시정현황24930기준_fn.pdf[108]
-----
</t>
    </r>
    <r>
      <rPr>
        <rFont val="맑은 고딕"/>
        <color theme="1"/>
        <sz val="11.0"/>
      </rPr>
      <t xml:space="preserve"> 도시계획·균형발전 □ 도시계획 현황 </t>
    </r>
    <r>
      <rPr>
        <rFont val="Segoe UI Symbol"/>
        <color theme="1"/>
        <sz val="11.0"/>
      </rPr>
      <t>▮</t>
    </r>
    <r>
      <rPr>
        <rFont val="맑은 고딕"/>
        <color theme="1"/>
        <sz val="11.0"/>
      </rPr>
      <t xml:space="preserve"> 도시균형발전사업 본격 추진 - 도시균형발전사업 관리 및 추진상황 점검(’24. 3월, 8월) - 도시균형발전위원회 개최 및 균형발전사업 심의(’24. 5월, 11월) - 도시균형발전 기본계획(’25.～’35.) 수립 추진(’24.上 착수) </t>
    </r>
    <r>
      <rPr>
        <rFont val="Segoe UI Symbol"/>
        <color theme="1"/>
        <sz val="11.0"/>
      </rPr>
      <t>▮</t>
    </r>
    <r>
      <rPr>
        <rFont val="맑은 고딕"/>
        <color theme="1"/>
        <sz val="11.0"/>
      </rPr>
      <t xml:space="preserve"> 2040년 부산권 광역도시계획 수립 - 광역도시계획 협의회 구성, 기초조사 및 상위계획 검토(’21) - 부산ž경남 실무협의회 개최, 비전ž전략ž목표 설정, 공간구조 및 중심지체계 작성, 부문별 계획 및 지역별 기능분담계획(안) 작성, 법령상 절차 이행(’22.～’24.) ○ (사업규모) 부산시 993.544km2, 김해시 463.329km2, 양산시 485.630km2 ○ (기간/사업비) ’21.9.~’23.12. / 5억원(부산 2.5, 경남 2.5) ○ (사업내용) 수도권에 대응하는 부산 광역권(부산ž김해ž양산) 장기 발전 전략 제시 </t>
    </r>
    <r>
      <rPr>
        <rFont val="Segoe UI Symbol"/>
        <color theme="1"/>
        <sz val="11.0"/>
      </rPr>
      <t>▮</t>
    </r>
    <r>
      <rPr>
        <rFont val="맑은 고딕"/>
        <color theme="1"/>
        <sz val="11.0"/>
      </rPr>
      <t xml:space="preserve"> 사상드림스마트시티 재생사업 - 사상노후산단 경쟁력 강화사업(주차장ž소공원 1개소) 선정(’22.8.) - 새벽로 확장 1차 준공(’22.10.), 학장초교 남측도로 확장 1차 구간 보상 완료(’22.11.) - 서부산행정복합타운 건축허가(’24.7.) - 경쟁력강화사업(주차장, 소공원 1개소) 타당성조사 완료(’23.10.) - 상상허브 활성화계획 수립중(’24.2.) </t>
    </r>
    <r>
      <rPr>
        <rFont val="Segoe UI Symbol"/>
        <color theme="1"/>
        <sz val="11.0"/>
      </rPr>
      <t>▮</t>
    </r>
    <r>
      <rPr>
        <rFont val="맑은 고딕"/>
        <color theme="1"/>
        <sz val="11.0"/>
      </rPr>
      <t xml:space="preserve"> 영도공업지역 활성화 시범사업 - KDI 예비타당성 조사 통과(’23.11.) - 실시설계 용역 발주 준비 중(’24.2. 발주예정) 104 부산광역시</t>
    </r>
  </si>
  <si>
    <r>
      <rPr>
        <rFont val="맑은 고딕"/>
        <b/>
        <color theme="1"/>
        <sz val="11.0"/>
      </rPr>
      <t>418_2203_탄소중립정책과_중장기기본계획_탄소중립정책과_제3차_부산광역시_기후변화_적응대책_세부시행계획.pdf[460]</t>
    </r>
    <r>
      <rPr>
        <rFont val="맑은 고딕"/>
        <color theme="1"/>
        <sz val="11.0"/>
      </rPr>
      <t xml:space="preserve">
-----
사. 2030년 부산도시기본계획(변경) 1) 계획의 개요 q 계획의 수립 배경 </t>
    </r>
    <r>
      <rPr>
        <rFont val="Segoe UI Symbol"/>
        <color theme="1"/>
        <sz val="11.0"/>
      </rPr>
      <t>❍</t>
    </r>
    <r>
      <rPr>
        <rFont val="맑은 고딕"/>
        <color theme="1"/>
        <sz val="11.0"/>
      </rPr>
      <t xml:space="preserve"> 시민의식 성숙과 삶의 질에 대한 욕구증가 등 주민의식 변화와 고령사회·저성장 시대 도래로 지속가능한 도시성장 관리로의 도시계획 패러다임 변화 </t>
    </r>
    <r>
      <rPr>
        <rFont val="Segoe UI Symbol"/>
        <color theme="1"/>
        <sz val="11.0"/>
      </rPr>
      <t>❍</t>
    </r>
    <r>
      <rPr>
        <rFont val="맑은 고딕"/>
        <color theme="1"/>
        <sz val="11.0"/>
      </rPr>
      <t xml:space="preserve"> 부산광역시 대내·외 정책의 여건변화에 적극적으로 대응하고, 국토계획평가, 성별영향평가, 토지적성평가 및 기후변화에 따른 재해취약성 분석 등 법규 및 제도의 변화에 대응하는 부산광역시 차원의 장기적인 도시발전 방향과 도시관리 전략 재정립 q 계획의 목적 </t>
    </r>
    <r>
      <rPr>
        <rFont val="Segoe UI Symbol"/>
        <color theme="1"/>
        <sz val="11.0"/>
      </rPr>
      <t>❍</t>
    </r>
    <r>
      <rPr>
        <rFont val="맑은 고딕"/>
        <color theme="1"/>
        <sz val="11.0"/>
      </rPr>
      <t xml:space="preserve"> 「2030년 부산도시기본계획」에 대한 전반적 재검토를 통해 민선6기 정책사항 반영 및 부산광역시 현안문제의 대응(「국토의 계획 및 이용에 관한 법률」 23조에 따른 재검토) </t>
    </r>
    <r>
      <rPr>
        <rFont val="Segoe UI Symbol"/>
        <color theme="1"/>
        <sz val="11.0"/>
      </rPr>
      <t>❍</t>
    </r>
    <r>
      <rPr>
        <rFont val="맑은 고딕"/>
        <color theme="1"/>
        <sz val="11.0"/>
      </rPr>
      <t xml:space="preserve"> 미래지향적이고 지속가능한 도시발전전략을 수립하여 기존 계획과 차별화된 부산권 맞춤형 도시기본계획인 「2030년 도시기본계획(변경)」을 수립하고자 함 q 계획의 범위 </t>
    </r>
    <r>
      <rPr>
        <rFont val="Segoe UI Symbol"/>
        <color theme="1"/>
        <sz val="11.0"/>
      </rPr>
      <t>❍</t>
    </r>
    <r>
      <rPr>
        <rFont val="맑은 고딕"/>
        <color theme="1"/>
        <sz val="11.0"/>
      </rPr>
      <t xml:space="preserve"> 시간적 범위 - 기준년도: 2013년(기정 기보계획: 2008년) - 목표연도: 2030년 </t>
    </r>
    <r>
      <rPr>
        <rFont val="Segoe UI Symbol"/>
        <color theme="1"/>
        <sz val="11.0"/>
      </rPr>
      <t>❍</t>
    </r>
    <r>
      <rPr>
        <rFont val="맑은 고딕"/>
        <color theme="1"/>
        <sz val="11.0"/>
      </rPr>
      <t xml:space="preserve"> 공간적 범위 - 위치: 부산광역시 행정구역 및 항만·어항구역으로 설정 - 면적: 993.544km2(항만·어항구역 223.72km2 포함) 440 제3차 부산광역시 기후변화 적응대책 세부시행계획(2022-2026)</t>
    </r>
  </si>
  <si>
    <r>
      <rPr>
        <rFont val="맑은 고딕"/>
        <b/>
        <color theme="1"/>
        <sz val="11.0"/>
      </rPr>
      <t xml:space="preserve">75_2112_맑은물정책과_중장기기본계획_맑은물정책과_부산광역시_물_재이용_관리계획.pdf[102]
-----
</t>
    </r>
    <r>
      <rPr>
        <rFont val="맑은 고딕"/>
        <color theme="1"/>
        <sz val="11.0"/>
      </rPr>
      <t>3.1.7 2030년 부산도시기본계획(변경) (1) 계획의 목적 □ 부산광역시 대내.외 정책의 여건변화에 적극적으로 대응하고 변화에 대응하는 시 차원 의 장기적인 도시발전 방향과 도시관리 전략을 재정립하기 위하여 미래지향적이고 지속 가능한 도시발전 전략을 수립하고 기존 계획과 차별화된 부산권 맞춤형 도시기본 계획 을 수립 (2) 계획의 수립 근거 및 범위 □ 「국토의 계획 및 이용에 관한 법률」23조에 따라 2030년 부산도시기본계획에 대한 전 반적으로 재검토 □ 시간적 범위 Ÿ 기준연도: 2013년, 목표연도: 2030년 □ 공간적 범위 Ÿ 위치: 부산광역시 행정구역 및 항만.어항구역으로 설정 Ÿ 면적: 993.544km2(항만.어항구역 223.72km2 포함) (3) 도시계획 주요 지표 □ 인구 구조 전망 Ÿ 2030년 계획인구는 4,102천명, 경제활동인구는 2,413천명으로 추정 Ÿ 65세 이상 인구는 2013년 468천명에서 2020년 825천명, 2030년 1,252천명으로 증가 하여 2030년 전체 인구 중 65세 이상 인구 비율이 30.5%에 진입하여 전체 인구 3인 당 1인은 노인 인구가 될 것으로 예측됨 Ÿ 유소년인구는 2030년까지 비슷한 수준으로 유지되지만, 유소년 1백명당 고령인구를 의미하는 노령화 지수는 2013년 108.5명, 2020년 200.9명, 2030년 286.4명으로 꾸준 히 증가할 것으로 예상되어 고령화에 대한 시급한 대책마련이 필요한 것으로 분석 &lt;표78&gt;인구구조전망 &lt;table border="1" class="table table-striped table-hover"&gt;&lt;thead&gt;&lt;tr&gt;&lt;th&gt;구분&lt;/th&gt;&lt;th&gt;계&lt;/th&gt;&lt;th&gt;1~14세(명)&lt;/th&gt;&lt;th&gt;15~64세(명)&lt;/th&gt;&lt;th&gt;65세이상(명)&lt;/th&gt;&lt;th&gt;고령인구비율(%)&lt;/th&gt;&lt;th&gt;유소년부양비(%)&lt;/th&gt;&lt;th&gt;노년부양비(%)&lt;/th&gt;&lt;th&gt;노령화지수(%)&lt;/th&gt;&lt;/tr&gt;&lt;/thead&gt;&lt;tbody&gt;&lt;tr&gt;&lt;td&gt;2013년&lt;/td&gt;&lt;td&gt;3,563,578&lt;/td&gt;&lt;td&gt;431,431&lt;/td&gt;&lt;td&gt;2,664,195&lt;/td&gt;&lt;td&gt;467,952&lt;/td&gt;&lt;td&gt;13.1&lt;/td&gt;&lt;td&gt;16.2&lt;/td&gt;&lt;td&gt;17.6&lt;/td&gt;&lt;td&gt;108.5&lt;/td&gt;&lt;/tr&gt;&lt;tr&gt;&lt;td&gt;2015년&lt;/td&gt;&lt;td&gt;3,559,780&lt;/td&gt;&lt;td&gt;411,740&lt;/td&gt;&lt;td&gt;2,631,830&lt;/td&gt;&lt;td&gt;516,210&lt;/td&gt;&lt;td&gt;14.5&lt;/td&gt;&lt;td&gt;15.6&lt;/td&gt;&lt;td&gt;19.6&lt;/td&gt;&lt;td&gt;125.4&lt;/td&gt;&lt;/tr&gt;&lt;tr&gt;&lt;td&gt;2020년&lt;/td&gt;&lt;td&gt;3,765,840&lt;/td&gt;&lt;td&gt;410,793&lt;/td&gt;&lt;td&gt;2,529,615&lt;/td&gt;&lt;td&gt;825,432&lt;/td&gt;&lt;td&gt;21.9&lt;/td&gt;&lt;td&gt;16.2&lt;/td&gt;&lt;td&gt;32.6&lt;/td&gt;&lt;td&gt;200.9&lt;/td&gt;&lt;/tr&gt;&lt;tr&gt;&lt;td&gt;2025년&lt;/td&gt;&lt;td&gt;3,944,628&lt;/td&gt;&lt;td&gt;428,854&lt;/td&gt;&lt;td&gt;2,463,858&lt;/td&gt;&lt;td&gt;1,051,916&lt;/td&gt;&lt;td&gt;26.7&lt;/td&gt;&lt;td&gt;17.4&lt;/td&gt;&lt;td&gt;42.7&lt;/td&gt;&lt;td&gt;245.3&lt;/td&gt;&lt;/tr&gt;&lt;tr&gt;&lt;td&gt;2030년&lt;/td&gt;&lt;td&gt;4,102,086&lt;/td&gt;&lt;td&gt;437,061&lt;/td&gt;&lt;td&gt;2,413,370&lt;/td&gt;&lt;td&gt;1,251,655&lt;/td&gt;&lt;td&gt;30.5&lt;/td&gt;&lt;td&gt;18.1&lt;/td&gt;&lt;td&gt;51.9&lt;/td&gt;&lt;td&gt;286.4&lt;/td&gt;&lt;/tr&gt;&lt;/tbody&gt;&lt;/table&gt; - 76 -</t>
    </r>
  </si>
  <si>
    <t>부산의 용도지역, 용도지구, 용도구역 현황을 알려주세요.</t>
  </si>
  <si>
    <t>부산광역시의 용도지역, 용도지구, 용도구역 현황에 대해 확인할 수 있는 자료와 열람 방법, 제공되는 정보 범위는 무엇인가요?</t>
  </si>
  <si>
    <t>부산광역시의 용도지역, 용도지구, 용도구역 현황은 부산광역시 도시관리계획에 따라 결정되며, 이는 국토의 계획 및 이용에 관한 법률 제30조, 제32조 및 같은 법 시행령 제25조에 따라 변경 결정됩니다. 용도지역은 도시지역, 관리지역, 농림지역, 자연환경보전지역 등으로 구분되며, 각 지역별로 건축물의 용도, 건폐율, 용적률 등이 제한됩니다. 용도지구는 특정 지역의 용도를 제한하거나 촉진하기 위해 설정되며, 예를 들어 주거지역, 상업지역, 공업지역 등이 있습니다. 용도구역은 특정 지역의 개발을 제한하거나 촉진하기 위해 설정되며, 예를 들어 개발제한구역, 재개발구역 등이 있습니다.</t>
  </si>
  <si>
    <t>ㆍ8016_붙임_1-3부산광역시_고시_제2023-120호_도시관리계획용도지역_결정변경_및_지형도면_고시-hwp.pdf (p.1)
https://busanai.busan.go.kr/download/8016_붙임_1-3부산광역시_고시_제2023-120호_도시관리계획용도지역_결정변경_및_지형도면_고시-hwp.pdf
ㆍ9365_도시관리계획용도지역_변경결정_및_지형도면_고시문부산광역시_고시_제2022-179호-hwp.pdf (p.1)
https://busanai.busan.go.kr/download/9365_도시관리계획용도지역_변경결정_및_지형도면_고시문부산광역시_고시_제2022-179호-hwp.pdf
ㆍ64699_20201021_도시계획과_참고자료4-hwp.pdf (p.1)
https://busanai.busan.go.kr/download/64699_20201021_도시계획과_참고자료4-hwp.pdf</t>
  </si>
  <si>
    <r>
      <rPr>
        <rFont val="맑은 고딕"/>
        <b/>
        <color theme="1"/>
        <sz val="11.0"/>
      </rPr>
      <t>460_2401_환경정책과_정책용역보고서_환경정책과_부산광역시_빛공해환경영향평가_종합보고서.pdf[37] : 0.98 (부산 용도지역 현황)</t>
    </r>
    <r>
      <rPr>
        <rFont val="맑은 고딕"/>
        <color theme="1"/>
        <sz val="11.0"/>
      </rPr>
      <t xml:space="preserve">
-----
II. 지역 환경 현황조사 2.2.2 구</t>
    </r>
    <r>
      <rPr>
        <rFont val="Noto Sans KR"/>
        <color theme="1"/>
        <sz val="11.0"/>
      </rPr>
      <t>‧</t>
    </r>
    <r>
      <rPr>
        <rFont val="Noto Sans KR"/>
        <color theme="1"/>
        <sz val="11.0"/>
      </rPr>
      <t>군별</t>
    </r>
    <r>
      <rPr>
        <rFont val="맑은 고딕"/>
        <color theme="1"/>
        <sz val="11.0"/>
      </rPr>
      <t xml:space="preserve"> 용도지역 현황 Ÿ 용도지역은 토지의 이용 및 건축물의 용도, 건폐율, 용적율, 높이 등을 제한함으로써 토지를 경제적·효율적으로 이용하고 공공복리의 증진을 도모하기 위해 서로 중복되지 않게 도시·군관리계획으로 결정하는 지역을 말한다. Ÿ 「국토의 계획 및 이용에 관한 법률」 제 36조에 따라 도시지역(주거지역, 상업지역, 공 업지역, 녹지지역)과 비도시지역(관리지역, 농림지역, 자연환경보전지역)으로 분류한다. Ÿ 조명환경관리구역은 2020년 부산시 빛공해환경영향평가를 통해 2020년 7월 지정되었 으며, 지정 근거는 용도지역을 바탕으로 하였다. 제2차 빛공해환경영향평가(2020.06) 이후 용도지역의 변화가 발생하였으나 전체적인 면적의 변화는 미비하여 조명환경관 리구역의 재지정은 하지 않았다. 표 2.2.2. 구</t>
    </r>
    <r>
      <rPr>
        <rFont val="Noto Sans KR"/>
        <color theme="1"/>
        <sz val="11.0"/>
      </rPr>
      <t>‧</t>
    </r>
    <r>
      <rPr>
        <rFont val="Noto Sans KR"/>
        <color theme="1"/>
        <sz val="11.0"/>
      </rPr>
      <t>군별</t>
    </r>
    <r>
      <rPr>
        <rFont val="맑은 고딕"/>
        <color theme="1"/>
        <sz val="11.0"/>
      </rPr>
      <t xml:space="preserve"> 용도지역 구성비(km2) &lt;table border="1" class="table table-striped table-hover"&gt;&lt;thead&gt;&lt;tr&gt;&lt;th&gt;구분부산광역시&lt;/th&gt;&lt;th&gt;계993,536&lt;/th&gt;&lt;th&gt;도시지역 주거지역144,820&lt;/th&gt;&lt;th&gt;도시지역 상업지역25,774&lt;/th&gt;&lt;th&gt;도시지역 준공업지역64,539&lt;/th&gt;&lt;th&gt;도시지역 녹지지역544,873&lt;/th&gt;&lt;th&gt;도시지역 미지정지역160,819&lt;/th&gt;&lt;th&gt;비도시지역 자연환경보전지역52,711&lt;/th&gt;&lt;/tr&gt;&lt;/thead&gt;&lt;tbody&gt;&lt;tr&gt;&lt;td&gt;중구&lt;/td&gt;&lt;td&gt;4,467&lt;/td&gt;&lt;td&gt;896&lt;/td&gt;&lt;td&gt;1,883&lt;/td&gt;&lt;td&gt;191&lt;/td&gt;&lt;td&gt;393&lt;/td&gt;&lt;td&gt;1,104&lt;/td&gt;&lt;td&gt;-&lt;/td&gt;&lt;/tr&gt;&lt;tr&gt;&lt;td&gt;서구&lt;/td&gt;&lt;td&gt;29,363&lt;/td&gt;&lt;td&gt;4,382&lt;/td&gt;&lt;td&gt;1,103&lt;/td&gt;&lt;td&gt;873&lt;/td&gt;&lt;td&gt;8,013&lt;/td&gt;&lt;td&gt;14,992&lt;/td&gt;&lt;td&gt;-&lt;/td&gt;&lt;/tr&gt;&lt;tr&gt;&lt;td&gt;동구&lt;/td&gt;&lt;td&gt;11,593&lt;/td&gt;&lt;td&gt;2,522&lt;/td&gt;&lt;td&gt;2,495&lt;/td&gt;&lt;td&gt;1,722&lt;/td&gt;&lt;td&gt;3,091&lt;/td&gt;&lt;td&gt;1,763&lt;/td&gt;&lt;td&gt;-&lt;/td&gt;&lt;/tr&gt;&lt;tr&gt;&lt;td&gt;영도구&lt;/td&gt;&lt;td&gt;56,166&lt;/td&gt;&lt;td&gt;4,813&lt;/td&gt;&lt;td&gt;798&lt;/td&gt;&lt;td&gt;1,812&lt;/td&gt;&lt;td&gt;7,603&lt;/td&gt;&lt;td&gt;41,140&lt;/td&gt;&lt;td&gt;-&lt;/td&gt;&lt;/tr&gt;&lt;tr&gt;&lt;td&gt;부산진구&lt;/td&gt;&lt;td&gt;29,667&lt;/td&gt;&lt;td&gt;11,070&lt;/td&gt;&lt;td&gt;4,841&lt;/td&gt;&lt;td&gt;-&lt;/td&gt;&lt;td&gt;13,755&lt;/td&gt;&lt;td&gt;-&lt;/td&gt;&lt;td&gt;-&lt;/td&gt;&lt;/tr&gt;&lt;tr&gt;&lt;td&gt;동래구&lt;/td&gt;&lt;td&gt;16,698&lt;/td&gt;&lt;td&gt;9,496&lt;/td&gt;&lt;td&gt;1,159&lt;/td&gt;&lt;td&gt;154&lt;/td&gt;&lt;td&gt;5,889&lt;/td&gt;&lt;td&gt;-&lt;/td&gt;&lt;td&gt;-&lt;/td&gt;&lt;/tr&gt;&lt;tr&gt;&lt;td&gt;남구&lt;/td&gt;&lt;td&gt;42,507&lt;/td&gt;&lt;td&gt;9,862&lt;/td&gt;&lt;td&gt;1,040&lt;/td&gt;&lt;td&gt;4,701&lt;/td&gt;&lt;td&gt;12,861&lt;/td&gt;&lt;td&gt;14,043&lt;/td&gt;&lt;td&gt;-&lt;/td&gt;&lt;/tr&gt;&lt;tr&gt;&lt;td&gt;북구&lt;/td&gt;&lt;td&gt;39,434&lt;/td&gt;&lt;td&gt;9,607&lt;/td&gt;&lt;td&gt;607&lt;/td&gt;&lt;td&gt;-&lt;/td&gt;&lt;td&gt;29,220&lt;/td&gt;&lt;td&gt;-&lt;/td&gt;&lt;td&gt;-&lt;/td&gt;&lt;/tr&gt;&lt;tr&gt;&lt;td&gt;해운대구&lt;/td&gt;&lt;td&gt;55,066&lt;/td&gt;&lt;td&gt;12,186&lt;/td&gt;&lt;td&gt;3,188&lt;/td&gt;&lt;td&gt;615&lt;/td&gt;&lt;td&gt;38,161&lt;/td&gt;&lt;td&gt;916&lt;/td&gt;&lt;td&gt;-&lt;/td&gt;&lt;/tr&gt;&lt;tr&gt;&lt;td&gt;사하구&lt;/td&gt;&lt;td&gt;85,538&lt;/td&gt;&lt;td&gt;10,454&lt;/td&gt;&lt;td&gt;649&lt;/td&gt;&lt;td&gt;9,630&lt;/td&gt;&lt;td&gt;21,325&lt;/td&gt;&lt;td&gt;26,323&lt;/td&gt;&lt;td&gt;17,156&lt;/td&gt;&lt;/tr&gt;&lt;tr&gt;&lt;td&gt;금정구&lt;/td&gt;&lt;td&gt;65,180&lt;/td&gt;&lt;td&gt;9,866&lt;/td&gt;&lt;td&gt;714&lt;/td&gt;&lt;td&gt;1,046&lt;/td&gt;&lt;td&gt;53,554&lt;/td&gt;&lt;td&gt;-&lt;/td&gt;&lt;td&gt;-&lt;/td&gt;&lt;/tr&gt;&lt;tr&gt;&lt;td&gt;강서구&lt;/td&gt;&lt;td&gt;274,009&lt;/td&gt;&lt;td&gt;19,956&lt;/td&gt;&lt;td&gt;4,184&lt;/td&gt;&lt;td&gt;28,402&lt;/td&gt;&lt;td&gt;131,640&lt;/td&gt;&lt;td&gt;54,271&lt;/td&gt;&lt;td&gt;35,555&lt;/td&gt;&lt;/tr&gt;&lt;tr&gt;&lt;td&gt;연제구&lt;/td&gt;&lt;td&gt;12,095&lt;/td&gt;&lt;td&gt;7,677&lt;/td&gt;&lt;td&gt;769&lt;/td&gt;&lt;td&gt;64&lt;/td&gt;&lt;td&gt;3,585&lt;/td&gt;&lt;td&gt;-&lt;/td&gt;&lt;td&gt;-&lt;/td&gt;&lt;/tr&gt;&lt;tr&gt;&lt;td&gt;수영구&lt;/td&gt;&lt;td&gt;14,085&lt;/td&gt;&lt;td&gt;6,600&lt;/td&gt;&lt;td&gt;749&lt;/td&gt;&lt;td&gt;117&lt;/td&gt;&lt;td&gt;3,590&lt;/td&gt;&lt;td&gt;3,028&lt;/td&gt;&lt;td&gt;-&lt;/td&gt;&lt;/tr&gt;&lt;tr&gt;&lt;td&gt;사상구&lt;/td&gt;&lt;td&gt;36,106&lt;/td&gt;&lt;td&gt;8,164&lt;/td&gt;&lt;td&gt;480&lt;/td&gt;&lt;td&gt;6,589&lt;/td&gt;&lt;td&gt;20,873&lt;/td&gt;&lt;td&gt;-&lt;/td&gt;&lt;td&gt;-&lt;/td&gt;&lt;/tr&gt;&lt;tr&gt;&lt;td&gt;기장군&lt;/td&gt;&lt;td&gt;221,564&lt;/td&gt;&lt;td&gt;17,269&lt;/td&gt;&lt;td&gt;1,114&lt;/td&gt;&lt;td&gt;8,623&lt;/td&gt;&lt;td&gt;191,319&lt;/td&gt;&lt;td&gt;3,239&lt;/td&gt;&lt;td&gt;-&lt;/td&gt;&lt;/tr&gt;&lt;/tbody&gt;&lt;/table&gt; 31</t>
    </r>
  </si>
  <si>
    <r>
      <rPr>
        <rFont val="맑은 고딕"/>
        <b/>
        <color theme="1"/>
        <sz val="11.0"/>
      </rPr>
      <t>75_2112_맑은물정책과_중장기기본계획_맑은물정책과_부산광역시_물_재이용_관리계획.pdf[86]  (부산 용도지역 현황)</t>
    </r>
    <r>
      <rPr>
        <rFont val="맑은 고딕"/>
        <color theme="1"/>
        <sz val="11.0"/>
      </rPr>
      <t xml:space="preserve">
-----
(2) 용도별 토지이용 현황 □ 2019년 기준 용도지역 중 도시지역은 940.8km2로 94.7%를 차지하고 있다. 용도별 토 지이용 현황 구성비를 보면 주거지역 14.6%, 상업지역 2.6%, 공업지역 6.5%, 녹지지역 54.8%로 나타났다. 2010년과 비교하여 주거지역은 1.2%, 상업지역은 0.3%, 공업지역 은 1.5% 증가하였으나 녹지지역은 3.1% 감소하였다. □ 부산시 전체 용도지역은 아래의 그림과 같다. &lt;표60&gt;용도별이용현황(단위:km2,%) &lt;table border="1" class="table table-striped table-hover"&gt;&lt;thead&gt;&lt;tr&gt;&lt;th&gt;구분&lt;/th&gt;&lt;th&gt;구분&lt;/th&gt;&lt;th&gt;용도지역합계&lt;/th&gt;&lt;th&gt;도시지역 주거지역&lt;/th&gt;&lt;th&gt;도시지역 상업지역&lt;/th&gt;&lt;th&gt;도시지역 공업지역&lt;/th&gt;&lt;th&gt;도시지역 녹지지역&lt;/th&gt;&lt;th&gt;도시지역 미지정지역&lt;/th&gt;&lt;th&gt;비도시지역 자연환경보전지역&lt;/th&gt;&lt;/tr&gt;&lt;/thead&gt;&lt;tbody&gt;&lt;tr&gt;&lt;td&gt;2010&lt;/td&gt;&lt;td&gt;면적&lt;/td&gt;&lt;td&gt;996.1&lt;/td&gt;&lt;td&gt;133.1&lt;/td&gt;&lt;td&gt;22.8&lt;/td&gt;&lt;td&gt;49.7&lt;/td&gt;&lt;td&gt;576.5&lt;/td&gt;&lt;td&gt;161.3&lt;/td&gt;&lt;td&gt;52.7&lt;/td&gt;&lt;/tr&gt;&lt;tr&gt;&lt;td&gt;2010&lt;/td&gt;&lt;td&gt;구성비&lt;/td&gt;&lt;td&gt;-&lt;/td&gt;&lt;td&gt;13.4&lt;/td&gt;&lt;td&gt;2.3&lt;/td&gt;&lt;td&gt;5.0&lt;/td&gt;&lt;td&gt;57.9&lt;/td&gt;&lt;td&gt;16.2&lt;/td&gt;&lt;td&gt;5.3&lt;/td&gt;&lt;/tr&gt;&lt;tr&gt;&lt;td&gt;2013&lt;/td&gt;&lt;td&gt;면적&lt;/td&gt;&lt;td&gt;995.7&lt;/td&gt;&lt;td&gt;140.7&lt;/td&gt;&lt;td&gt;24.2&lt;/td&gt;&lt;td&gt;61.7&lt;/td&gt;&lt;td&gt;555.9&lt;/td&gt;&lt;td&gt;161.0&lt;/td&gt;&lt;td&gt;52.7&lt;/td&gt;&lt;/tr&gt;&lt;tr&gt;&lt;td&gt;2013&lt;/td&gt;&lt;td&gt;구성비&lt;/td&gt;&lt;td&gt;-&lt;/td&gt;&lt;td&gt;14.1&lt;/td&gt;&lt;td&gt;2.4&lt;/td&gt;&lt;td&gt;6.1&lt;/td&gt;&lt;td&gt;55.8&lt;/td&gt;&lt;td&gt;16.2&lt;/td&gt;&lt;td&gt;5.3&lt;/td&gt;&lt;/tr&gt;&lt;tr&gt;&lt;td&gt;2016&lt;/td&gt;&lt;td&gt;면적&lt;/td&gt;&lt;td&gt;993.5&lt;/td&gt;&lt;td&gt;143.9&lt;/td&gt;&lt;td&gt;25.2&lt;/td&gt;&lt;td&gt;64.0&lt;/td&gt;&lt;td&gt;546.8&lt;/td&gt;&lt;td&gt;160.9&lt;/td&gt;&lt;td&gt;52.7&lt;/td&gt;&lt;/tr&gt;&lt;tr&gt;&lt;td&gt;2016&lt;/td&gt;&lt;td&gt;구성비&lt;/td&gt;&lt;td&gt;-&lt;/td&gt;&lt;td&gt;14.5&lt;/td&gt;&lt;td&gt;2.5&lt;/td&gt;&lt;td&gt;6.4&lt;/td&gt;&lt;td&gt;55.0&lt;/td&gt;&lt;td&gt;16.2&lt;/td&gt;&lt;td&gt;5.3&lt;/td&gt;&lt;/tr&gt;&lt;tr&gt;&lt;td&gt;2019&lt;/td&gt;&lt;td&gt;면적&lt;/td&gt;&lt;td&gt;993.5&lt;/td&gt;&lt;td&gt;144.8&lt;/td&gt;&lt;td&gt;26.0&lt;/td&gt;&lt;td&gt;64.4&lt;/td&gt;&lt;td&gt;544.8&lt;/td&gt;&lt;td&gt;160.8&lt;/td&gt;&lt;td&gt;52.7&lt;/td&gt;&lt;/tr&gt;&lt;tr&gt;&lt;td&gt;2019&lt;/td&gt;&lt;td&gt;구성비&lt;/td&gt;&lt;td&gt;-&lt;/td&gt;&lt;td&gt;14.6&lt;/td&gt;&lt;td&gt;2.6&lt;/td&gt;&lt;td&gt;6.5&lt;/td&gt;&lt;td&gt;54.8&lt;/td&gt;&lt;td&gt;16.2&lt;/td&gt;&lt;td&gt;5.3&lt;/td&gt;&lt;/tr&gt;&lt;/tbody&gt;&lt;/table&gt; 자료: 부산통계연보(2010년~2019년) [그림26]토지용도별현황도 - 60 -</t>
    </r>
  </si>
  <si>
    <t>데이터산업 혁신생태계 조성 전략의 내용은?</t>
  </si>
  <si>
    <t>부산광역시에서 추진 중인 ‘데이터산업 혁신생태계 조성 전략’의 주요 내용과 목표, 추진 과제, 기대 효과는 무엇인가요?</t>
  </si>
  <si>
    <t>부산시 데이터산업 혁신생태계 조성 전략의 구체적인 내용은 데이터 확보, 데이터 전문기업 육성, 데이터 고급인재 양성, 기업의 빅데이터 도입입니다.
관련내용은 다음과 같습니다.
데이터 확보: 7,500종 (현 2,500종)
데이터 전문기업 육성: 100개사 (현 21개사)
데이터 고급인재 양성: 100명
기업의 빅데이터 도입: 25% (현 4.9%)</t>
  </si>
  <si>
    <r>
      <rPr>
        <rFont val="Malgun Gothic"/>
        <color theme="1"/>
        <sz val="11.0"/>
      </rPr>
      <t>기대답변
1. (산업거점) 빅데이터혁신센터 운영 및 생태계조성
  - 빅데이터혁신센터 운영(5.27억원)
2. (지산학협력) 지산학 데이터 협력 거버넌스 구축 및 협력사업 추진
3. (기업육성)데이터 전문기업 육성 및 데이터기반 지역기업 성장 지원
 - 혁신성장 데이터 챌린지 사업, 중소기업 빅데이터 분석 활용 지원사업, 데이터 수요</t>
    </r>
    <r>
      <rPr>
        <rFont val="MS Mincho"/>
        <color theme="1"/>
        <sz val="11.0"/>
      </rPr>
      <t>․</t>
    </r>
    <r>
      <rPr>
        <rFont val="맑은 고딕"/>
        <color theme="1"/>
        <sz val="11.0"/>
      </rPr>
      <t>공급기업 매칭 사업 등
4. (인재양성) 데이터 실무 융합형 전문인재 양성
 - 프로젝트기반의 산업별 맞춤형 인재양성 
 - 지산학협력 교육과정 개설지원 및 PBL지원
5. (인프라구축) 부산형 데이터 통합플랫폼 구축</t>
    </r>
    <r>
      <rPr>
        <rFont val="맑은 고딕"/>
        <color theme="1"/>
        <sz val="11.0"/>
      </rPr>
      <t xml:space="preserve">
링크 : 2503_빅데이터과_업무매뉴얼_빅데이터과_빅데이터과바인더.hwp</t>
    </r>
  </si>
  <si>
    <t>1. (산업거점) 빅데이터혁신센터 운영 및 생태계조성
  - 빅데이터혁신센터 운영(5.27억원)
 2. (지산학협력) 지산학 데이터 협력 거버넌스 구축 및 협력사업 추진
 3. (기업육성)데이터 전문기업 육성 및 데이터기반 지역기업 성장 지원
  - 혁신성장 데이터 챌린지 사업, 중소기업 빅데이터 분석 활용 지원사업, 데이터 수요․공급기업 매칭 사업 등
 4. (인재양성) 데이터 실무 융합형 전문인재 양성
  - 프로젝트기반의 산업별 맞춤형 인재양성 
  - 지산학협력 교육과정 개설지원 및 PBL지원
 5. (인프라구축) 부산형 데이터 통합플랫폼 구축</t>
  </si>
  <si>
    <t>170_2503_빅데이터과_업무매뉴얼_빅데이터과_빅데이터과바인더.pdf</t>
  </si>
  <si>
    <t>24</t>
  </si>
  <si>
    <t>2. 데이터산업 혁신생태계 조성 전략 (데이터기획팀 정성숙 2342, ́25. 3 기준) ◦데이터산업 생태계 조성 거점으로 “부산 빅데이터 혁신센터” 개소하여 데이 터 활용.협업 공간 제공, 글로벌 데이터 해커톤 개최(정션 아시아 ’23.8월, 20 개국 300명), 글로벌 시스템 도입 데이터 스타트업 집중육성(‘DX 챌린지 사 업’, ’23.6월~12월), 지산학협력 데이터 전문인재 양성(교과개설, PBL 등)과 유관기관 연계 데이터기반 지역기업 성장 지원 등 데이터산업 생태계 조성(전문 기업 육성, 인재양성, 데이터 시장 활성화) 추진 ◦데이터 생산에서 가공‧활용 전주기를 지원하는 「부산형 데이터 통합플랫폼」 구축하여 도시현안 해결 등 데이터기반 행정실현과 데이터‧AI 기업 육성을 위한 데이터통합관리체계 마련(`23~`25년) * 부산형 데이터 통합플랫폼 전략 수립 완료(`22년 3~9월) □ 2025년 추진계획 ▹ 12개 사업, 84.14억원 ○(산업거점) 빅데이터혁신센터 운영 및 생태계조성(17.69억원) *’22.8.29.개소 - 빅데이터혁신센터 운영(5.27억원) ∙ 위치 : 센텀 웹스빌딩 5, 7층 ※ CENTAP 시설과창업기능공유 ∙ 데이터 데이터분석실 운영(5층) : 데이터 및 분석환경 제공, 전문 컨설팅 지원 ∙ 데이터 스타트업 창업‧성장 공간 운영(7층) : 기업밀착 성장지원, 협업환경 제공 - 데이터 생태계 조성 사업 추진 (4개사업, 12.42억원) * 아래 분야별 사업 참고 ※ 부산 가명정보활용지원센터 운영(3.6억원) 별도 ○(지산학협력) 지산학데이터협력거버넌스구축및협력사업추진 *센터 사업 - *(데이터산업 포럼 및 컨퍼런스 개최) : 데이터산업 시민체감 및 기업소통 강화(2.4억원) - 기업 데이터 기반 사업화 및 인재양성 협력사업 (9개기관‧단체 MOU 체결, 비예산 ‘21.12월~‘26. 12월) ※ 한국과학기술정보원(KISTI) 주도 - 데이터산업 생태계 조성 및 지학언 협력 시범사업 (지산언 MOU 체결, 시범사업, 비예산) - 24 -</t>
  </si>
  <si>
    <t>(1순위 - 정답 문서 찾아옴 / 추가작업 X)</t>
  </si>
  <si>
    <r>
      <rPr>
        <rFont val="맑은 고딕"/>
        <b/>
        <color theme="1"/>
        <sz val="11.0"/>
      </rPr>
      <t>170_2503_빅데이터과_업무매뉴얼_빅데이터과_빅데이터과바인더.pdf[24]</t>
    </r>
    <r>
      <rPr>
        <rFont val="맑은 고딕"/>
        <color theme="1"/>
        <sz val="11.0"/>
      </rPr>
      <t xml:space="preserve">
-----
2. 데이터산업 혁신생태계 조성 전략 (데이터기획팀 정성숙 2342, </t>
    </r>
    <r>
      <rPr>
        <rFont val="Segoe UI"/>
        <color theme="1"/>
        <sz val="11.0"/>
      </rPr>
      <t>́</t>
    </r>
    <r>
      <rPr>
        <rFont val="맑은 고딕"/>
        <color theme="1"/>
        <sz val="11.0"/>
      </rPr>
      <t xml:space="preserve">25. 3 기준) </t>
    </r>
    <r>
      <rPr>
        <rFont val="Segoe UI Symbol"/>
        <color theme="1"/>
        <sz val="11.0"/>
      </rPr>
      <t>◦</t>
    </r>
    <r>
      <rPr>
        <rFont val="맑은 고딕"/>
        <color theme="1"/>
        <sz val="11.0"/>
      </rPr>
      <t xml:space="preserve">데이터산업 생태계 조성 거점으로 “부산 빅데이터 혁신센터” 개소하여 데이 터 활용.협업 공간 제공, 글로벌 데이터 해커톤 개최(정션 아시아 ’23.8월, 20 개국 300명), 글로벌 시스템 도입 데이터 스타트업 집중육성(‘DX 챌린지 사 업’, ’23.6월~12월), 지산학협력 데이터 전문인재 양성(교과개설, PBL 등)과 유관기관 연계 데이터기반 지역기업 성장 지원 등 데이터산업 생태계 조성(전문 기업 육성, 인재양성, 데이터 시장 활성화) 추진 </t>
    </r>
    <r>
      <rPr>
        <rFont val="Segoe UI Symbol"/>
        <color theme="1"/>
        <sz val="11.0"/>
      </rPr>
      <t>◦</t>
    </r>
    <r>
      <rPr>
        <rFont val="맑은 고딕"/>
        <color theme="1"/>
        <sz val="11.0"/>
      </rPr>
      <t>데이터 생산에서 가공</t>
    </r>
    <r>
      <rPr>
        <rFont val="Noto Sans KR"/>
        <color theme="1"/>
        <sz val="11.0"/>
      </rPr>
      <t>‧</t>
    </r>
    <r>
      <rPr>
        <rFont val="Noto Sans KR"/>
        <color theme="1"/>
        <sz val="11.0"/>
      </rPr>
      <t>활용</t>
    </r>
    <r>
      <rPr>
        <rFont val="맑은 고딕"/>
        <color theme="1"/>
        <sz val="11.0"/>
      </rPr>
      <t xml:space="preserve"> 전주기를 지원하는 「부산형 데이터 통합플랫폼」 구축하여 도시현안 해결 등 데이터기반 행정실현과 데이터</t>
    </r>
    <r>
      <rPr>
        <rFont val="Noto Sans KR"/>
        <color theme="1"/>
        <sz val="11.0"/>
      </rPr>
      <t>‧</t>
    </r>
    <r>
      <rPr>
        <rFont val="맑은 고딕"/>
        <color theme="1"/>
        <sz val="11.0"/>
      </rPr>
      <t xml:space="preserve">AI 기업 육성을 위한 데이터통합관리체계 마련(`23~`25년) * 부산형 데이터 통합플랫폼 전략 수립 완료(`22년 3~9월) □ 2025년 추진계획 </t>
    </r>
    <r>
      <rPr>
        <rFont val="Segoe UI Symbol"/>
        <color theme="1"/>
        <sz val="11.0"/>
      </rPr>
      <t>▹</t>
    </r>
    <r>
      <rPr>
        <rFont val="맑은 고딕"/>
        <color theme="1"/>
        <sz val="11.0"/>
      </rPr>
      <t xml:space="preserve"> 12개 사업, 84.14억원 ○(산업거점) 빅데이터혁신센터 운영 및 생태계조성(17.69억원) *’22.8.29.개소 - 빅데이터혁신센터 운영(5.27억원) ∙ 위치 : 센텀 웹스빌딩 5, 7층 ※ CENTAP 시설과창업기능공유 ∙ 데이터 데이터분석실 운영(5층) : 데이터 및 분석환경 제공, 전문 컨설팅 지원 ∙ 데이터 스타트업 창업</t>
    </r>
    <r>
      <rPr>
        <rFont val="Noto Sans KR"/>
        <color theme="1"/>
        <sz val="11.0"/>
      </rPr>
      <t>‧</t>
    </r>
    <r>
      <rPr>
        <rFont val="Noto Sans KR"/>
        <color theme="1"/>
        <sz val="11.0"/>
      </rPr>
      <t>성장</t>
    </r>
    <r>
      <rPr>
        <rFont val="맑은 고딕"/>
        <color theme="1"/>
        <sz val="11.0"/>
      </rPr>
      <t xml:space="preserve"> 공간 운영(7층) : 기업밀착 성장지원, 협업환경 제공 - 데이터 생태계 조성 사업 추진 (4개사업, 12.42억원) * 아래 분야별 사업 참고 ※ 부산 가명정보활용지원센터 운영(3.6억원) 별도 ○(지산학협력) 지산학데이터협력거버넌스구축및협력사업추진 *센터 사업 - *(데이터산업 포럼 및 컨퍼런스 개최) : 데이터산업 시민체감 및 기업소통 강화(2.4억원) - 기업 데이터 기반 사업화 및 인재양성 협력사업 (9개기관</t>
    </r>
    <r>
      <rPr>
        <rFont val="Noto Sans KR"/>
        <color theme="1"/>
        <sz val="11.0"/>
      </rPr>
      <t>‧</t>
    </r>
    <r>
      <rPr>
        <rFont val="Noto Sans KR"/>
        <color theme="1"/>
        <sz val="11.0"/>
      </rPr>
      <t>단체</t>
    </r>
    <r>
      <rPr>
        <rFont val="맑은 고딕"/>
        <color theme="1"/>
        <sz val="11.0"/>
      </rPr>
      <t xml:space="preserve"> MOU 체결, 비예산 ‘21.12월~‘26. 12월) ※ 한국과학기술정보원(KISTI) 주도 - 데이터산업 생태계 조성 및 지학언 협력 시범사업 (지산언 MOU 체결, 시범사업, 비예산) - 24 -</t>
    </r>
  </si>
  <si>
    <t>데이터 활용 지원센터(빅데이터혁신센터)의 혁신성장 데이터 챌린지 프로그램은 어떤 것들이 있나요?</t>
  </si>
  <si>
    <t>부산광역시 데이터 활용 지원센터(빅데이터혁신센터)에서 운영하는 ‘혁신성장 데이터 챌린지’ 프로그램의 종류, 참여 대상, 주요 내용과 지원 방식은 무엇인가요?</t>
  </si>
  <si>
    <t>부산시 데이터 활용 지원센터(빅데이터혁신센터)에서 진행하는 혁신성장 데이터 챌린지 프로그램에는 스타트업 위크엔드, DX 스프린트, 부트캠프, 포럼, 코드포부산, 성과 보고회 등이 있습니다.</t>
  </si>
  <si>
    <t>기대답변
[프로그램1] Busan Data Week 
[프로그램2] DX 부트캠프
[프로그램3] DX 포럼
[프로그램4] 글로벌 해커톤
[프로그램5] 빅데이터 분석 해커톤
[프로그램6] 코드포부산
링크 : 2503_빅데이터과_업무매뉴얼_빅데이터과_빅데이터과바인더.hwp</t>
  </si>
  <si>
    <t>[프로그램1] Busan Data Week 
 [프로그램2] DX 부트캠프
 [프로그램3] DX 포럼
 [프로그램4] 글로벌 해커톤
 [프로그램5] 빅데이터 분석 해커톤
 [프로그램6] 코드포부산</t>
  </si>
  <si>
    <t>61, 62</t>
  </si>
  <si>
    <t>본문 전체 내용 참조</t>
  </si>
  <si>
    <t>데이터 활용 지원센터 혁신성장 데이터 챌린지 프로그램 운영 지원 안내</t>
  </si>
  <si>
    <r>
      <rPr>
        <rFont val="맑은 고딕"/>
        <b/>
        <color theme="1"/>
        <sz val="11.0"/>
      </rPr>
      <t>170_2503_빅데이터과_업무매뉴얼_빅데이터과_빅데이터과바인더.pdf[27]</t>
    </r>
    <r>
      <rPr>
        <rFont val="맑은 고딕"/>
        <color theme="1"/>
        <sz val="11.0"/>
      </rPr>
      <t xml:space="preserve">
-----
□ 데이터 산업 생태계 활성화 추진과제(2025) &lt;table border="1" class="table table-striped table-hover"&gt;&lt;thead&gt;&lt;tr&gt;&lt;th&gt;구분&lt;/th&gt;&lt;th&gt;추진과제&lt;/th&gt;&lt;th&gt;소요예산&lt;/th&gt;&lt;th&gt;비고&lt;/th&gt;&lt;/tr&gt;&lt;/thead&gt;&lt;tbody&gt;&lt;tr&gt;&lt;td&gt;데이터허브&lt;/td&gt;&lt;td&gt;○ 부산형 데이터 통합플랫폼 본가동 및 활성화&lt;/td&gt;&lt;td&gt;22.55&lt;/td&gt;&lt;td&gt;&lt;/td&gt;&lt;/tr&gt;&lt;tr&gt;&lt;td&gt;기업육성&lt;/td&gt;&lt;td&gt;○ 데이터기반행정 혁신 마스터 플랜수립&lt;/td&gt;&lt;td&gt;3.5&lt;/td&gt;&lt;td&gt;&lt;/td&gt;&lt;/tr&gt;&lt;tr&gt;&lt;td&gt;기업육성&lt;/td&gt;&lt;td&gt;○ 공공</t>
    </r>
    <r>
      <rPr>
        <rFont val="Noto Sans KR"/>
        <color theme="1"/>
        <sz val="11.0"/>
      </rPr>
      <t>‧</t>
    </r>
    <r>
      <rPr>
        <rFont val="Noto Sans KR"/>
        <color theme="1"/>
        <sz val="11.0"/>
      </rPr>
      <t>빅데이터</t>
    </r>
    <r>
      <rPr>
        <rFont val="맑은 고딕"/>
        <color theme="1"/>
        <sz val="11.0"/>
      </rPr>
      <t xml:space="preserve"> 활용 창업경진대회1제품 및 서비스 개발, 2아이디어 기획&lt;/td&gt;&lt;td&gt;0.3&lt;/td&gt;&lt;td&gt;&lt;/td&gt;&lt;/tr&gt;&lt;tr&gt;&lt;td&gt;기업육성&lt;/td&gt;&lt;td&gt;○ 데이터 바우처: 데이터 수요.공급기업 매칭 사업- 데이터 바우처 형식의 데이터 구매, 가공 지원&lt;/td&gt;&lt;td&gt;&lt;/td&gt;&lt;td&gt;국가직접&lt;/td&gt;&lt;/tr&gt;&lt;tr&gt;&lt;td&gt;기업육성&lt;/td&gt;&lt;td&gt;○ 중소기업 빅데이터 분석</t>
    </r>
    <r>
      <rPr>
        <rFont val="Noto Sans KR"/>
        <color theme="1"/>
        <sz val="11.0"/>
      </rPr>
      <t>‧</t>
    </r>
    <r>
      <rPr>
        <rFont val="Noto Sans KR"/>
        <color theme="1"/>
        <sz val="11.0"/>
      </rPr>
      <t>활용</t>
    </r>
    <r>
      <rPr>
        <rFont val="맑은 고딕"/>
        <color theme="1"/>
        <sz val="11.0"/>
      </rPr>
      <t xml:space="preserve"> 지원사업: 20개사- 중소기업의 비즈니스 이슈에 맞춰 데이터 분석 및 솔루션 지원- 지역기업 데이터 인식제고 및 역량강화를 위한 연계사업 추진(세미나, 네트워킹데이 개최, 사례집 발간, 데이터활용 우수기업 선정 등)&lt;/td&gt;&lt;td&gt;5&lt;/td&gt;&lt;td&gt;&lt;/td&gt;&lt;/tr&gt;&lt;tr&gt;&lt;td&gt;기업육성인재양성&lt;/td&gt;&lt;td&gt;&amp;lt; </t>
    </r>
    <r>
      <rPr>
        <rFont val="맑은 고딕"/>
        <color rgb="FFFF0000"/>
        <sz val="11.0"/>
      </rPr>
      <t>부산 빅데이터 혁신센터 운영 및 생태계 조성(4개 사업) &amp;gt;○ 데이터오픈랩(안심구역) 운영 활성화- 미개방 공공데이터 및 민간데이터(구매) 활용환경 제공- 공공</t>
    </r>
    <r>
      <rPr>
        <rFont val="Noto Sans KR"/>
        <color rgb="FFFF0000"/>
        <sz val="11.0"/>
      </rPr>
      <t>‧</t>
    </r>
    <r>
      <rPr>
        <rFont val="Noto Sans KR"/>
        <color rgb="FFFF0000"/>
        <sz val="11.0"/>
      </rPr>
      <t>민간데이터</t>
    </r>
    <r>
      <rPr>
        <rFont val="맑은 고딕"/>
        <color rgb="FFFF0000"/>
        <sz val="11.0"/>
      </rPr>
      <t xml:space="preserve"> : 13개 분야 173종(교통, 인구, 부동산 등)</t>
    </r>
    <r>
      <rPr>
        <rFont val="맑은 고딕"/>
        <color rgb="FFFF0000"/>
        <sz val="11.0"/>
      </rPr>
      <t>○ 혁신성장 데이터 챌린지 사업- 글로벌 해커톤(DIVE 2025), Big Data 분석 해커톤, DX Camp</t>
    </r>
    <r>
      <rPr>
        <rFont val="맑은 고딕"/>
        <color rgb="FFFF0000"/>
        <sz val="11.0"/>
      </rPr>
      <t>○ 포럼, 컨퍼런스- Busan Data Week 2025, 디지털전환 포럼(연4회)- Code for Busan : 지역문제 해결을 위한 자율적 모임 (50여명)○ 지산학 협력 교육과정 개설 및 PBL지원- 기업 연계 대학 내 교육과정 개설 : 2개 대학 2개과정- 기업체 애로사항 해결 산학협력 프로젝트(PBL) : 5개 대학</t>
    </r>
    <r>
      <rPr>
        <rFont val="맑은 고딕"/>
        <color theme="1"/>
        <sz val="11.0"/>
      </rPr>
      <t>&lt;/td&gt;&lt;td&gt;17.39&lt;/td&gt;&lt;td&gt;&lt;/td&gt;&lt;/tr&gt;&lt;tr&gt;&lt;td&gt;거점조성&lt;/td&gt;&lt;td&gt;○가명정보 활용지원센터 운영- 분석환경제공(가명처리툴, 분석툴, 시각화 및 개발툴 등)- 기업지원 등 센터사업과 연계한 데이터 가명처리 방안 개발- 다양한 분석 사례 공유 및 가명정보 관련 행사 등&lt;/td&gt;&lt;td&gt;4&lt;/td&gt;&lt;td&gt;국비2&lt;/td&gt;&lt;/tr&gt;&lt;tr&gt;&lt;td&gt;인재양성&lt;/td&gt;&lt;td&gt;○ 프로젝트 기반의 산업별 맞춤형 인재양성(30명, 6개월 과정)- 지역 데이터산업 및 기업 맞춤형 빅데이터 전문가 양성- 지역기업의 인력난 해결과 청년 일자리 창출&lt;/td&gt;&lt;td&gt;5&lt;/td&gt;&lt;td&gt;&lt;/td&gt;&lt;/tr&gt;&lt;tr&gt;&lt;td&gt;&lt;/td&gt;&lt;td&gt;합계(11개 사업)&lt;/td&gt;&lt;td&gt;57.74&lt;/td&gt;&lt;td&gt;&lt;/td&gt;&lt;/tr&gt;&lt;/tbody&gt;&lt;/table&gt; - 27 -</t>
    </r>
  </si>
  <si>
    <r>
      <rPr>
        <rFont val="맑은 고딕"/>
        <b/>
        <color theme="1"/>
        <sz val="11.0"/>
      </rPr>
      <t>139_2302_빅데이터과_중장기기본계획_빅데이터과_데이터기반행정_활성화_기본계획.pdf[22]</t>
    </r>
    <r>
      <rPr>
        <rFont val="맑은 고딕"/>
        <color theme="1"/>
        <sz val="11.0"/>
      </rPr>
      <t xml:space="preserve">
-----
부산 빅데이터혁신센터 및 데이터 오픈랩을 통한 대외 협업 강화 지역대학과 협력체계를 구축 오픈랩의 공공 민간데이터를 활용한 시민 체감형 분석과제 및 신규 정책서비스 발굴 ※ 부산시 데이터 분야 대학 선정, 대학(원)생 서포터즈 구성</t>
    </r>
    <r>
      <rPr>
        <rFont val="Noto Sans KR"/>
        <color theme="1"/>
        <sz val="11.0"/>
      </rPr>
      <t>‧</t>
    </r>
    <r>
      <rPr>
        <rFont val="Noto Sans KR"/>
        <color theme="1"/>
        <sz val="11.0"/>
      </rPr>
      <t>운영</t>
    </r>
    <r>
      <rPr>
        <rFont val="맑은 고딕"/>
        <color theme="1"/>
        <sz val="11.0"/>
      </rPr>
      <t xml:space="preserve"> - 오픈랩 데이터 활용 정책 아이디어 및 민간 혁신서비스 발굴 부산 빅데이터혁신센터의 혁신성장 데이터 챌린지 사업과 연계 데이터분석을 통한 지역의 다양한 현안 해결 프로젝트 실시</t>
    </r>
    <r>
      <rPr>
        <rFont val="맑은 고딕"/>
        <color rgb="FFFF0000"/>
        <sz val="11.0"/>
      </rPr>
      <t xml:space="preserve"> ※ 빅데이터혁신센터 데이터 챌린지 사업 </t>
    </r>
    <r>
      <rPr>
        <rFont val="Cambria Math"/>
        <color rgb="FFFF0000"/>
        <sz val="11.0"/>
      </rPr>
      <t>⦁</t>
    </r>
    <r>
      <rPr>
        <rFont val="맑은 고딕"/>
        <color rgb="FFFF0000"/>
        <sz val="11.0"/>
      </rPr>
      <t xml:space="preserve">(Busan Data Week) 부산 데이터산업 육성 컨퍼런스 개최 </t>
    </r>
    <r>
      <rPr>
        <rFont val="Cambria Math"/>
        <color rgb="FFFF0000"/>
        <sz val="11.0"/>
      </rPr>
      <t>⦁</t>
    </r>
    <r>
      <rPr>
        <rFont val="맑은 고딕"/>
        <color rgb="FFFF0000"/>
        <sz val="11.0"/>
      </rPr>
      <t>(DX 부트캠프) 데이터 미래인재 양성 및 스타트업 발굴</t>
    </r>
    <r>
      <rPr>
        <rFont val="Noto Sans KR"/>
        <color rgb="FFFF0000"/>
        <sz val="11.0"/>
      </rPr>
      <t>‧</t>
    </r>
    <r>
      <rPr>
        <rFont val="Noto Sans KR"/>
        <color rgb="FFFF0000"/>
        <sz val="11.0"/>
      </rPr>
      <t>지원</t>
    </r>
    <r>
      <rPr>
        <rFont val="맑은 고딕"/>
        <color rgb="FFFF0000"/>
        <sz val="11.0"/>
      </rPr>
      <t xml:space="preserve"> </t>
    </r>
    <r>
      <rPr>
        <rFont val="Cambria Math"/>
        <color rgb="FFFF0000"/>
        <sz val="11.0"/>
      </rPr>
      <t>⦁</t>
    </r>
    <r>
      <rPr>
        <rFont val="맑은 고딕"/>
        <color rgb="FFFF0000"/>
        <sz val="11.0"/>
      </rPr>
      <t xml:space="preserve">(DX 포럼) 데이터전환 성공사례 및 데이터 관련 최신 기술 동향 공유 </t>
    </r>
    <r>
      <rPr>
        <rFont val="Cambria Math"/>
        <color rgb="FFFF0000"/>
        <sz val="11.0"/>
      </rPr>
      <t>⦁</t>
    </r>
    <r>
      <rPr>
        <rFont val="맑은 고딕"/>
        <color rgb="FFFF0000"/>
        <sz val="11.0"/>
      </rPr>
      <t>(데이터 글로벌 해커톤) 데이터분석</t>
    </r>
    <r>
      <rPr>
        <rFont val="Noto Sans KR"/>
        <color rgb="FFFF0000"/>
        <sz val="11.0"/>
      </rPr>
      <t>‧</t>
    </r>
    <r>
      <rPr>
        <rFont val="Noto Sans KR"/>
        <color rgb="FFFF0000"/>
        <sz val="11.0"/>
      </rPr>
      <t>서비스개발</t>
    </r>
    <r>
      <rPr>
        <rFont val="맑은 고딕"/>
        <color rgb="FFFF0000"/>
        <sz val="11.0"/>
      </rPr>
      <t xml:space="preserve"> 글로벌 해커톤 대회 개최 </t>
    </r>
    <r>
      <rPr>
        <rFont val="Cambria Math"/>
        <color rgb="FFFF0000"/>
        <sz val="11.0"/>
      </rPr>
      <t>⦁</t>
    </r>
    <r>
      <rPr>
        <rFont val="맑은 고딕"/>
        <color rgb="FFFF0000"/>
        <sz val="11.0"/>
      </rPr>
      <t>(빅데이터 분석 해커톤) 데이터 활용</t>
    </r>
    <r>
      <rPr>
        <rFont val="Noto Sans KR"/>
        <color rgb="FFFF0000"/>
        <sz val="11.0"/>
      </rPr>
      <t>‧</t>
    </r>
    <r>
      <rPr>
        <rFont val="Noto Sans KR"/>
        <color rgb="FFFF0000"/>
        <sz val="11.0"/>
      </rPr>
      <t>분석하여</t>
    </r>
    <r>
      <rPr>
        <rFont val="맑은 고딕"/>
        <color rgb="FFFF0000"/>
        <sz val="11.0"/>
      </rPr>
      <t xml:space="preserve"> 현안발굴 및 해결솔루션 제안 </t>
    </r>
    <r>
      <rPr>
        <rFont val="Cambria Math"/>
        <color rgb="FFFF0000"/>
        <sz val="11.0"/>
      </rPr>
      <t>⦁</t>
    </r>
    <r>
      <rPr>
        <rFont val="맑은 고딕"/>
        <color rgb="FFFF0000"/>
        <sz val="11.0"/>
      </rPr>
      <t xml:space="preserve">(데이터 분석활용 인큐베이팅) 데이터산업 문제해결 서비스개발 및 정책제안 </t>
    </r>
    <r>
      <rPr>
        <rFont val="Cambria Math"/>
        <color rgb="FFFF0000"/>
        <sz val="11.0"/>
      </rPr>
      <t>⦁</t>
    </r>
    <r>
      <rPr>
        <rFont val="맑은 고딕"/>
        <color rgb="FFFF0000"/>
        <sz val="11.0"/>
      </rPr>
      <t>(코드포부산) 데이터분석가 등 전문가 네트워킹으로 현안문제 해결 서비스 개발</t>
    </r>
    <r>
      <rPr>
        <rFont val="맑은 고딕"/>
        <color theme="1"/>
        <sz val="11.0"/>
      </rPr>
      <t xml:space="preserve"> 부산 가명정보 활용지원센터를 통한 가명정보 활용 협업 추진 공공기관 민간기업과의 협업을 통해 가명정보를 활용한 지역현안 관련 분석 주제를 선정하고 행정데이터와 민간데이터의 가명처리 및 데이터 결합을 통한 분석 추진 가명정보 활용 아이디어 경진대회 를 개최 공공기관 기업 학교 병원 통신 등 각 기관이 보유한 데이터 가명정보 를 활용 새로운 창의적 아이디어 발굴 개인정보 때문에 사용할 수 없었던 핵심데이터를 분석에 활용함으 로써 정책 수립을 위한 유용한 분석 결과 도출 ※ (예시) 건강데이터 활용 특정 질병 위험 요인 파악 → 질병 발생 가능성 예측 → 공중보건 정책수립, 의료연구, 질병 예방 등에 활용 - 18 -</t>
    </r>
  </si>
  <si>
    <r>
      <rPr>
        <rFont val="맑은 고딕"/>
        <b/>
        <color theme="1"/>
        <sz val="11.0"/>
      </rPr>
      <t>170_2503_빅데이터과_업무매뉴얼_빅데이터과_빅데이터과바인더.pdf[26]</t>
    </r>
    <r>
      <rPr>
        <rFont val="맑은 고딕"/>
        <color theme="1"/>
        <sz val="11.0"/>
      </rPr>
      <t xml:space="preserve">
-----
참고1 2025년 데이터산업 혁신 생태계 조성 예산 ※ 거점구축(A), 지산학협력(B), 기업육성(C), 인재양성(D), 인프라구축(E) (단위 : 억원) &lt;table border="1" class="table table-striped table-hover"&gt;&lt;thead&gt;&lt;tr&gt;&lt;th&gt;예산내역&lt;/th&gt;&lt;th&gt;예산&lt;/th&gt;&lt;th&gt;수행기관&lt;/th&gt;&lt;/tr&gt;&lt;/thead&gt;&lt;tbody&gt;&lt;tr&gt;&lt;td&gt;</t>
    </r>
    <r>
      <rPr>
        <rFont val="맑은 고딕"/>
        <color rgb="FFFF0000"/>
        <sz val="11.0"/>
      </rPr>
      <t>부산 빅데이터 혁신센터 운영 및 생태계 조성 사업 추진(4개 사업)○ 센터 운영(5.49억원)- 운영비(5.49억원) (A)○ 데이터 생태계조성 사업(4개사업, 11.9억원)- 데이터 오픈랩 운영 활성화(1.9억원) (A)- 혁신성장 데이터 챌린지 사업(6.5억원) (C)- 지산학 협력 교육과정 개설 및 PBL지원(2.4억원) (B), (D)- 빅데이터 혁신센터 플랫폼 개선(1.1억원</t>
    </r>
    <r>
      <rPr>
        <rFont val="맑은 고딕"/>
        <color theme="1"/>
        <sz val="11.0"/>
      </rPr>
      <t>)(E)&lt;/td&gt;&lt;td&gt;17.39&lt;/td&gt;&lt;td&gt;부산테크노파크&lt;/td&gt;&lt;/tr&gt;&lt;tr&gt;&lt;td&gt;부산 가명정보 활용지원센터 운영(A)&lt;/td&gt;&lt;td&gt;4(국2)&lt;/td&gt;&lt;td&gt;&lt;/td&gt;&lt;/tr&gt;&lt;tr&gt;&lt;td&gt;공공</t>
    </r>
    <r>
      <rPr>
        <rFont val="Noto Sans KR"/>
        <color theme="1"/>
        <sz val="11.0"/>
      </rPr>
      <t>‧</t>
    </r>
    <r>
      <rPr>
        <rFont val="Noto Sans KR"/>
        <color theme="1"/>
        <sz val="11.0"/>
      </rPr>
      <t>빅데이터</t>
    </r>
    <r>
      <rPr>
        <rFont val="맑은 고딕"/>
        <color theme="1"/>
        <sz val="11.0"/>
      </rPr>
      <t xml:space="preserve"> 활용 창업경진대회&lt;/td&gt;&lt;td&gt;0.3&lt;/td&gt;&lt;td&gt;&lt;/td&gt;&lt;/tr&gt;&lt;tr&gt;&lt;td&gt;부산 데이터산업 성장촉진 청년일자리 지원사업(국비공모 선정)(C)&lt;/td&gt;&lt;td&gt;종료&lt;/td&gt;&lt;td&gt;&lt;/td&gt;&lt;/tr&gt;&lt;tr&gt;&lt;td&gt;부산 데이터산업 생태계 조성 스타트업 성장지원(국비공모 선정)(C)&lt;/td&gt;&lt;td&gt;종료&lt;/td&gt;&lt;td&gt;&lt;/td&gt;&lt;/tr&gt;&lt;tr&gt;&lt;td&gt;중소기업 빅데이터 분석</t>
    </r>
    <r>
      <rPr>
        <rFont val="Noto Sans KR"/>
        <color theme="1"/>
        <sz val="11.0"/>
      </rPr>
      <t>‧</t>
    </r>
    <r>
      <rPr>
        <rFont val="Noto Sans KR"/>
        <color theme="1"/>
        <sz val="11.0"/>
      </rPr>
      <t>활용</t>
    </r>
    <r>
      <rPr>
        <rFont val="맑은 고딕"/>
        <color theme="1"/>
        <sz val="11.0"/>
      </rPr>
      <t xml:space="preserve"> 지원사업(C)&lt;/td&gt;&lt;td&gt;5&lt;/td&gt;&lt;td&gt;부산정보산업진흥원&lt;/td&gt;&lt;/tr&gt;&lt;tr&gt;&lt;td&gt;프로젝트 기반의 산업별 맞춤형 인재양성(D)&lt;/td&gt;&lt;td&gt;5&lt;/td&gt;&lt;td&gt;&lt;/td&gt;&lt;/tr&gt;&lt;tr&gt;&lt;td&gt;데이터 수요.공급기업 매칭 사업(C)&lt;/td&gt;&lt;td&gt;국가직접&lt;/td&gt;&lt;td&gt;&lt;/td&gt;&lt;/tr&gt;&lt;tr&gt;&lt;td&gt;부산형 데이터 통합플랫폼 구축(E)&lt;/td&gt;&lt;td&gt;22.55&lt;/td&gt;&lt;td&gt;부산시&lt;/td&gt;&lt;/tr&gt;&lt;tr&gt;&lt;td&gt;데이터기반행정 혁신 마스터 플랜수립(B), (C),(D)&lt;/td&gt;&lt;td&gt;3.5&lt;/td&gt;&lt;td&gt;부산시&lt;/td&gt;&lt;/tr&gt;&lt;tr&gt;&lt;td&gt;합 계&lt;/td&gt;&lt;td&gt;57.74&lt;/td&gt;&lt;td&gt;&lt;/td&gt;&lt;/tr&gt;&lt;/tbody&gt;&lt;/table&gt; - 26 -</t>
    </r>
  </si>
  <si>
    <r>
      <rPr>
        <rFont val="맑은 고딕"/>
        <b/>
        <color theme="1"/>
        <sz val="11.0"/>
      </rPr>
      <t>170_2503_빅데이터과_업무매뉴얼_빅데이터과_빅데이터과바인더.pdf[25]</t>
    </r>
    <r>
      <rPr>
        <rFont val="맑은 고딕"/>
        <color theme="1"/>
        <sz val="11.0"/>
      </rPr>
      <t xml:space="preserve">
-----
</t>
    </r>
    <r>
      <rPr>
        <rFont val="맑은 고딕"/>
        <color rgb="FFFF0000"/>
        <sz val="11.0"/>
      </rPr>
      <t>○(기업육성)데이터전문기업육성및데이터기반지역기업성장지원 *센터사업 - *(혁신성장 데이터 챌린지 사업) 대학생 및 창업기업 대상 데이터 해커톤 개최, 연계 데이터 활용기반 혁신 사업모델을 발굴 및 혁신기업으로 성장 지원(4.1억원)</t>
    </r>
    <r>
      <rPr>
        <rFont val="맑은 고딕"/>
        <color theme="1"/>
        <sz val="11.0"/>
      </rPr>
      <t xml:space="preserve"> - (중소기업 빅데이터 분석 활용 지원사업) 전문인력 부족 중소기업 대상으로 데이터 전문기업(기관) 연계 맞춤형 컨설팅 및 솔루션 지원(5억원, 20개사) - (데이터 수요.공급기업 매칭 사업) 데이터 전문기업 </t>
    </r>
    <r>
      <rPr>
        <rFont val="Noto Sans KR"/>
        <color theme="1"/>
        <sz val="11.0"/>
      </rPr>
      <t>‧</t>
    </r>
    <r>
      <rPr>
        <rFont val="맑은 고딕"/>
        <color theme="1"/>
        <sz val="11.0"/>
      </rPr>
      <t xml:space="preserve"> 수요기업 발굴, 매칭, 데이터 바우처 형식의 데이터 구매, 가공 지원 * 24년 데이터바우처 사업(국비) 연계 추진 - (데이터산업 성장촉진 청년일자리 지원사업) 데이터 스타트업이나 부산지역 이전업체에 대하여 청년 데이터 전문인력 인건비와 교육훈련 지원(1.41억원, 10명) - (데이터 스타트업 안착</t>
    </r>
    <r>
      <rPr>
        <rFont val="Noto Sans KR"/>
        <color theme="1"/>
        <sz val="11.0"/>
      </rPr>
      <t>‧</t>
    </r>
    <r>
      <rPr>
        <rFont val="Noto Sans KR"/>
        <color theme="1"/>
        <sz val="11.0"/>
      </rPr>
      <t>지속성장</t>
    </r>
    <r>
      <rPr>
        <rFont val="맑은 고딕"/>
        <color theme="1"/>
        <sz val="11.0"/>
      </rPr>
      <t xml:space="preserve"> 지원사업) 청년 창업기업 기술 사업화 및 임대료 등 운영비 지원(0.74억원, 7개사) ○(인재양성) 데이터 실무 융합형 전문인재 양성 *센터 사업 - (프로젝트기반의 산업별 맞춤형 인재양성) 기업의 프로젝트 수행, 현직 멘토링, 취업 연계 등 데이터 전문인력 집중 양성(5억원, 30명) - *(지산학협력 교육과정 개설지원 및 PBL지원) 기업 현안과 수요를 발굴하고 대학은 현안별로 교과과정 개설 지원 및 지산학 협력 기업의 문제해결(3억원, 3개 대학 내외) ○(인프라구축) 부산형 데이터 통합플랫폼 구축 - 공공</t>
    </r>
    <r>
      <rPr>
        <rFont val="Noto Sans KR"/>
        <color theme="1"/>
        <sz val="11.0"/>
      </rPr>
      <t>‧</t>
    </r>
    <r>
      <rPr>
        <rFont val="Noto Sans KR"/>
        <color theme="1"/>
        <sz val="11.0"/>
      </rPr>
      <t>민간</t>
    </r>
    <r>
      <rPr>
        <rFont val="맑은 고딕"/>
        <color theme="1"/>
        <sz val="11.0"/>
      </rPr>
      <t xml:space="preserve"> 데이터 통합, 공유</t>
    </r>
    <r>
      <rPr>
        <rFont val="Noto Sans KR"/>
        <color theme="1"/>
        <sz val="11.0"/>
      </rPr>
      <t>‧</t>
    </r>
    <r>
      <rPr>
        <rFont val="Noto Sans KR"/>
        <color theme="1"/>
        <sz val="11.0"/>
      </rPr>
      <t>활용</t>
    </r>
    <r>
      <rPr>
        <rFont val="맑은 고딕"/>
        <color theme="1"/>
        <sz val="11.0"/>
      </rPr>
      <t xml:space="preserve"> 확산 등 데이터 선순환 생태계 조성을 위한 플랫폼 구축 및 데이터거버넌스 구성(’23.8.8.~’25.3.30.) - (1단계) ’23.8.~’24.6. 데이터 통합저장소, 민</t>
    </r>
    <r>
      <rPr>
        <rFont val="Noto Sans KR"/>
        <color theme="1"/>
        <sz val="11.0"/>
      </rPr>
      <t>‧</t>
    </r>
    <r>
      <rPr>
        <rFont val="Noto Sans KR"/>
        <color theme="1"/>
        <sz val="11.0"/>
      </rPr>
      <t>관</t>
    </r>
    <r>
      <rPr>
        <rFont val="맑은 고딕"/>
        <color theme="1"/>
        <sz val="11.0"/>
      </rPr>
      <t xml:space="preserve"> 공유활용 플랫폼#1, 데이터 통합지도#1 (2단계) ’24.6.~’25.3. 데이터 거래소, 민</t>
    </r>
    <r>
      <rPr>
        <rFont val="Noto Sans KR"/>
        <color theme="1"/>
        <sz val="11.0"/>
      </rPr>
      <t>‧</t>
    </r>
    <r>
      <rPr>
        <rFont val="Noto Sans KR"/>
        <color theme="1"/>
        <sz val="11.0"/>
      </rPr>
      <t>관</t>
    </r>
    <r>
      <rPr>
        <rFont val="맑은 고딕"/>
        <color theme="1"/>
        <sz val="11.0"/>
      </rPr>
      <t xml:space="preserve"> 공유활용 플랫폼#2, 데이터 통합지도#2 ※ 총사업비 : 110.6억원(’23년 60.2억원, ’24년 50.4억원) - 25 -</t>
    </r>
  </si>
  <si>
    <r>
      <rPr>
        <rFont val="맑은 고딕"/>
        <b/>
        <color theme="1"/>
        <sz val="11.0"/>
      </rPr>
      <t>170_2503_빅데이터과_업무매뉴얼_빅데이터과_빅데이터과바인더.pdf[74]</t>
    </r>
    <r>
      <rPr>
        <rFont val="맑은 고딕"/>
        <color theme="1"/>
        <sz val="11.0"/>
      </rPr>
      <t xml:space="preserve">
-----
□ 전문기업 육성 추진시책 : 디지털 전환 지원 및 공공데이터 개방· 활용을 통한 데이터 산업 활성화 자생적 생태계 강화 &lt;table border="1" class="table table-striped table-hover"&gt;&lt;thead&gt;&lt;tr&gt;&lt;th&gt;구분&lt;/th&gt;&lt;th&gt;추진과제&lt;/th&gt;&lt;th&gt;소요예산&lt;/th&gt;&lt;th&gt;비고&lt;/th&gt;&lt;/tr&gt;&lt;/thead&gt;&lt;tbody&gt;&lt;tr&gt;&lt;td&gt;데이터허브&lt;/td&gt;&lt;td&gt;○ 부산형 데이터 통합플랫폼 본가동 및 활성화&lt;/td&gt;&lt;td&gt;22.55&lt;/td&gt;&lt;td&gt;&lt;/td&gt;&lt;/tr&gt;&lt;tr&gt;&lt;td&gt;기업육성&lt;/td&gt;&lt;td&gt;○ 데이터기반행정 혁신 마스터 플랜수립&lt;/td&gt;&lt;td&gt;3.5&lt;/td&gt;&lt;td&gt;&lt;/td&gt;&lt;/tr&gt;&lt;tr&gt;&lt;td&gt;기업육성&lt;/td&gt;&lt;td&gt;○ 공공</t>
    </r>
    <r>
      <rPr>
        <rFont val="Noto Sans KR"/>
        <color theme="1"/>
        <sz val="11.0"/>
      </rPr>
      <t>‧</t>
    </r>
    <r>
      <rPr>
        <rFont val="Noto Sans KR"/>
        <color theme="1"/>
        <sz val="11.0"/>
      </rPr>
      <t>빅데이터</t>
    </r>
    <r>
      <rPr>
        <rFont val="맑은 고딕"/>
        <color theme="1"/>
        <sz val="11.0"/>
      </rPr>
      <t xml:space="preserve"> 활용 창업경진대회1제품 및 서비스 개발, 2아이디어 기획&lt;/td&gt;&lt;td&gt;0.3&lt;/td&gt;&lt;td&gt;&lt;/td&gt;&lt;/tr&gt;&lt;tr&gt;&lt;td&gt;기업육성&lt;/td&gt;&lt;td&gt;○ 데이터 바우처: 데이터 수요.공급기업 매칭 사업- 데이터 바우처 형식의 데이터 구매, 가공 지원&lt;/td&gt;&lt;td&gt;&lt;/td&gt;&lt;td&gt;국가직접&lt;/td&gt;&lt;/tr&gt;&lt;tr&gt;&lt;td&gt;기업육성&lt;/td&gt;&lt;td&gt;○ 중소기업 빅데이터 분석</t>
    </r>
    <r>
      <rPr>
        <rFont val="Noto Sans KR"/>
        <color theme="1"/>
        <sz val="11.0"/>
      </rPr>
      <t>‧</t>
    </r>
    <r>
      <rPr>
        <rFont val="Noto Sans KR"/>
        <color theme="1"/>
        <sz val="11.0"/>
      </rPr>
      <t>활용</t>
    </r>
    <r>
      <rPr>
        <rFont val="맑은 고딕"/>
        <color theme="1"/>
        <sz val="11.0"/>
      </rPr>
      <t xml:space="preserve"> 지원사업: 20개사- 중소기업의 비즈니스 이슈에 맞춰 데이터 분석 및 솔루션 지원- 지역기업 데이터 인식제고 및 역량강화를 위한 연계사업 추진(세미나, 네트워킹데이 개최, 사례집 발간, 데이터활용 우수기업 선정 등)&lt;/td&gt;&lt;td&gt;5&lt;/td&gt;&lt;td&gt;&lt;/td&gt;&lt;/tr&gt;&lt;tr&gt;&lt;td&gt;기업육성인재양성&lt;/td&gt;&lt;td&gt;</t>
    </r>
    <r>
      <rPr>
        <rFont val="맑은 고딕"/>
        <color rgb="FFFF0000"/>
        <sz val="11.0"/>
      </rPr>
      <t>&amp;lt; 부산 빅데이터 혁신센터 운영 및 생태계 조성(4개 사업) &amp;gt;○ 데이터오픈랩(안심구역) 운영 활성화- 미개방 공공데이터 및 민간데이터(구매) 활용환경 제공- 공공</t>
    </r>
    <r>
      <rPr>
        <rFont val="Noto Sans KR"/>
        <color rgb="FFFF0000"/>
        <sz val="11.0"/>
      </rPr>
      <t>‧</t>
    </r>
    <r>
      <rPr>
        <rFont val="Noto Sans KR"/>
        <color rgb="FFFF0000"/>
        <sz val="11.0"/>
      </rPr>
      <t>민간데이터</t>
    </r>
    <r>
      <rPr>
        <rFont val="맑은 고딕"/>
        <color rgb="FFFF0000"/>
        <sz val="11.0"/>
      </rPr>
      <t xml:space="preserve"> : 13개 분야 173종(교통, 인구, 부동산 등)○ 혁신성장 데이터 챌린지 사업- 글로벌 해커톤(DIVE 2025), Big Data 분석 해커톤, DX Camp○ 포럼, 컨퍼런스- Busan Data Week 2025, 디지털전환 포럼(연4회)- Code for Busan : 지역문제 해결을 위한 자율적 모임 (50여명)○ 지산학 협력 교육과정 개설 및 PBL지원- 기업 연계 대학 내 교육과정 개설 : 2개 대학 2개과정- 기업체 애로사항 해결 산학협력 프로젝트(PBL) : 5개 대학</t>
    </r>
    <r>
      <rPr>
        <rFont val="맑은 고딕"/>
        <color theme="1"/>
        <sz val="11.0"/>
      </rPr>
      <t>&lt;/td&gt;&lt;td&gt;17.39&lt;/td&gt;&lt;td&gt;&lt;/td&gt;&lt;/tr&gt;&lt;tr&gt;&lt;td&gt;거점조성&lt;/td&gt;&lt;td&gt;○가명정보 활용지원센터 운영- 분석환경제공(가명처리툴, 분석툴, 시각화 및 개발툴 등)- 기업지원 등 센터사업과 연계한 데이터 가명처리 방안 개발- 다양한 분석 사례 공유 및 가명정보 관련 행사 등&lt;/td&gt;&lt;td&gt;4&lt;/td&gt;&lt;td&gt;국비2&lt;/td&gt;&lt;/tr&gt;&lt;tr&gt;&lt;td&gt;인재양성&lt;/td&gt;&lt;td&gt;○ 프로젝트 기반의 산업별 맞춤형 인재양성(30명, 6개월 과정)- 지역 데이터산업 및 기업 맞춤형 빅데이터 전문가 양성- 지역기업의 인력난 해결과 청년 일자리 창출&lt;/td&gt;&lt;td&gt;5&lt;/td&gt;&lt;td&gt;&lt;/td&gt;&lt;/tr&gt;&lt;tr&gt;&lt;td&gt;&lt;/td&gt;&lt;td&gt;합계(11개 사업)&lt;/td&gt;&lt;td&gt;57.74&lt;/td&gt;&lt;td&gt;&lt;/td&gt;&lt;/tr&gt;&lt;/tbody&gt;&lt;/table&gt; - 74 -</t>
    </r>
  </si>
  <si>
    <t>부산광역시 데이터 활용 및 데이터산업 육성에 관한 조례에 따른 기본계획의 수립 내용은?</t>
  </si>
  <si>
    <t>부산광역시 ‘데이터 활용 및 데이터산업 육성에 관한 조례’에 따라 수립되는 기본계획의 주요 내용, 추진 목표, 세부 과제 및 시행 방법은 무엇인가요?</t>
  </si>
  <si>
    <t>부산광역시 데이터 활용 및 데이터산업 육성에 관한 조례에 따른 기본계획의 수립 내용에는 데이터의 활용 및 데이터산업 육성의 기본목표와 추진방향, 데이터 서비스 및 활용에 관한 사항, 데이터의 활용을 통한 데이터산업 육성에 관한 사항, 데이터의 활용 실태조사에 관한 사항, 데이터의 민간 활용 촉진에 관한 사항, 관련 기관과의 협력에 관한 사항, 데이터 관련 교육 및 전문인력 양성에 관한 사항, 재원 조달에 관한 사항, 그 밖에 데이터의 활용 및 데이터산업 육성에 관한 사항이 포함되어야 합니다.</t>
  </si>
  <si>
    <t>기대답변
① 부산광역시장(이하 “시장”이라 한다)은 시민의 데이터 활용 및 데이터산업 육성을 위하여 부산광역시 데이터 활용 및 데이터산업 육성 기본계획(이하 “기본계획”이라 한다)을 3년마다 수립하여야 한다.
② 기본계획에는 다음 각 호의 사항이 포함되어야 한다.
1. 데이터의 활용 및 데이터산업 육성의 기본목표와 추진방향
2. 데이터 서비스 및 활용에 관한 사항
3. 데이터의 활용을 통한 데이터산업 육성에 관한 사항
4. 데이터의 활용 실태조사에 관한 사항
5. 데이터의 민간 활용 촉진에 관한 사항
6. 관련 기관과의 협력에 관한 사항
7. 데이터 관련 교육 및 전문인력 양성에 관한 사항
8. 재원 조달에 관한 사항
9. 그 밖에 데이터의 활용 및 데이터산업 육성에 관한 사항
③ 시장은 기본계획에 따라 시행계획을 해마다 수립·시행하여야 한다.
링크 : 부산광역시 데이터 활용 및 데이터산업 육성에 관한 조례</t>
  </si>
  <si>
    <t>① 부산광역시장(이하 “시장”이라 한다)은 시민의 데이터 활용 및 데이터산업 육성을 위하여 부산광역시 데이터 활용 및 데이터산업 육성 기본계획(이하 “기본계획”이라 한다)을 3년마다 수립하여야 한다.
 ② 기본계획에는 다음 각 호의 사항이 포함되어야 한다.
 1. 데이터의 활용 및 데이터산업 육성의 기본목표와 추진방향
 2. 데이터 서비스 및 활용에 관한 사항
 3. 데이터의 활용을 통한 데이터산업 육성에 관한 사항
 4. 데이터의 활용 실태조사에 관한 사항
 5. 데이터의 민간 활용 촉진에 관한 사항
 6. 관련 기관과의 협력에 관한 사항
 7. 데이터 관련 교육 및 전문인력 양성에 관한 사항
 8. 재원 조달에 관한 사항
 9. 그 밖에 데이터의 활용 및 데이터산업 육성에 관한 사항
 ③ 시장은 기본계획에 따라 시행계획을 해마다 수립·시행하여야 한다.</t>
  </si>
  <si>
    <t>158_2408_빅데이터과_조례_빅데이터과_부산광역시_데이터_활용_및_데이터산업_육성에_관한_조례.pdf</t>
  </si>
  <si>
    <t>제5조(기본계획의 수립 등) ① 부산광역시장(이하 “시장”이라 한다)은 시민의 데이터 활용 및 데이터산업 육성을 위하여 부산광역
 시 데이터 활용 및 데이터산업 육성 기본계획(이하 “기본계획”이라 한다)을 3년마다 수립하여야 한다.
 ② 기본계획에는 다음 각 호의 사항이 포함되어야 한다.
 1. 데이터의 활용 및 데이터산업 육성의 기본목표와 추진방향
 2. 데이터 서비스 및 활용에 관한 사항
 3. 데이터의 활용을 통한 데이터산업 육성에 관한 사항
 4. 데이터의 활용 실태조사에 관한 사항
 5. 데이터의 민간 활용 촉진에 관한 사항
 6. 관련 기관과의 협력에 관한 사항
 7. 데이터 관련 교육 및 전문인력 양성에 관한 사항
 8. 재원 조달에 관한 사항
 9. 그 밖에 데이터의 활용 및 데이터산업 육성에 관한 사항
 ③ 시장은 기본계획에 따라 시행계획을 해마다 수립·시행하여야 한다.</t>
  </si>
  <si>
    <t>(4순위 - 정답 문서 찾아옴 / 추가작업 X)</t>
  </si>
  <si>
    <r>
      <rPr>
        <rFont val="맑은 고딕"/>
        <b/>
        <color theme="1"/>
        <sz val="11.0"/>
      </rPr>
      <t>158_2408_빅데이터과_조례_빅데이터과_부산광역시_데이터_활용_및_데이터산업_육성에_관한_조례.pdf[1]</t>
    </r>
    <r>
      <rPr>
        <rFont val="맑은 고딕"/>
        <color theme="1"/>
        <sz val="11.0"/>
      </rPr>
      <t xml:space="preserve">
-----
부산광역시 데이터 활용 및 데이터산업 육성에 관한 조례 [시행 2024.08.07] (전부개정) 2024-08-07 조례 제 7362호 관리책임부서명 : 빅데이터과 관리책임전화번호 : 051-888-2341 제1조(목적) 이 조례는 데이터의 활용 및 데이터산업 육성에 필요한 사항을 규정함으로써 데이터의 활용 활성화와 공공데이터의 개 방 및 이용을 확대하여, 시민의 삶의 질을 향상시키고 지역경제를 활성화하는 데 이바지함을 목적으로 한다. 제2조(정의) 이 조례에서 사용하는 용어의 뜻은 다음과 같다. 1. “데이터”란 「데이터 산업진흥 및 이용촉진에 관한 기본법」(이하 “데이터산업법”이라 한다) 제2조제1호에 따른 데이터를 말한다. 2. “공공데이터”란 「공공데이터의 제공 및 이용 활성화에 관한 법률」(이하 “공공데이터법”이라 한다) 제2조제2호에 따른 공공데이 터를 말한다. 3. “민간데이터”란 데이터산업법 제2조제3호에 따른 민간데이터를 말한다. 4. “데이터산업”이란 데이터산업법 제2조제5호에 따른 데이터산업을 말한다. 5. “가명처리”란 「개인정보 보호법」 제2조제1의2에 따른 가명처리를 말한다. 제3조(다른 조례와의 관계) 데이터의 활용 및 데이터산업 육성, 공공데이터 제공 및 이용 활성화에 관하여 다른 조례에 특별한 규정 이 있는 경우를 제외하고는 이 조례에서 정하는 바에 따른다. 제4조(책무) 1 부산광역시(이하 “시”라 한다)는 시민의 데이터 활용을 확대하여 지역경제 활성화 등에 이바지하도록 노력하여야 한 다. 2 시는 개인이나 법인 또는 단체 등의 비밀이 보장되는 범위에서 데이터를 널리 활용할 수 있도록 노력하여야 한다. 3 시는 데이터산업의 육성을 위하여 정보통신서비스 제공자의 자율적인 정보 처리와 관련된 영업 활동을 존중하고 촉진·지원하여 야 한다. 4 데이터를 이용하려는 자는 국가안전보장 등의 공익이나 타인의 권리를 침해하지 않도록 법령이나 이용조건 등에 따라 그 의무 를 준수하고, 신의에 따라 성실하게 이용하여야 한다. </t>
    </r>
    <r>
      <rPr>
        <rFont val="맑은 고딕"/>
        <color rgb="FFFF0000"/>
        <sz val="11.0"/>
      </rPr>
      <t>제5조(기본계획의 수립 등) 1 부산광역시장(이하 “시장”이라 한다)은 시민의 데이터 활용 및 데이터산업 육성을 위하여 부산광역 시 데이터 활용 및 데이터산업 육성 기본계획(이하 “기본계획”이라 한다)을 3년마다 수립하여야 한다. 2 기본계획에는 다음 각 호의 사항이 포함되어야 한다. 1. 데이터의 활용 및 데이터산업 육성의 기본목표와 추진방향 2. 데이터 서비스 및 활용에 관한 사항 3. 데이터의 활용을 통한 데이터산업 육성에 관한 사항 4. 데이터의 활용 실태조사에 관한 사항 5. 데이터의 민간 활용 촉진에 관한 사항 6. 관련 기관과의 협력에 관한 사항 7. 데이터 관련 교육 및 전문인력 양성에 관한 사항 8. 재원 조달에 관한 사항 9. 그 밖에 데이터의 활용 및 데이터산업 육성에 관한 사항 3 시장은 기본계획에 따라 시행계획을 해마다 수립·시행하여야 한다</t>
    </r>
    <r>
      <rPr>
        <rFont val="맑은 고딕"/>
        <color theme="1"/>
        <sz val="11.0"/>
      </rPr>
      <t>. 제6조(실태조사) 시장은 데이터의 제공 및 이용 활성화를 위하여 시민의 데이터 활용실태 등에 관한 조사를 실시할 수 있다. 제7조(데이터책임관) 1 시장은 데이터산업 진흥 및 데이터 이용촉진에 관한 업무를 총괄하는 데이터책임관을 둘 수 있다.</t>
    </r>
  </si>
  <si>
    <r>
      <rPr>
        <rFont val="맑은 고딕"/>
        <b/>
        <color theme="1"/>
        <sz val="11.0"/>
      </rPr>
      <t>170_2503_빅데이터과_업무매뉴얼_빅데이터과_빅데이터과바인더.pdf[11]</t>
    </r>
    <r>
      <rPr>
        <rFont val="맑은 고딕"/>
        <color theme="1"/>
        <sz val="11.0"/>
      </rPr>
      <t xml:space="preserve">
-----
- 시민이 빅데이터 활용을 확대하도록 시의 책무를 규정함(안 제4조) - 기본계획을 5년에서 3년마다 수립하도록 수정함(안 제5조) □ 부산광역시 데이터 활용 및 데이터산업 육성에 관한 조례 전부개정 ○ 개정이유: 데이터 트렌드의 급격한 변화와 함께 단순한 빅데이터 활용을 넘어 데이터의 근본적인 가치를 추구하는 시대가 도래함에 따라 데이터 이용 활성 화와 공공데이터의 개방 및 이용을 확대하여 시민의 삶의 질 향상과 지역경 제 활성화에 이바지하려는 것임 ○ 전부개정 : 2024.8.7 반선호 의원 발의(2024.8.7.시행) ○ 주요내용 - 데이터산업의 육성과 시민의 데이터 활용을 위한 책무를 규정함(제4조) - 시장이 데이터 활용 및 데이터산업 육성 기본계획을 수립하도록 하고 시민의 데이터 활용실태 등에 관한 조사를 실시할 수 있도록 함(제5조 및 제6조) - 데이터의 수집·분석, 데이터산업 육성 등의 업무를 담당하는 데이터책임관과 공공데이터 제공 및 이용 활성화에 관한 업무를 총괄하는 공공데이터제공책 임관을 시장 소속으로 둘 수 있도록 함(제7조) </t>
    </r>
    <r>
      <rPr>
        <rFont val="맑은 고딕"/>
        <color rgb="FFFF0000"/>
        <sz val="11.0"/>
      </rPr>
      <t xml:space="preserve">- 기본계획 및 시행계획 수립 등의 심의를 위한 데이터위원회의 설치를 규정함 (제8조) </t>
    </r>
    <r>
      <rPr>
        <rFont val="맑은 고딕"/>
        <color theme="1"/>
        <sz val="11.0"/>
      </rPr>
      <t>- 데이터의 수집 및 관리를 위한 데이터책임관과 관련 부서, 기관 등과의 협력 에 관한 사항을 규정함(제10조) - 공공데이터의 제공, 품질관리에 관한 사항을 규정함(제11조 및 제12조) - 데이터의 활용, 데이터산업의 육성을 위한 사업 추진 및 데이터활용지원센터 의 설치 및 운영에 관한 사항을 규정함(제13조부터 제15조까지) - 데이터 활용 및 데이터산업 육성에 관한 사무의 위탁, 데이터산업 육성 관련 인력 양성과 데이터산업의 활성화를 위한 민간 협력에 관한 사항을 규정함 (제16조부터 제18조까지) - 11 -</t>
    </r>
  </si>
  <si>
    <r>
      <rPr>
        <rFont val="맑은 고딕"/>
        <b/>
        <color theme="1"/>
        <sz val="11.0"/>
      </rPr>
      <t>170_2503_빅데이터과_업무매뉴얼_빅데이터과_빅데이터과바인더.pdf[14]</t>
    </r>
    <r>
      <rPr>
        <rFont val="맑은 고딕"/>
        <color theme="1"/>
        <sz val="11.0"/>
      </rPr>
      <t xml:space="preserve">
-----
1. 빅데이터 활용에 관한 기본계획 수립 용역 추진 (제2차) (데이터기획팀 정성숙 2342, </t>
    </r>
    <r>
      <rPr>
        <rFont val="Segoe UI"/>
        <color theme="1"/>
        <sz val="11.0"/>
      </rPr>
      <t>́</t>
    </r>
    <r>
      <rPr>
        <rFont val="맑은 고딕"/>
        <color theme="1"/>
        <sz val="11.0"/>
      </rPr>
      <t>25. 3 기준) □ 추진근거</t>
    </r>
    <r>
      <rPr>
        <rFont val="맑은 고딕"/>
        <color rgb="FFFF0000"/>
        <sz val="11.0"/>
      </rPr>
      <t xml:space="preserve"> ○ ‘부산광역시 빅데이터 활용 및 빅데이터산업 육성에 관한 조례' 제5조 - 부산광역시장은 빅데이터의 활용 및 빅데이터산업 육성에 관한 기본 계획을 3년마다 수립하여야 한다. </t>
    </r>
    <r>
      <rPr>
        <rFont val="맑은 고딕"/>
        <color theme="1"/>
        <sz val="11.0"/>
      </rPr>
      <t>□ 추진배경 ○ 민선 8기 공약과제인 ‘미래를 선도하는 디지털 혁신도시’ 구축을 목 표로 ‘빅데이터 활용 활성화 및 데이터 산업기반 조성’ 추진 필요 ○ 시정현안 해결의 실증적 정책지원과 과학</t>
    </r>
    <r>
      <rPr>
        <rFont val="Noto Sans KR"/>
        <color theme="1"/>
        <sz val="11.0"/>
      </rPr>
      <t>‧</t>
    </r>
    <r>
      <rPr>
        <rFont val="Noto Sans KR"/>
        <color theme="1"/>
        <sz val="11.0"/>
      </rPr>
      <t>지능적</t>
    </r>
    <r>
      <rPr>
        <rFont val="맑은 고딕"/>
        <color theme="1"/>
        <sz val="11.0"/>
      </rPr>
      <t xml:space="preserve"> 시정 구현을 위한 공공 빅데이터 활용 및 시민 체감형 서비스 제공 확대 필요 □ 추진방법 : 용역(전문컨설팅 기업 선정) ○ 용 역 명 : 부산광역시 빅데이터 활용 및 빅데이터산업 육성에 관한 기본계획 수립 용역 ○ 용역기간 : 2024. 5. 29. ~ 11. 28.(6개월) ○ 사 업 비 : 63,000,000원 ○ 용 역 사 : 세종지능경영원(주) □ 주요내용 ○ 대상기간 : 2025 ~ 2027년(제2차) ○ 추진내용 - 내·외부 현황 및 요구사항 분석 - 데이터 활용 비전 및 전략수립, 기본계획 및 세부추진과제 정의 - 데이터 분석과제 검증, 빅데이터산업 육성방안, 전문인재 양성방안 - 데이터 서비스 및 활용 이행계획 수립 □ 향후계획 ○ 데이터 활용 및 데이터산업 육성 시행계획 수립(매년) - 14 -</t>
    </r>
  </si>
  <si>
    <r>
      <rPr>
        <rFont val="맑은 고딕"/>
        <b/>
        <color theme="1"/>
        <sz val="11.0"/>
      </rPr>
      <t>170_2503_빅데이터과_업무매뉴얼_빅데이터과_빅데이터과바인더.pdf[10]</t>
    </r>
    <r>
      <rPr>
        <rFont val="맑은 고딕"/>
        <color theme="1"/>
        <sz val="11.0"/>
      </rPr>
      <t xml:space="preserve">
-----
참고 빅데이터 조례 제·개정 □ 빅데이터 활용 및 빅데이터산업 육성에 관한 조례 제정 ○ 제정사유 : 빅데이터 활용 산업육성 조례 전국 최초 발의 - 빅데이터 활용을 통한 분석·예측으로 선제적 시정 대응 및 정책 개발 등 행정의 효율성과 시민의 삶의 질 향상 및 지역의 산업 육성에 이바지</t>
    </r>
    <r>
      <rPr>
        <rFont val="맑은 고딕"/>
        <color rgb="FFFF0000"/>
        <sz val="11.0"/>
      </rPr>
      <t xml:space="preserve"> ○ 조례 제정 : 2016.12.3. 전봉민 의원 발의(2016.10.6.) ○ 주요내용 - 빅데이터의 활용 및 빅데이터산업 육성에 관한 기본계획의 수립 및 시행에 관 한 사항을 정함(제5조)</t>
    </r>
    <r>
      <rPr>
        <rFont val="맑은 고딕"/>
        <color theme="1"/>
        <sz val="11.0"/>
      </rPr>
      <t xml:space="preserve"> -‘빅데이터위원회 설치’는 정보화 기본 조례에 따라 운영 중인 기존 ‘정보화위 원회’와 연계하여 운영(제7조) - 빅데이터에 관한 사무를 총괄하는 빅데이터책임관 설치(제8조) - 빅데이터 기술을 활용한 서비스 제공 및 촉진을 위한 사업을 추진하고(제11 조), 빅데이터산업 육성을 위한 사업 추진도 정함(제12조) - 빅데이터 관련 교육 및 전문인력 양성에 관한 사항을 정하고(제13조), 빅데이터센터의 설치 및 운영에 관한 사항을 정함(제14조) □ 부산광역시 빅데이터 활용 및 빅데이터산업 육성에 관한 조례 개정 ○ 개정사유 : 공공부문의 데이터기반행정을 강화하기 위해 「부산광역시 데이터 기반행정 활성화에 관한 조례」를 제정함에 따라 본 조례를 시민의 빅데이터 활용 활성화 및 민간의 빅데이터산업 육성에 초점을 맞춰 개정하여 데이터 활성화에 관한 조례를 공공부문과 민간부문 이원화 ○ 조례 개정 : 2019.9.25. 김문기 의원 발의(2020.1.1.시행) ○ 주요내용 - 시민의 빅데이터 활용을 활성화한다는 조례 개정 취지에 맞춰‘빅데이터’를‘시 민의 빅데이터’로 용어 수정함 - 10 -</t>
    </r>
  </si>
  <si>
    <t>공공데이터 포털에 공공데이터를 등록하는 절차가 무엇인가요?</t>
  </si>
  <si>
    <t>공공데이터를 공공데이터 포털에 등록하려는 경우, 관련 내부 규정과 절차에 따라 신청, 검토, 승인, 공개까지의 과정은 어떻게 진행되나요?</t>
  </si>
  <si>
    <t>부산광역시 공공데이터 포털에 공공데이터를 등록하는 절차는 목록 구성, 등록 대상 확인, 목록 등록, 목록 정보 작성 및 등록입니다.
관련내용은 다음과 같습니다.
목록 구성: 기관의 주요 업무 단위(BRM 6단계 단위 과제, 주요 사업, 업무 중분류 등)에서 공공데이터 목록을 구성합니다.
등록 대상 확인: 구성된 공공데이터 목록이 정부 기능 분류(BRM)를 참고하여 등록 대상 여부를 확인합니다.
목록 등록: 공공데이터 목록 등록서에 따라 목록 등록 관리 시스템에 목록 정보를 작성하고 등록합니다.
목록 정보 작성 및 등록: 각 기관이 개별적으로 운영하는 데이터 포털이 있는 경우, 해당 개별 포털에서 제공하는 데이터는 목록 등록 관리 시스템에 일치되게 등록하고 관리합니다.
이러한 절차를 통해 공공데이터가 목록 등록 관리 시스템에 등록되고, 최종적으로 공공데이터 포털에 기계 판독 가능한 형태로 제공됩니다.</t>
  </si>
  <si>
    <t>기대답변
공공데이터 등록은 '공공데이터목록등록관리시스템(all.data.go.kr)' 사이트를 통해 진행하며
① 등록대상 목록 구성 ② 공공데이터 목록·데이터 등록 ③ 현행화 관리
절차를 통해 진행됩니다.
링크 : 2306_빅데이터과_업무매뉴얼_공공데이터 제공관리 실무매뉴얼.pdf</t>
  </si>
  <si>
    <t>공공데이터 등록은 '공공데이터목록등록관리시스템(all.data.go.kr)' 사이트를 통해 진행하며
 ① 등록대상 목록 구성 ② 공공데이터 목록·데이터 등록 ③ 현행화 관리
 절차를 통해 진행됩니다.</t>
  </si>
  <si>
    <t>141_2306_빅데이터과_업무매뉴얼_공공데이터_제공관리_실무매뉴얼.pdf</t>
  </si>
  <si>
    <t>30</t>
  </si>
  <si>
    <t>3 공공데이터 등록
 개 요
 � 각 기관이 생성 또는 수집·취득한 공공데이터의 목록 및 제공대상 공공데이터를
 공공데이터목록등록관리시스템(all.data.go.kr)에 등록하고, 변경사항 반영 등
 유지·관리하는 단계
 � 공공데이터 목록·데이터 등록 개요 • 각 기관은 생성 또는 수집·취득하는 공공데이터의 목록을 생성 또는 수집·취득한
 날부터 15일 이내에 행정안전부장관에게 등록(법 제18조제1항 및 영 제15조제1항) - 공공데이터 목록의 행정안전부장관에 대한 등록은 공공데이터목록등록관리시스템
 (all.data.go.kr, 이하 ‘목록등록관리시스템’)에 등록하는 것으로 대체
 - 공공데이터 등록 및 관리는 해당 데이터를 직접 생성·수집하는 해당 기관이 직접 수행(관리지침 제4조제1항, 소관부처 및 지자체의 산하기관 데이터 등록 및 중복등록 금지) • 각 공공기관의 업무담당자는 제공대상 데이터를 확인 후, 목록을 구성하고 목록등록관리
 시스템에 등록 및 현행화를 수행
 ▶ 공공데이터 목록 및 데이터 등록 절차
 ① 등록대상 목록 구성 ② 공공데이터 목록·데이터 등록 ③ 현행화 관리공공데이터 등록대상
 목록 선정 및 구성 ➡
 공공데이터
 목록·데이터 등록
 (all.data.go.kr)
 ⇒
 개방검토*
 (활용지원센터) ➡
 공공데이터 목록·데이터
 지속관리
 * 등록된 목록․데이터의 개방 적합여부 검토
 : 데이터의 형식 등 목록․데이터 등록기준(관리지침 별표1)의 준수여부를 확인하는 절차
  (각 기관은 활용지원센터의 검토의견을 반영하는 등 조치 필요)
 � 등록대상 공공데이터 목록의 구성 등
 • 각 기관은 “2. 공공데이터 등록을 위한 처리” 단계에서 제공대상으로 식별된 공공데이터를대상으로 공공데이터 목록을 구성 및 관리
 - 공공데이터가 제공제외 대상에 해당하는 경우에는 해당 목록을 별도로 관리하되, 향후
 제공제외 사유가 소멸하는 경우 개방 전환(관리지침 제11조제2항)</t>
  </si>
  <si>
    <t>공공데이터 포털에 공공데이터를 등록하는 절차에 대한 설명</t>
  </si>
  <si>
    <r>
      <rPr>
        <rFont val="맑은 고딕"/>
        <b/>
        <color theme="1"/>
        <sz val="11.0"/>
      </rPr>
      <t>141_2306_빅데이터과_업무매뉴얼_공공데이터_제공관리_실무매뉴얼.pdf[41] : 0.99</t>
    </r>
    <r>
      <rPr>
        <rFont val="맑은 고딕"/>
        <color theme="1"/>
        <sz val="11.0"/>
      </rPr>
      <t xml:space="preserve">
-----</t>
    </r>
    <r>
      <rPr>
        <rFont val="맑은 고딕"/>
        <color theme="1"/>
        <sz val="11.0"/>
      </rPr>
      <t xml:space="preserve">
II. 공공데이터 제공·관리 단계별 기준  공표 제공대상 외의 공공데이터 제공신청 처리 • 각 기관은 국민, 기업 등이 공표된 제공대상 외의 공공데이터를 제공 신청하는 경우, 제공 여부를 10일 이내에 결정(법 제27조) - 각 기관은 제공신청이 접수된 경우, 신청인이 처리 경과를 상세하게 알 수 있도록 제공신청 처리 상태가 변경될 때마다 변경 내용을 포함한 처리 상황을 공개할 필요 ▶ 공표된 제공대상 공공데이터 외의 제공신청 처리절차 • 제공 여부의 결정은 공공데이터법 제17조에 따라야 &lt;table border="1" class="table table-striped table-hover"&gt;&lt;thead&gt;&lt;tr&gt;&lt;th&gt;• 제공 여부의 결구분각 호의 사유가&lt;/th&gt;&lt;th&gt;결정은 공공데이터법 제17조에 따라야 하며, 제공제외 여부는 법 제17조제1주요 내용가 없는 경우에만 공공데이터 제공대상이 됨&lt;/th&gt;&lt;/tr&gt;&lt;/thead&gt;&lt;tbody&gt;&lt;tr&gt;&lt;td&gt;각 호의 사유가1 해당 사항- 다만, 다른&lt;/td&gt;&lt;td&gt;가 없는 경우에만 공공데이터 제공대상이 됨공표한 제공대상 공공데이터 목록에 없는 공공데이터 신청법률에서 해당 데이터의 제공범위 및 절차를 규정하는 등 공공데이터의&lt;/td&gt;&lt;/tr&gt;&lt;/tbody&gt;&lt;/table&gt; 및 &lt;table border="1" class="table table-striped table-hover"&gt;&lt;thead&gt;&lt;tr&gt;&lt;th&gt;관리, 제공2 신청 장소 및방법- 법률이 아닌&lt;/th&gt;&lt;th&gt;및 이용에 관한 특별한 규정을 두고 있는 경우에만 제한 가능(법 제4조해당 공공데이터 보유 공공기관의 홈페이지(개방 메뉴 페이지) 또는 공공데이터포털의 제공신청 메뉴(포털&amp;gt;참여마당&amp;gt;공공데이터 제공신청)닌 대통령령, 행정규칙, 내부규정 등에서 이용대상·이용절차 등을 제한하고&lt;/th&gt;&lt;/tr&gt;&lt;/thead&gt;&lt;tbody&gt;&lt;/tbody&gt;&lt;/table&gt;  가하 &lt;table border="1" class="table table-striped table-hover"&gt;&lt;thead&gt;&lt;tr&gt;&lt;th&gt;있는 경우 해3 신청서 접수 제공대상 공&lt;/th&gt;&lt;th&gt;해당 규정을 근거로 제공거부 불가하며, 공공데이터법 우선 적용각 기관의 공공데이터제공실무담당자는 신청내역을 확인·접수처리※ 신청 공공데이터의 담당 기관을 잘못 지정한 경우는 이송처리 원칙⇒ 기관이 데이터를 보유하고 있지 않고 담당 기관을 확인 불가한 경우는 제공거부 처리공공데이터의 제공비용 산정&lt;/th&gt;&lt;/tr&gt;&lt;/thead&gt;&lt;tbody&gt;&lt;/tbody&gt;&lt;/table&gt;  &lt;table border="1" class="table table-striped table-hover"&gt;&lt;thead&gt;&lt;tr&gt;&lt;th&gt;• 공공데이터의예산(세금)을 통- 다만, 각 기4 제공 여부필요최소한의결정기간 및 기준※ 다만, 공공데- 이때, 공공데대한 기준을&lt;/th&gt;&lt;th&gt;10일 이내에 제공 여부 결정생성 및 관리는 공공기관의 고유 업무이며, 이를 위해 발생하는 비용은(10일 연장 가능 ⇒ 신청인에게 “공공데이터 제공 여부 결정기간 연장 통보서[시행규칙별지 제10호서식]”를 작성하여 지체 없이 통보)통해 충당되므로 무료제공이 원칙임(관리지침 제16조)※ 제공제외 대상 (법 제17조제1항)기관은 데이터 제공을 위해 추가적 노력이 필요한 경우 법 제35조에 따라1 개인정보 등 「공공기관의 정보공개에 관한 법률」 제9조에 따른 비공개 대상정보*의 실비 수준의 비용을 청구할 수 있음* 개인정보가 포함된 공공데이터는 사생활의 비밀과 자유 침해 우려가 있는경우 제공제외대상으로 제공거부 가능데이터의 활용을 저해하는 과도한 제공비용은 청구할 수 없음- 다만, 익명정보로도 제공신청자의 목적 달성이 가능하고 기관이 추가 가공을 결정한때에는 익명정보 개방 가능(제공대상 확정 및 추가가공 관련 17-18p 참조)데이터의 제공에 드는 비용을 이용자에게 부담시키려는 기관은 비용 부과에2 「저작권법」 및 기타 법령상 보호되는 제3자 권리가 포함된 것으로 해당 법령에 따른정당한 이용허락을 받지 아니한 정보을 해당 기관의 내부규정(법, 지침 등)으로 마련 필요(관리지침 제16조제2항&lt;/th&gt;&lt;/tr&gt;&lt;/thead&gt;&lt;tbody&gt;&lt;/tbody&gt;&lt;/table&gt;  원 &lt;table border="1" class="table table-striped table-hover"&gt;&lt;thead&gt;&lt;tr&gt;&lt;th&gt;※ 「공공데이터• 각 기관은 내부표를 참고하여5 제공 여부 결정&lt;/th&gt;&lt;th&gt;터법」 제35조는 비용부담에 대한 일반론적인 원칙을 제시제공 결정 제공거부 결정부규정에 따라 비용을 청구할 수 있으나, 별도의 기준이 없는 경우에는 아⇒ 신청인에게 거부결정의 내용과 사유를⇒ 신청인에게 제공 방법·절차 등을여 비용 산정 기준 마련 작성하여 “공공데이터 제공거부결정“공공데이터(제공, 부분제공)결정통보서[시행규칙 별지 제12호통지서[시행규칙 별지 11호서식]”를서식]”를 지체 없이 통보작성하여 지체 없이 통보※ 행정안전부장관에게도 지체 없이 통보 지체 없이 해당 공공데이터를 공공데이터 포털에 등록(법 제27조제5항)⇒ 법 제17조제1항의 제공제외 대상에 해당하는 경우도 공공데이터 목록 등록·관리대상(법 제18조)&lt;/th&gt;&lt;/tr&gt;&lt;/thead&gt;&lt;tbody&gt;&lt;/tbody&gt;&lt;/table&gt;  &lt;table border="1" class="table table-striped table-hover"&gt;&lt;thead&gt;&lt;tr&gt;&lt;th&gt;6 내역관리&lt;/th&gt;&lt;th&gt;“공공데이터 제공 내역 대장 [시행규칙 별지 제7호서식]” 작성·관리&lt;/th&gt;&lt;/tr&gt;&lt;/thead&gt;&lt;tbody&gt;&lt;/tbody&gt;&lt;/table&gt;  &lt;table border="1" class="table table-striped table-hover"&gt;&lt;thead&gt;&lt;tr&gt;&lt;th&gt;7 제공&lt;/th&gt;&lt;th&gt;신청자 공공데이터 수령 및 이용&lt;/th&gt;&lt;th&gt;×&lt;/th&gt;&lt;/tr&gt;&lt;/thead&gt;&lt;tbody&gt;&lt;/tbody&gt;&lt;/table&gt; 37</t>
    </r>
  </si>
  <si>
    <r>
      <rPr>
        <rFont val="맑은 고딕"/>
        <b/>
        <color theme="1"/>
        <sz val="11.0"/>
      </rPr>
      <t>141_2306_빅데이터과_업무매뉴얼_공공데이터_제공관리_실무매뉴얼.pdf[126, 127] : 0.98</t>
    </r>
    <r>
      <rPr>
        <rFont val="맑은 고딕"/>
        <color theme="1"/>
        <sz val="11.0"/>
      </rPr>
      <t xml:space="preserve">
-----
Q12. (데이터 개방) 데이터를 등록하였는데 언제 개방이 되나요? A. 데이터 개방 여부는 검토 승인일 다음 날부터 공공데이터 포 털에서 확인 가능합니다. 단, 변경 요청에 의한 검토는 당일 바 로 반영되어 공공데이터 포털에서 확인할 수 있지만, 상황에 따 라 처리가 지연될 수 있는 점 양해 부탁드립니다. 데이터 검토는 보통 3일 정도 소요되며, 일시적으로 검토중인 데이터가 많은 경우에는 처리가 지연될 수 있습니다. 제공신청에 의한 등록은 최대한 빠른 처리를 원칙으로 하고 있 으나, 검토건 누적 등으로 처리가 지연되는 경우 공공데이터활용 지원센터(1588-0182)로 문의하시면 지연사유 등을 확인한 후 처 리가 가능합니다. </t>
    </r>
    <r>
      <rPr>
        <rFont val="맑은 고딕"/>
        <color rgb="FFFF0000"/>
        <sz val="11.0"/>
      </rPr>
      <t>참고로, 공공데이터 등록 절차는 데이터 등록 ⇒ 실무담당자 검토 ⇒ 데이 터 검토(활용지원센터)까지 3단계를 거치고 있습니다. 업무담당자가 등록하 신 후 실무담당자 검토가 이루어지지 않아 등록이 처리되지 않는 경우가 종종 발생하고 있습니다. 데이터 등록 후 처리가 지연되는 경우 실무담당 자 검토 여부를 먼저 확인해 주시기 바랍니다. 실무담당자 검토가 완료 되어야 공공데이터활용지원센터의 검토가 가능합니다(Q11 참조). 부록 123</t>
    </r>
  </si>
  <si>
    <r>
      <rPr>
        <rFont val="맑은 고딕"/>
        <b/>
        <color theme="1"/>
        <sz val="11.0"/>
      </rPr>
      <t>141_2306_빅데이터과_업무매뉴얼_공공데이터_제공관리_실무매뉴얼.pdf[31]</t>
    </r>
    <r>
      <rPr>
        <rFont val="맑은 고딕"/>
        <color theme="1"/>
        <sz val="11.0"/>
      </rPr>
      <t xml:space="preserve">
-----
</t>
    </r>
    <r>
      <rPr>
        <rFont val="맑은 고딕"/>
        <color theme="1"/>
        <sz val="11.0"/>
      </rPr>
      <t xml:space="preserve">II. 공공데이터 제공·관리 단계별 기준 - 관련 법령에 따라 공시·공개된 데이터, 그 밖에 공공기관이 스스로 웹사이트에 게시한 데이터 등 일반 공중에 이미 공개된 데이터는 원칙적으로 공공데이터 제공대상으로서 목록등록관리시스템에 등록하고 공공데이터 포털에 기계판독 가능한 형태로 제공 (관리지침 제10조제4항) ※ 단, 특정 목적을 위해 제한된 범위·기간 내 활용을 명시하고 수집된 정보와 같이 관련 법령에서 데이터의 제공·이용을 제한하고 있는 경우는 제외 • 공공데이터 목록이 구성되면 공공데이터 목록·데이터 등록서에 따라 목록등록관리시스템에 목록 정보를 작성·등록 • 각 기관이 개별적으로 운영하는 데이터포털(이하 개별 포털 등)이 있는 경우, 해당 개별 포털에서 제공하는 데이터는 목록등록관리시스템에 일치되게 등록·관리(관리지침 제14조 제2항) </t>
    </r>
    <r>
      <rPr>
        <rFont val="맑은 고딕"/>
        <color rgb="FFFF0000"/>
        <sz val="11.0"/>
      </rPr>
      <t xml:space="preserve">▶ 공공데이터 목록 구성 및 등록 절차 1 공공데이터 목록 2 공공데이터 목록 단위 적합 여부 확인 3 공공데이터 목록 4 공공데이터 목록 </t>
    </r>
    <r>
      <rPr>
        <rFont val="Segoe UI Symbol"/>
        <color theme="1"/>
        <sz val="11.0"/>
      </rPr>
      <t>➡</t>
    </r>
    <r>
      <rPr>
        <rFont val="맑은 고딕"/>
        <color theme="1"/>
        <sz val="11.0"/>
      </rPr>
      <t xml:space="preserve"> </t>
    </r>
    <r>
      <rPr>
        <rFont val="Segoe UI Symbol"/>
        <color theme="1"/>
        <sz val="11.0"/>
      </rPr>
      <t>➡</t>
    </r>
    <r>
      <rPr>
        <rFont val="맑은 고딕"/>
        <color theme="1"/>
        <sz val="11.0"/>
      </rPr>
      <t xml:space="preserve"> </t>
    </r>
    <r>
      <rPr>
        <rFont val="Segoe UI Symbol"/>
        <color theme="1"/>
        <sz val="11.0"/>
      </rPr>
      <t>➡</t>
    </r>
    <r>
      <rPr>
        <rFont val="맑은 고딕"/>
        <color theme="1"/>
        <sz val="11.0"/>
      </rPr>
      <t xml:space="preserve"> 등록대상 확인 명칭 부여 등록 1 공공데이터 목록 등록대상 확인 - 각 기관은 소관 공공데이터가 정부기능분류(BRM)*를 참고하여 등록대상 여부를 확인 * (중앙부처·지자체) 온나라시스템(온나라문서관리)에서 정부기능분류체계 참고 (공공기관) 상위기관 분류체계 및 기관의 직제규정 · 조직 업무분장 참고 ▶ 정부기능분류체계(BRM)의 계층별 구분과 범위 ◀ &lt;table border="1" class="table table-striped table-hover"&gt;&lt;thead&gt;&lt;tr&gt;&lt;th&gt;구 분&lt;/th&gt;&lt;th&gt;범위 정책분야(1레벨) 정책영역(2레벨) 대 기 능(3레벨) 중 기 능(4레벨) 소 기 능(5레벨)&lt;/th&gt;&lt;/tr&gt;&lt;/thead&gt;&lt;tbody&gt;&lt;tr&gt;&lt;td&gt;&lt;/td&gt;&lt;td&gt;단위과제(6레벨)&lt;/td&gt;&lt;/tr&gt;&lt;/tbody&gt;&lt;/table&gt; • 정부의 업무 활동, 대국민 서비스, 정부의 예산배분체계 등을 고려하여 구분한 최상의 계층 ⇒ (예시 : 일반공공행정) • 정책분야를 공공기관별로 수행하는 기능과 체계가 연결될 수 있도록 공공기관의 업무 영역을 구분 ⇒ (예시 : 지방행정·재정지원) • 공공기관 내의 상위 조직별(실·국)로 담당하는 기능 ⇒ (예시 : 지방세) • 공공기관 내의 업무 부서별(과·팀)로 담당하는 기능 ⇒ (예시 : 새주소 정책) • 중기능을 수행하기 위하여 업무담당자가 수행하는 기능으로 직제규정 등 법규를 근거로 정해진 기능 ⇒ (예시 : 새주소 정보화) • 업무 간 독자성을 고려하여 업무담당자가 수행하는 기능을 영역별, 절차별로 세분화한 업무영역 ⇒ (예시 : 도로명자료 제공, 새주소 정보 활용 활성화 등)   27</t>
    </r>
  </si>
  <si>
    <r>
      <rPr>
        <rFont val="맑은 고딕"/>
        <b/>
        <color theme="1"/>
        <sz val="11.0"/>
      </rPr>
      <t>141_2306_빅데이터과_업무매뉴얼_공공데이터_제공관리_실무매뉴얼.pdf[37]</t>
    </r>
    <r>
      <rPr>
        <rFont val="맑은 고딕"/>
        <color theme="1"/>
        <sz val="11.0"/>
      </rPr>
      <t xml:space="preserve">
-----
</t>
    </r>
    <r>
      <rPr>
        <rFont val="맑은 고딕"/>
        <color theme="1"/>
        <sz val="11.0"/>
      </rPr>
      <t>II. 공공데이터 제공·관리 단계별 기준 • 행정안전부장관은 목록등록관리시스템에 등록된 제공대상 공공데이터 목록을 종합하여 공공데이터 포털(data.go.kr)에 공표 - 각 기관은 공표된 목록의 공공데이터를 목록등록관리시스템에 등록하여야 함 참 고 법 제19조(공공데이터 목록정보의 공표) 1 전략위원회는 제18조에 따라 등록된 공공데이터 목록 가운데 제공대상이 되는 공공데이터 목록을 심의·의결한다. 2 행정안전부장관은 제1항에 따라 전략위원회의 심의·의결을 거친 공공데이터 제공목록 및 이용요건 등을 종합하여 공표하여야 한다. 3 공공기관의 장은 제2항에 따라 공표된 소관 제공대상 공공데이터를 이용자가 쉽게 이용할 수 있도록 제공목록 및 이용요건 등을 작성하여 해당 기관의 인터넷 홈페이지를 통하여 공표하여야 한다. 4 제2항에 따라 공표된 공공데이터를 보유하고 있는 공공기관의 장은 해당 공공데이터를 제21조의 공공데이터 포털에 등록하여야 한다. 5 그 밖에 공공데이터 목록의 종합 및 공표를 위하여 필요한 사항은 대통령령으로 정하는 바에 따른다.  공공데이터의 현행화 • 공공기관은 공공데이터 포털에 제공하는 공공데이터의 최신성, 정확성을 유지할 수 있도록 관리(영 제16조) - 공공데이터 포털에 개방된 목록은 제공데이터의 갱신 주기에 따라 데이터 현행화 ※ 데이터 현행화의 경우 공공데이터 목록 및 제공대상 공공데이터의 메타정보도 함께 현행화하여야 함 - 공공데이터 목록 및 제공대상 공공데이터 등록 항목이 변경된 경우 10일 이내 변경 등록(영 제15조제2항) - 행정안전부장관이 20일 이내의 기간을 정하여 누락된 공공데이터의 등록을 요청한 경우 반드시 정해진 기간 내에 목록 신규 등록(법 제18조제2항 및 영 제15조제3항) • 각 기관의 실무담당자는 수시로 목록등록관리시스템에 등록한 공공데이터 최신화 여부를 확인하여 조치(목록등록관리시스템에서 ‘업데이트 예정 데이터’ 조회) - 제공데이터의 ‘업데이트 예정일’ 도래 시, 예정일에 맞춰 데이터 최신화가 이뤄질 수 있도록 관리하고 예정일 이전에 반드시 현행화 - 공공데이터 목록·데이터등록서(파일/API)에 오류 정보(이용허락범위, 제공데이터 설명 등)가 제공되지 않아야 하며, 데이터에 대한 설명이 충분히 제공되어야 함 33</t>
    </r>
  </si>
  <si>
    <t>공공데이터 목록과 제공 대상 공공데이터의 차이는 무엇인가요?</t>
  </si>
  <si>
    <t>공공데이터와 관련하여, ‘공공데이터 목록’과 실제 시민이나 기관에 제공되는 ‘공공데이터 제공 대상’의 정의와 차이점은 무엇인가요?</t>
  </si>
  <si>
    <t>공공데이터 목록과 제공 대상 공공데이터의 차이점은 목록 등록 및 관리, 제공 대상 여부, 관리 방식입니다.
관련내용은 다음과 같습니다.
목록 등록 및 관리
공공데이터 목록: 모든 공공데이터의 목록을 의미하며, 행정안전부 장관에게 등록해야 합니다. 이는 공공데이터 포털(data.go.kr)에 공표되며, 각 기관은 이 목록을 목록 등록 관리 시스템에 등록해야 합니다.
제공 대상 공공데이터: 공공데이터 목록 중에서 실제로 이용자들에게 제공하기로 결정된 데이터입니다. 이는 이용자가 쉽게 이용할 수 있도록 제공 목록 및 이용 요건 등을 작성하여 해당 기관의 인터넷 홈페이지를 통해 공표되어야 합니다.
제공 대상 여부
공공데이터 목록은 모든 공공데이터를 포함하지만, 제공 대상 공공데이터는 그중에서 실제로 제공되는 데이터만을 의미합니다.
제공 대상 공공데이터는 이용자가 쉽게 이용할 수 있도록 별도의 목록과 이용 요건을 갖추어 공표되어야 하며, 공공데이터 포털에 등록되어야 합니다.
관리 방식
공공데이터 목록은 행정안전부 장관이 종합하여 공표하고, 각 기관은 이를 목록 등록 관리 시스템에 등록하여 관리합니다.
제공 대상 공공데이터는 각 기관의 실무 담당자가 수시로 최신화 여부를 확인하여 조치하며, 제공 데이터의 갱신 주기에 따라 데이터 현행화를 유지해야 합니다.
이러한 차이점을 통해 공공데이터의 관리와 제공이 체계적으로 이루어질 수 있습니다.</t>
  </si>
  <si>
    <t>기대답변
공공데이터 목록과 제공 대상 공공데이터는 하나의 목록에 N개의 관련 데이터를 입력하는 1:N의 관계로 등록 및 관리 되고 있습니다.
목록은 유사 데이터를 제공할 수 있는 하나의 폴더이며, 제공 대상 공공데이터는 실제로 제공하는 데이터입니다.
링크 : 2306_빅데이터과_업무매뉴얼_공공데이터 제공관리 실무매뉴얼.pdf</t>
  </si>
  <si>
    <t>기대답변 :
 1. 공공데이터 목록
  - 정의: 공공기관이 생성 또는 취득하여 관리하고 있는 모든 자료 또는 정보를 포함한 목록입니다. 이는 데이터베이스, 전자화된 파일 등 다양한 형태로 존재하며, 텍스트, 문서, 수치, 이미지, 동영상, 오디오 등 모든 자료가 포함됩니다.
  - 목적: 공공기관이 일상적 업무 수행의 결과물로 생성된 다양한 자료를 체계적으로 관리하고, 이를 공개 가능한 형태로 정리하는 데 목적이 있습니다.
  - 관리 방식: 각 기관은 제공대상으로 식별된 공공데이터를 대상으로 목록을 구성하고 관리합니다. 제공제외 대상에 해당하는 경우에는 별도로 관리하되, 향후 제공제외 사유가 소멸하면 개방 전환할 수 있습니다.
 2. 제공 대상 공공데이터
  - 정의: 공개가 가능한 공공데이터로, 개인정보 등 비공개 대상 정보가 포함되지 않고, 저작권 등 제3자 권리가 포함되지 않은 데이터를 말합니다.
  - 확인 절차:
  &gt; 1차 확인: 개인정보 등 비공개 대상 정보 포함 여부를 확인합니다.
  &gt; 2차 확인: 저작권 등 제3자 권리 포함 여부를 확인합니다.
 3. 차이점 요약
  - 공공데이터 목록: 모든 공공데이터를 포함한 목록으로, 제공 가능 여부와 관계없이 체계적으로 관리됩니다.
  - 제공 대상 공공데이터: 공개가 가능한 공공데이터로, 개인정보 및 제3자 권리가 포함되지 않은 데이터만 선별하여 제공합니다.
 이러한 구분은 공공데이터의 체계적인 관리와 투명한 공개를 위해 중요합니다.</t>
  </si>
  <si>
    <t>7, 18, 23, 30</t>
  </si>
  <si>
    <t>7P
 “공공데이터”란 데이터베이스, 전자화된 파일 등 공공기관이 법령 등에서 정하는 목적을 위하여 생성 또는 취득하여 관리하고 있는 광(光) 또는 전자적 방식으로 처리된 자료 또는 정보로서 다음 각 목의 어느 하나에 해당하는 것을 말한다.(법 제2조제2호)
 공공데이터는 개별 공공기관이 일상적 업무수행의 결과물로 생성 또는 수집·취득한 다양한 형태(텍스트·문서, 수치, 이미지, 동영상, 오디오 등)의 모든 자료 또는 정보가 대상)
 18P
  - 개인정보 등 비공개 대상정보의 포함 여부 확인 (1차 확인)
 &lt; 제공대상 확정 절차 &gt;
 1차 확인 (비공개 대상 정보 포함 여부 확인)
 2차 확인 (저작권 등 제3자 권리 포함 여부 확인)
 23P
  - 저작권 등 제3자 권리의 포함 여부 확인 (2차 확인)
 30P
 등록대상 공공데이터 목록의 구성 등
 • 각 기관은 “2. 공공데이터 등록을 위한 처리” 단계에서 제공대상으로 식별된 공공데이터를 대상으로 공공데이터 목록을 구성 및 관리
 - 공공데이터가 제공제외 대상에 해당하는 경우에는 해당 목록을 별도로 관리하되, 향후 제공제외 사유가 소멸하는 경우 개방 전환(관리지침 제11조제2항)</t>
  </si>
  <si>
    <t>공공데이터 목록과 제공 대상 공공데이터의 차이</t>
  </si>
  <si>
    <r>
      <rPr>
        <rFont val="맑은 고딕"/>
        <b/>
        <color theme="1"/>
        <sz val="11.0"/>
      </rPr>
      <t>141_2306_빅데이터과_업무매뉴얼_공공데이터_제공관리_실무매뉴얼.pdf[34]</t>
    </r>
    <r>
      <rPr>
        <rFont val="맑은 고딕"/>
        <color theme="1"/>
        <sz val="11.0"/>
      </rPr>
      <t xml:space="preserve">
-----
공공데이터 제공·관리 실무 매뉴얼 ▶ 공공데이터 목록·데이터 등록기준(관리지침 별표1) &lt;table border="1" class="table table-striped table-hover"&gt;&lt;thead&gt;&lt;tr&gt;&lt;th&gt;구분&lt;/th&gt;&lt;th&gt;구분&lt;/th&gt;&lt;th&gt;주요 내용&lt;/th&gt;&lt;/tr&gt;&lt;/thead&gt;&lt;tbody&gt;&lt;tr&gt;&lt;td&gt;목록&lt;/td&gt;&lt;td&gt;업무단위&lt;/td&gt;&lt;td&gt;• 정부기능분류(BRM)의 단위과제 수준에서 선정단, 책자 형태의 기관 발간물(통계연보 등)은 발간 단위※ 별도의 업무기능분류가 없는 기관은 소관부처의 BRM 및 기관 직제규정 등을참조하여 소기능 단위(부서 내 업무분장 등)로 목록 단위 선정• 기관 개별 포털 등에서 데이터를 제공하고 있는 경우, 동일한 목록명으로등록• 개별 포털 검색을 통해 세부 데이터를 제공하는 경우, 해당 개별 포털에서데이터를 제공하고 있는 메뉴명으로 목록명을 등록* (예시) 조달정보개방포털 &amp;gt; (목록) 용역조달요청내역⇒ 등록조치 : 목록등록관리시스템 &amp;gt; (목록) 조달청_용역조달관련정보&lt;/td&gt;&lt;/tr&gt;&lt;tr&gt;&lt;td&gt;목록&lt;/td&gt;&lt;td&gt;파일&lt;/td&gt;&lt;td&gt;• (목록) 1개당 - (파일) 1개 이상 등록을 원칙으로 함&lt;/td&gt;&lt;/tr&gt;&lt;tr&gt;&lt;td&gt;목록&lt;/td&gt;&lt;td&gt;API&lt;/td&gt;&lt;td&gt;• (목록) 1개당 - (API) 서비스 1개 이상 등록을 원칙으로 함&lt;/td&gt;&lt;/tr&gt;&lt;/tbody&gt;&lt;/table&gt;  제공대상 공공데이터 등록 및 관리 • 각 기관은 공공데이터 목록·데이터 등록기준(관리지침 별표1)에 따라 제공방식별 데이터 (파일, 오픈API 등) 등록 - 파일데이터는 갱신주기(1년 이하)에 맞는 최신 데이터가 제공되어야 하며, 오픈API는 실 데이터 항목과 기술문서가 일치되도록 관리 ▶ 공공데이터 목록·데이터 등록기준(관리지침 별표1) &lt;table border="1" class="table table-striped table-hover"&gt;&lt;thead&gt;&lt;tr&gt;&lt;th&gt;구분&lt;/th&gt;&lt;th&gt;구분&lt;/th&gt;&lt;th&gt;주요 내용&lt;/th&gt;&lt;/tr&gt;&lt;/thead&gt;&lt;tbody&gt;&lt;tr&gt;&lt;td&gt;제공데이터&lt;/td&gt;&lt;td&gt;포털등록&lt;/td&gt;&lt;td&gt;• 데이터는 CSV, XML, JSON과 같은 구조화된 형태의 오픈포맷으로등록·개방하는 것이 원칙- 데이터는 항목(header)과 데이터 행(row)으로만 구성(항목, 데이터 이외 기타 제목, 공란 등 불가)※ 엑셀 파일은 CSV 형식으로 변환&lt;/td&gt;&lt;/tr&gt;&lt;tr&gt;&lt;td&gt;제공데이터&lt;/td&gt;&lt;td&gt;&lt;/td&gt;&lt;td&gt;• 오픈API를 포털에 직접 등록하는 경우, 자동승인(테스트/운영단계) 제공이원칙(기관 보유자원 한계 등으로 불가피한 때에만 행정안전부와 사전협의 후예외적으로 심의승인 가능)• 오픈API로 제공하는 경우 데이터 수집 및 DB저장 등 민간의 자유로운 활용을반드시 보장※ 기술문서 등에 상업적 활용불가, 데이터 수집·저장 불가, 콘텐츠 변경 불가 등자유로운 활용을 저해하는 문구 기재 지양⇒ 제3자 권리 포함 등으로 자유로운 활용이 불가한 경우, 관련 증빙자료 제출&lt;/td&gt;&lt;/tr&gt;&lt;/tbody&gt;&lt;/table&gt; 30</t>
    </r>
  </si>
  <si>
    <r>
      <rPr>
        <rFont val="맑은 고딕"/>
        <b/>
        <color theme="1"/>
        <sz val="11.0"/>
      </rPr>
      <t>141_2306_빅데이터과_업무매뉴얼_공공데이터_제공관리_실무매뉴얼.pdf[7]</t>
    </r>
    <r>
      <rPr>
        <rFont val="맑은 고딕"/>
        <color theme="1"/>
        <sz val="11.0"/>
      </rPr>
      <t xml:space="preserve">
-----
I. 공공데이터 제공·관리 매뉴얼 개요 2 주요용어 개념 및 관리원칙 주요용어 개념 • “공공데이터”의 개념 및 대상 ▶ 법 제2조(정의) 이 법에서 사용하는 용어의 뜻은 다음과 같다. “공공데이터”란 데이터베이스, 전자화된 파일 등 공공기관이 법령 등에서 정하는 목적을 위하여 생성 또는 취득하여 관리하고 있는 광(光) 또는 전자적 방식으로 처리된 자료 또는 정보로서 다음 각 목의 어느 하나에 해당하는 것을 말한다.(법 제2조제2호) ▶ 공공데이터의 정의 ◀ 「공공데이터법」 제2조제2호 내용 Ÿ 행정기관등이 직무상 작성하거나 취득하여 가. 「전자정부법」 제2조제6호에 따른 관리하고 있는 자료로서 전자적 방식으로 처리되어 부호, 문자, 음성, 음향, 영상 등으로 표현된 것 행정정보 나. 「지능정보화 기본법」 Ÿ 특정 목적을 위하여 광(光) 또는 전자적 방식으로 제3조제1호에 따른 정보 중 공공기관이 생산한 정보 처리되어 부호, 문자, 음성, 음향 및 영상 등으로 표현된 모든 종류의 자료 또는 지식 중 공공기관이 생산한 정보 다. 「공공기록물 관리에 관한 법률」 Ÿ 웹기록물 및 행정정보 데이터세트 등의 제20조제1항에 따른 전자기록물 중 대통령령으로 정하는 전자기록물 기록정보자료 라. 그 밖에 대통령령으로 정하는 자료 또는 정보 ⇒ 공공데이터는 개별 공공기관이 일상적 업무수행의 결과물로 생성 또는 수집·취득한 다양한 형태 (텍스트·문서, 수치, 이미지, 동영상, 오디오 등)의 모든 자료 또는 정보가 대상 ※ 민간과 공공기관이 공동사업을 통해 생성·취득한 데이터의 공공데이터 해당여부 - 민관이 컨소시엄을 구성해서 데이터 플랫폼 구축 등의 사업을 수행하여 공공데이터를 생성· 취득하는 경우, 공동사업에 참여한 공공기관이 해당 데이터를 보유·관리하고 있다면 공공데이터법에 따른 공공데이터에 해당 - 공공기관이 직접 생성한 데이터 외에도, 수집하거나 취득한 데이터도 공공데이터법이 적용되는 공공데이터에 해당(법 제1조, 제2조제2호, 제22조제1항) &lt; 개방 공공데이터의 대표적 유형 &gt; Ÿ 데이터베이스(DB) : 정보가 체계적으로 구조화되어 저장된 전자적 집합물을 말하는 것으로 (관리지침 제2조제8호), 각 기관이 생성·취득한 다양한 형태(텍스트, 수치, 이미지, 동영상, 오디오 등)의 데이터를 테이블(table) 형식으로 구조화하여 DBMS(database management system)에서 관리하고 있는 유형 ⇒ (예) 버스운행정보DB, 기상관측DB, 공간정보DB 등 Ÿ 전자화된 파일(File) : 각 기관이 생성·취득한 다양한 형태(텍스트, 수치, 이미지, 동영상, 오디오 등)의 데이터를 데이터베이스가 아닌, 개별 파일 형태로 관리하고 있는 유형 ⇒ (예) 주차장정보, 학교·학원정보, 범죄통계 등 3</t>
    </r>
  </si>
  <si>
    <r>
      <rPr>
        <rFont val="맑은 고딕"/>
        <b/>
        <color theme="1"/>
        <sz val="11.0"/>
      </rPr>
      <t>141_2306_빅데이터과_업무매뉴얼_공공데이터_제공관리_실무매뉴얼.pdf[39]</t>
    </r>
    <r>
      <rPr>
        <rFont val="맑은 고딕"/>
        <color theme="1"/>
        <sz val="11.0"/>
      </rPr>
      <t xml:space="preserve">
-----
II. 공공데이터 제공·관리 단계별 기준 4 공공데이터 제공 개 요  각 기관이 공표된 제공대상 공공데이터 또는 공표 제공대상 외의 공공데이터 신청에 따라 국민, 기업 등에 데이터를 제공하는 단계  제공대상 공공데이터의 제공 • 각 기관의 공표된 제공대상 공공데이터는 이용자의 자유롭고 편리한 이용*이 가능하도록 공공데이터 포털로 제공하는 것이 원칙(관리지침 제13조제1항, 법 제26조제1항) * 파일데이터는 별도의 신청절차 없이 제공하고, 오픈API는 자동승인이 원칙 - 제공대상 공공데이터의 제공창구는 공공데이터 포털(data.go.kr)이 원칙이며, 기관의 개별 포털은 제공경로의 다원화로 인한 이용자 혼란 가중 및 현행화 관리 비용 소요 등 사유로 지양(관리지침 제14조, 법 제21조 및 영 제16조) ※ 개별 포털을 구축하려는 경우는 반드시 행정안전부와 사전 협의 필요 (공공데이터 포털·개별 포털 제공 정보의 일관성 유지 필수) ▶ 제공대상 공공데이터의 제공절차 &lt;table border="1" class="table table-striped table-hover"&gt;&lt;thead&gt;&lt;tr&gt;&lt;th&gt;구분&lt;/th&gt;&lt;th&gt;온라인 제공&lt;/th&gt;&lt;th&gt;오프라인 제공&lt;/th&gt;&lt;/tr&gt;&lt;/thead&gt;&lt;tbody&gt;&lt;tr&gt;&lt;td&gt;1 해당 사항&lt;/td&gt;&lt;td&gt;모든 공공데이터는온라인 제공이 기본원칙&lt;/td&gt;&lt;td&gt;온라인 제공이불가능한 경우로 한정(관리지침 제13조제2항)&lt;/td&gt;&lt;/tr&gt;&lt;/tbody&gt;&lt;/table&gt;  &lt;table border="1" class="table table-striped table-hover"&gt;&lt;thead&gt;&lt;tr&gt;&lt;th&gt;2 제공 장소&lt;/th&gt;&lt;th&gt;공공데이터 포털&lt;/th&gt;&lt;th&gt;해당 공공기관 직접 방문(기관 공공데이터제공실무담당자)&lt;/th&gt;&lt;/tr&gt;&lt;/thead&gt;&lt;tbody&gt;&lt;/tbody&gt;&lt;/table&gt;  &lt;table border="1" class="table table-striped table-hover"&gt;&lt;thead&gt;&lt;tr&gt;&lt;th&gt;3 제공 내역관리&lt;/th&gt;&lt;th&gt;-&lt;/th&gt;&lt;th&gt;시행규칙 별지 제7호서식에 따른“공공데이터 제공 내역 대장” 작성·관리&lt;/th&gt;&lt;/tr&gt;&lt;/thead&gt;&lt;tbody&gt;&lt;/tbody&gt;&lt;/table&gt;  &lt;table border="1" class="table table-striped table-hover"&gt;&lt;thead&gt;&lt;tr&gt;&lt;th&gt;4 제공 형태&lt;/th&gt;&lt;th&gt;다운로드, 오픈API 제공 등&lt;/th&gt;&lt;th&gt;전자매체 저장 제공 등&lt;/th&gt;&lt;/tr&gt;&lt;/thead&gt;&lt;tbody&gt;&lt;/tbody&gt;&lt;/table&gt;  국민, 기업 등 공공데이터 수령 및 이용 35</t>
    </r>
  </si>
  <si>
    <t>공공데이터 제공 표준이 무엇인가요?</t>
  </si>
  <si>
    <t>부산광역시에서 공공데이터를 제공할 때 적용되는 ‘공공데이터 제공 표준’의 정의와 범위, 주요 기준과 지침은 무엇인가요?</t>
  </si>
  <si>
    <t>공공데이터 포털에 공공데이터를 제공하기 위한 공공데이터 제공 표준은 제공표준 제·개정 절차, 제공표준 관리 절차, 제공표준 준수, 표준데이터 개방검토 기준으로 구성됩니다.
관련내용은 다음과 같습니다.
제공표준 제·개정 절차: 제공표준에 대한 제정 수요가 발생한 기관은 "공공데이터 제공 표준 제정요구서"를 작성하여 총괄기관에 제출합니다. 소관기관은 법·제도 개정 및 데이터셋 제공 방식 변경 등으로 제공표준의 개정이 필요한 경우, 제공표준 개정요구서를 작성하여 총괄기관에 제출합니다.
제공표준 관리 절차: 총괄기관은 제기된 제·개정 수요를 검토하여 제·개정 필요성을 결정하고, 제·개정(안)을 마련합니다. 이때 관계기관 및 해당 분야 전문가의 의견을 수렴할 수 있습니다.
제공표준 준수: 공공데이터 관리지침에 따라 제공표준에 관한 파일형태(CSV파일), 파일명명규칙, 항목별 표현형식 등 준수여부를 심의합니다. 표준데이터 작성 담당자들은 반드시 공공데이터 제공 표준을 준수하여 데이터를 작성해야 합니다.
표준데이터 개방검토 기준: 공공데이터 관리지침에 따라 제공표준에 관한 파일형태(CSV파일), 파일명명규칙, 항목별 표현형식 등 준수여부를 심의하고, 표준데이터 작성 담당자들은 반드시 공공데이터 제공 표준을 준수하여 데이터를 작성해야 합니다.
이러한 절차를 통해 공공데이터가 표준에 맞게 제공되며, 이를 통해 데이터의 일관성과 호환성을 유지할 수 있습니다.</t>
  </si>
  <si>
    <t>기대답변
행정안전부장관이 표준으로 정한 데이터셋을 보유하는 각 기관은 데이터 제공시 제공표준에서 정한 형식과 절차에 맞게 공공데이터 포털(data.go.kr)에 등록하여야 합니다.
- 제공표준에서 정의한 파일형식과 명명규칙, 분야별 제공항목과 속성정보 등의 표준을 준수하여 데이터를 작성 및 관리 절차에 따른 등록 관리하는 목적입니다.
링크 : 2306_빅데이터과_업무매뉴얼_공공데이터 제공관리 실무매뉴얼.pdf</t>
  </si>
  <si>
    <t>행정안전부장관이 표준으로 정한 데이터셋을 보유하는 각 기관은 데이터 제공시 제공표준에서 정한 형식과 절차에 맞게 공공데이터 포털(data.go.kr)에 등록하여야 합니다.
 - 제공표준에서 정의한 파일형식과 명명규칙, 분야별 제공항목과 속성정보 등의 표준을 준수하여 데이터를 작성 및 관리 절차에 따른 등록 관리하는 목적입니다.</t>
  </si>
  <si>
    <t>72</t>
  </si>
  <si>
    <t>2 공공데이터 제공 표준 개요
 개 요
 ◈ 행정안전부 장관이 민간의 활용수요가 높은 공공데이터 중 동일한 항목과 형식으로
 제공해야 하는 데이터셋을 정하고, 데이터셋 제공시 적용해야 하는 표준
 � 내용 • 행정안전부장관이 표준으로 정한 데이터셋을 보유하는 각 기관은 데이터 제공시 제공표준에서정한 형식과 절차에 맞게 공공데이터 포털(data.go.kr)에 등록
 - 제공표준에서 정의한 파일형식과 명명규칙, 분야별 제공항목과 속성정보 등의 표준을
 준수하여 데이터를 작성 및 관리 절차에 따른 등록 관리
 � 적용 대상
 • 공공데이터 관리지침에서 규정한 데이터셋을 보유한 모든 공공기관(관리지침 제26조) • 공공데이터 제공을 주요 목적으로 하는 개별 데이터포털 또는 데이터 플랫폼을 운영하는
 공공기관(관리지침 제14조)
 � 제공표준 관리체계
 • 총괄기관 : 행정안전부는 제공표준 제·개정 및 시행, 제공표준을 준수해야 하는 데이터별소관기관 지정, 제공표준 준수 여부 점검 및 시정 요구 등의 점검·관리를 총괄• 소관기관
 - 법·제도 제·개정 시 제공표준의 개정 등 변경관리를 주도적으로 수행, 표준데이터셋
 제공시스템 변경 등 제공표준의 제·개정 필요 시 소관 데이터셋과 관련한 검토의견을
 총괄기관에 제시
 • 제공기관
 - 표준데이터셋을 공공데이터 포털에 등록, 오류 점검 및 현행화 등을 수행하는 기관- 단, 제공기관이 보유하고 있는 데이터를 통합적으로 관리하는 별도의 표준데이터셋
 제공시스템이 있는 경우, 개별 제공기관으로부터 표준데이터셋을 수집·제공하고
 현행화 여부를 확인하는 등 표준데이터셋 제공시스템의 관리를 총괄
 • 전문기관
 - 공공데이터 제공 표준의 효율적인 관리·운영을 지원하고 표준화 이행을 점검하는
 기관으로 공공데이터법 제13조(공공데이터활용지원센터)에 따라 한국지능정보사회진흥원에설치·운영</t>
  </si>
  <si>
    <r>
      <rPr>
        <rFont val="맑은 고딕"/>
        <b/>
        <color theme="1"/>
        <sz val="11.0"/>
      </rPr>
      <t>141_2306_빅데이터과_업무매뉴얼_공공데이터_제공관리_실무매뉴얼.pdf[72]</t>
    </r>
    <r>
      <rPr>
        <rFont val="맑은 고딕"/>
        <color theme="1"/>
        <sz val="11.0"/>
      </rPr>
      <t xml:space="preserve">
-----
공공데이터 제공·관리 실무 매뉴얼 2 공공데이터 제공 표준 개요 개 요 ◈ 행정안전부 장관이 민간의 활용수요가 높은 공공데이터 중 동일한 항목과 형식으로 제공해야 하는 데이터셋을 정하고, 데이터셋 제공시 적용해야 하는 표준  내용 • 행정안전부장관이 표준으로 정한 데이터셋을 보유하는 각 기관은 데이터 제공시 제공표준에서 정한 형식과 절차에 맞게 공공데이터 포털(data.go.kr)에 등록 - 제공표준에서 정의한 파일형식과 명명규칙, 분야별 제공항목과 속성정보 등의 표준을 준수하여 데이터를 작성 및 관리 절차에 따른 등록 관리  적용 대상 • 공공데이터 관리지침에서 규정한 데이터셋을 보유한 모든 공공기관(관리지침 제26조) • 공공데이터 제공을 주요 목적으로 하는 개별 데이터포털 또는 데이터 플랫폼을 운영하는 공공기관(관리지침 제14조)  제공표준 관리체계 • 총괄기관 : 행정안전부는 제공표준 제·개정 및 시행, 제공표준을 준수해야 하는 데이터별 소관기관 지정, 제공표준 준수 여부 점검 및 시정 요구 등의 점검·관리를 총괄 • 소관기관 - 법·제도 제·개정 시 제공표준의 개정 등 변경관리를 주도적으로 수행, 표준데이터셋 제공시스템 변경 등 제공표준의 제·개정 필요 시 소관 데이터셋과 관련한 검토의견을 총괄기관에 제시 • 제공기관 - 표준데이터셋을 공공데이터 포털에 등록, 오류 점검 및 현행화 등을 수행하는 기관 - 단, 제공기관이 보유하고 있는 데이터를 통합적으로 관리하는 별도의 표준데이터셋 제공시스템이 있는 경우, 개별 제공기관으로부터 표준데이터셋을 수집·제공하고 현행화 여부를 확인하는 등 표준데이터셋 제공시스템의 관리를 총괄 • 전문기관 - 공공데이터 제공 표준의 효율적인 관리·운영을 지원하고 표준화 이행을 점검하는 기관으로 공공데이터법 제13조(공공데이터활용지원센터)에 따라 한국지능정보사회진흥원에 설치·운영 68</t>
    </r>
  </si>
  <si>
    <r>
      <rPr>
        <rFont val="맑은 고딕"/>
        <b/>
        <color theme="1"/>
        <sz val="11.0"/>
      </rPr>
      <t>141_2306_빅데이터과_업무매뉴얼_공공데이터_제공관리_실무매뉴얼.pdf[75]</t>
    </r>
    <r>
      <rPr>
        <rFont val="맑은 고딕"/>
        <color theme="1"/>
        <sz val="11.0"/>
      </rPr>
      <t xml:space="preserve">
-----</t>
    </r>
  </si>
  <si>
    <r>
      <rPr>
        <rFont val="맑은 고딕"/>
        <b/>
        <color theme="1"/>
        <sz val="11.0"/>
      </rPr>
      <t>141_2306_빅데이터과_업무매뉴얼_공공데이터_제공관리_실무매뉴얼.pdf[150]</t>
    </r>
    <r>
      <rPr>
        <rFont val="맑은 고딕"/>
        <color theme="1"/>
        <sz val="11.0"/>
      </rPr>
      <t xml:space="preserve">
-----</t>
    </r>
  </si>
  <si>
    <r>
      <rPr>
        <rFont val="맑은 고딕"/>
        <b/>
        <color theme="1"/>
        <sz val="11.0"/>
      </rPr>
      <t>141_2306_빅데이터과_업무매뉴얼_공공데이터_제공관리_실무매뉴얼.pdf[67]</t>
    </r>
    <r>
      <rPr>
        <rFont val="맑은 고딕"/>
        <color theme="1"/>
        <sz val="11.0"/>
      </rPr>
      <t xml:space="preserve">
-----</t>
    </r>
  </si>
  <si>
    <r>
      <rPr>
        <rFont val="맑은 고딕"/>
        <b/>
        <color theme="1"/>
        <sz val="11.0"/>
      </rPr>
      <t>141_2306_빅데이터과_업무매뉴얼_공공데이터_제공관리_실무매뉴얼.pdf[38]</t>
    </r>
    <r>
      <rPr>
        <rFont val="맑은 고딕"/>
        <color theme="1"/>
        <sz val="11.0"/>
      </rPr>
      <t xml:space="preserve">
-----</t>
    </r>
  </si>
  <si>
    <r>
      <rPr>
        <rFont val="Arial"/>
        <color rgb="FF000000"/>
        <sz val="11.0"/>
      </rPr>
      <t>가명정보</t>
    </r>
    <r>
      <rPr>
        <rFont val="MS Mincho"/>
        <color rgb="FF000000"/>
        <sz val="11.0"/>
      </rPr>
      <t> </t>
    </r>
    <r>
      <rPr>
        <rFont val="Arial"/>
        <color rgb="FF000000"/>
        <sz val="11.0"/>
      </rPr>
      <t>처리가</t>
    </r>
    <r>
      <rPr>
        <rFont val="MS Mincho"/>
        <color rgb="FF000000"/>
        <sz val="11.0"/>
      </rPr>
      <t> </t>
    </r>
    <r>
      <rPr>
        <rFont val="Arial"/>
        <color rgb="FF000000"/>
        <sz val="11.0"/>
      </rPr>
      <t>가능한</t>
    </r>
    <r>
      <rPr>
        <rFont val="MS Mincho"/>
        <color rgb="FF000000"/>
        <sz val="11.0"/>
      </rPr>
      <t> </t>
    </r>
    <r>
      <rPr>
        <rFont val="Arial"/>
        <color rgb="FF000000"/>
        <sz val="11.0"/>
      </rPr>
      <t>목적은</t>
    </r>
    <r>
      <rPr>
        <rFont val="MS Mincho"/>
        <color rgb="FF000000"/>
        <sz val="11.0"/>
      </rPr>
      <t> </t>
    </r>
    <r>
      <rPr>
        <rFont val="Arial"/>
        <color rgb="FF000000"/>
        <sz val="11.0"/>
      </rPr>
      <t>무엇인가요</t>
    </r>
    <r>
      <rPr>
        <rFont val="MS Mincho"/>
        <color rgb="FF000000"/>
        <sz val="11.0"/>
      </rPr>
      <t>?</t>
    </r>
  </si>
  <si>
    <t>개인정보를 가명정보로 처리할 수 있는 경우, 관련 법령과 내부 지침에서 정한 처리 목적과 허용 범위는 무엇인가요?</t>
  </si>
  <si>
    <r>
      <rPr>
        <rFont val="맑은 고딕"/>
        <color theme="1"/>
        <sz val="11.0"/>
      </rPr>
      <t>공공데이터</t>
    </r>
    <r>
      <rPr>
        <rFont val="Calibri"/>
        <color theme="1"/>
        <sz val="11.0"/>
      </rPr>
      <t xml:space="preserve"> </t>
    </r>
    <r>
      <rPr>
        <rFont val="맑은 고딕"/>
        <color theme="1"/>
        <sz val="11.0"/>
      </rPr>
      <t>제공과</t>
    </r>
    <r>
      <rPr>
        <rFont val="Calibri"/>
        <color theme="1"/>
        <sz val="11.0"/>
      </rPr>
      <t xml:space="preserve"> </t>
    </r>
    <r>
      <rPr>
        <rFont val="맑은 고딕"/>
        <color theme="1"/>
        <sz val="11.0"/>
      </rPr>
      <t>관련하여</t>
    </r>
    <r>
      <rPr>
        <rFont val="Calibri"/>
        <color theme="1"/>
        <sz val="11.0"/>
      </rPr>
      <t xml:space="preserve">, </t>
    </r>
    <r>
      <rPr>
        <rFont val="맑은 고딕"/>
        <color theme="1"/>
        <sz val="11.0"/>
      </rPr>
      <t>가명정보</t>
    </r>
    <r>
      <rPr>
        <rFont val="Calibri"/>
        <color theme="1"/>
        <sz val="11.0"/>
      </rPr>
      <t xml:space="preserve"> </t>
    </r>
    <r>
      <rPr>
        <rFont val="맑은 고딕"/>
        <color theme="1"/>
        <sz val="11.0"/>
      </rPr>
      <t>처리가</t>
    </r>
    <r>
      <rPr>
        <rFont val="Calibri"/>
        <color theme="1"/>
        <sz val="11.0"/>
      </rPr>
      <t xml:space="preserve"> </t>
    </r>
    <r>
      <rPr>
        <rFont val="맑은 고딕"/>
        <color theme="1"/>
        <sz val="11.0"/>
      </rPr>
      <t>가능한</t>
    </r>
    <r>
      <rPr>
        <rFont val="Calibri"/>
        <color theme="1"/>
        <sz val="11.0"/>
      </rPr>
      <t xml:space="preserve"> </t>
    </r>
    <r>
      <rPr>
        <rFont val="맑은 고딕"/>
        <color theme="1"/>
        <sz val="11.0"/>
      </rPr>
      <t>목적은</t>
    </r>
    <r>
      <rPr>
        <rFont val="Calibri"/>
        <color theme="1"/>
        <sz val="11.0"/>
      </rPr>
      <t xml:space="preserve"> </t>
    </r>
    <r>
      <rPr>
        <rFont val="맑은 고딕"/>
        <color theme="1"/>
        <sz val="11.0"/>
      </rPr>
      <t>크게</t>
    </r>
    <r>
      <rPr>
        <rFont val="Calibri"/>
        <color theme="1"/>
        <sz val="11.0"/>
      </rPr>
      <t xml:space="preserve"> “</t>
    </r>
    <r>
      <rPr>
        <rFont val="맑은 고딕"/>
        <color theme="1"/>
        <sz val="11.0"/>
      </rPr>
      <t>통계작성”</t>
    </r>
    <r>
      <rPr>
        <rFont val="Calibri"/>
        <color theme="1"/>
        <sz val="11.0"/>
      </rPr>
      <t>, “</t>
    </r>
    <r>
      <rPr>
        <rFont val="맑은 고딕"/>
        <color theme="1"/>
        <sz val="11.0"/>
      </rPr>
      <t>공익적</t>
    </r>
    <r>
      <rPr>
        <rFont val="Calibri"/>
        <color theme="1"/>
        <sz val="11.0"/>
      </rPr>
      <t xml:space="preserve"> </t>
    </r>
    <r>
      <rPr>
        <rFont val="맑은 고딕"/>
        <color theme="1"/>
        <sz val="11.0"/>
      </rPr>
      <t>기록보존”</t>
    </r>
    <r>
      <rPr>
        <rFont val="Calibri"/>
        <color theme="1"/>
        <sz val="11.0"/>
      </rPr>
      <t>, "</t>
    </r>
    <r>
      <rPr>
        <rFont val="맑은 고딕"/>
        <color theme="1"/>
        <sz val="11.0"/>
      </rPr>
      <t>과학적</t>
    </r>
    <r>
      <rPr>
        <rFont val="Calibri"/>
        <color theme="1"/>
        <sz val="11.0"/>
      </rPr>
      <t xml:space="preserve"> </t>
    </r>
    <r>
      <rPr>
        <rFont val="맑은 고딕"/>
        <color theme="1"/>
        <sz val="11.0"/>
      </rPr>
      <t>연구</t>
    </r>
    <r>
      <rPr>
        <rFont val="Calibri"/>
        <color theme="1"/>
        <sz val="11.0"/>
      </rPr>
      <t>"</t>
    </r>
    <r>
      <rPr>
        <rFont val="맑은 고딕"/>
        <color theme="1"/>
        <sz val="11.0"/>
      </rPr>
      <t>로</t>
    </r>
    <r>
      <rPr>
        <rFont val="Calibri"/>
        <color theme="1"/>
        <sz val="11.0"/>
      </rPr>
      <t xml:space="preserve"> </t>
    </r>
    <r>
      <rPr>
        <rFont val="맑은 고딕"/>
        <color theme="1"/>
        <sz val="11.0"/>
      </rPr>
      <t>구분됩니다</t>
    </r>
    <r>
      <rPr>
        <rFont val="Calibri"/>
        <color theme="1"/>
        <sz val="11.0"/>
      </rPr>
      <t xml:space="preserve">.
</t>
    </r>
    <r>
      <rPr>
        <rFont val="맑은 고딕"/>
        <color theme="1"/>
        <sz val="11.0"/>
      </rPr>
      <t>관련내용은</t>
    </r>
    <r>
      <rPr>
        <rFont val="Calibri"/>
        <color theme="1"/>
        <sz val="11.0"/>
      </rPr>
      <t xml:space="preserve"> </t>
    </r>
    <r>
      <rPr>
        <rFont val="맑은 고딕"/>
        <color theme="1"/>
        <sz val="11.0"/>
      </rPr>
      <t>다음과</t>
    </r>
    <r>
      <rPr>
        <rFont val="Calibri"/>
        <color theme="1"/>
        <sz val="11.0"/>
      </rPr>
      <t xml:space="preserve"> </t>
    </r>
    <r>
      <rPr>
        <rFont val="맑은 고딕"/>
        <color theme="1"/>
        <sz val="11.0"/>
      </rPr>
      <t>같습니다</t>
    </r>
    <r>
      <rPr>
        <rFont val="Calibri"/>
        <color theme="1"/>
        <sz val="11.0"/>
      </rPr>
      <t xml:space="preserve">.
</t>
    </r>
    <r>
      <rPr>
        <rFont val="맑은 고딕"/>
        <color theme="1"/>
        <sz val="11.0"/>
      </rPr>
      <t>통계작성</t>
    </r>
    <r>
      <rPr>
        <rFont val="Calibri"/>
        <color theme="1"/>
        <sz val="11.0"/>
      </rPr>
      <t xml:space="preserve">: </t>
    </r>
    <r>
      <rPr>
        <rFont val="맑은 고딕"/>
        <color theme="1"/>
        <sz val="11.0"/>
      </rPr>
      <t>특정</t>
    </r>
    <r>
      <rPr>
        <rFont val="Calibri"/>
        <color theme="1"/>
        <sz val="11.0"/>
      </rPr>
      <t xml:space="preserve"> </t>
    </r>
    <r>
      <rPr>
        <rFont val="맑은 고딕"/>
        <color theme="1"/>
        <sz val="11.0"/>
      </rPr>
      <t>집단이나</t>
    </r>
    <r>
      <rPr>
        <rFont val="Calibri"/>
        <color theme="1"/>
        <sz val="11.0"/>
      </rPr>
      <t xml:space="preserve"> </t>
    </r>
    <r>
      <rPr>
        <rFont val="맑은 고딕"/>
        <color theme="1"/>
        <sz val="11.0"/>
      </rPr>
      <t>대상</t>
    </r>
    <r>
      <rPr>
        <rFont val="Calibri"/>
        <color theme="1"/>
        <sz val="11.0"/>
      </rPr>
      <t xml:space="preserve"> </t>
    </r>
    <r>
      <rPr>
        <rFont val="맑은 고딕"/>
        <color theme="1"/>
        <sz val="11.0"/>
      </rPr>
      <t>등에</t>
    </r>
    <r>
      <rPr>
        <rFont val="Calibri"/>
        <color theme="1"/>
        <sz val="11.0"/>
      </rPr>
      <t xml:space="preserve"> </t>
    </r>
    <r>
      <rPr>
        <rFont val="맑은 고딕"/>
        <color theme="1"/>
        <sz val="11.0"/>
      </rPr>
      <t>관한</t>
    </r>
    <r>
      <rPr>
        <rFont val="Calibri"/>
        <color theme="1"/>
        <sz val="11.0"/>
      </rPr>
      <t xml:space="preserve"> </t>
    </r>
    <r>
      <rPr>
        <rFont val="맑은 고딕"/>
        <color theme="1"/>
        <sz val="11.0"/>
      </rPr>
      <t>수량적인</t>
    </r>
    <r>
      <rPr>
        <rFont val="Calibri"/>
        <color theme="1"/>
        <sz val="11.0"/>
      </rPr>
      <t xml:space="preserve"> </t>
    </r>
    <r>
      <rPr>
        <rFont val="맑은 고딕"/>
        <color theme="1"/>
        <sz val="11.0"/>
      </rPr>
      <t>정보를</t>
    </r>
    <r>
      <rPr>
        <rFont val="Calibri"/>
        <color theme="1"/>
        <sz val="11.0"/>
      </rPr>
      <t xml:space="preserve"> </t>
    </r>
    <r>
      <rPr>
        <rFont val="맑은 고딕"/>
        <color theme="1"/>
        <sz val="11.0"/>
      </rPr>
      <t>의미하는</t>
    </r>
    <r>
      <rPr>
        <rFont val="Calibri"/>
        <color theme="1"/>
        <sz val="11.0"/>
      </rPr>
      <t xml:space="preserve"> </t>
    </r>
    <r>
      <rPr>
        <rFont val="맑은 고딕"/>
        <color theme="1"/>
        <sz val="11.0"/>
      </rPr>
      <t>통계를</t>
    </r>
    <r>
      <rPr>
        <rFont val="Calibri"/>
        <color theme="1"/>
        <sz val="11.0"/>
      </rPr>
      <t xml:space="preserve"> </t>
    </r>
    <r>
      <rPr>
        <rFont val="맑은 고딕"/>
        <color theme="1"/>
        <sz val="11.0"/>
      </rPr>
      <t>작성하기</t>
    </r>
    <r>
      <rPr>
        <rFont val="Calibri"/>
        <color theme="1"/>
        <sz val="11.0"/>
      </rPr>
      <t xml:space="preserve"> </t>
    </r>
    <r>
      <rPr>
        <rFont val="맑은 고딕"/>
        <color theme="1"/>
        <sz val="11.0"/>
      </rPr>
      <t>위해</t>
    </r>
    <r>
      <rPr>
        <rFont val="Calibri"/>
        <color theme="1"/>
        <sz val="11.0"/>
      </rPr>
      <t xml:space="preserve"> </t>
    </r>
    <r>
      <rPr>
        <rFont val="맑은 고딕"/>
        <color theme="1"/>
        <sz val="11.0"/>
      </rPr>
      <t>가명정보를</t>
    </r>
    <r>
      <rPr>
        <rFont val="Calibri"/>
        <color theme="1"/>
        <sz val="11.0"/>
      </rPr>
      <t xml:space="preserve"> </t>
    </r>
    <r>
      <rPr>
        <rFont val="맑은 고딕"/>
        <color theme="1"/>
        <sz val="11.0"/>
      </rPr>
      <t>이용</t>
    </r>
    <r>
      <rPr>
        <rFont val="Calibri"/>
        <color theme="1"/>
        <sz val="11.0"/>
      </rPr>
      <t xml:space="preserve">, </t>
    </r>
    <r>
      <rPr>
        <rFont val="맑은 고딕"/>
        <color theme="1"/>
        <sz val="11.0"/>
      </rPr>
      <t>분석</t>
    </r>
    <r>
      <rPr>
        <rFont val="Calibri"/>
        <color theme="1"/>
        <sz val="11.0"/>
      </rPr>
      <t xml:space="preserve">, </t>
    </r>
    <r>
      <rPr>
        <rFont val="맑은 고딕"/>
        <color theme="1"/>
        <sz val="11.0"/>
      </rPr>
      <t>제공하는</t>
    </r>
    <r>
      <rPr>
        <rFont val="Calibri"/>
        <color theme="1"/>
        <sz val="11.0"/>
      </rPr>
      <t xml:space="preserve"> </t>
    </r>
    <r>
      <rPr>
        <rFont val="맑은 고딕"/>
        <color theme="1"/>
        <sz val="11.0"/>
      </rPr>
      <t>등의</t>
    </r>
    <r>
      <rPr>
        <rFont val="Calibri"/>
        <color theme="1"/>
        <sz val="11.0"/>
      </rPr>
      <t xml:space="preserve"> </t>
    </r>
    <r>
      <rPr>
        <rFont val="맑은 고딕"/>
        <color theme="1"/>
        <sz val="11.0"/>
      </rPr>
      <t>처리가</t>
    </r>
    <r>
      <rPr>
        <rFont val="Calibri"/>
        <color theme="1"/>
        <sz val="11.0"/>
      </rPr>
      <t xml:space="preserve"> </t>
    </r>
    <r>
      <rPr>
        <rFont val="맑은 고딕"/>
        <color theme="1"/>
        <sz val="11.0"/>
      </rPr>
      <t>가능합니다</t>
    </r>
    <r>
      <rPr>
        <rFont val="Calibri"/>
        <color theme="1"/>
        <sz val="11.0"/>
      </rPr>
      <t xml:space="preserve">. </t>
    </r>
    <r>
      <rPr>
        <rFont val="맑은 고딕"/>
        <color theme="1"/>
        <sz val="11.0"/>
      </rPr>
      <t>예를</t>
    </r>
    <r>
      <rPr>
        <rFont val="Calibri"/>
        <color theme="1"/>
        <sz val="11.0"/>
      </rPr>
      <t xml:space="preserve"> </t>
    </r>
    <r>
      <rPr>
        <rFont val="맑은 고딕"/>
        <color theme="1"/>
        <sz val="11.0"/>
      </rPr>
      <t>들어</t>
    </r>
    <r>
      <rPr>
        <rFont val="Calibri"/>
        <color theme="1"/>
        <sz val="11.0"/>
      </rPr>
      <t xml:space="preserve">, </t>
    </r>
    <r>
      <rPr>
        <rFont val="맑은 고딕"/>
        <color theme="1"/>
        <sz val="11.0"/>
      </rPr>
      <t>지방자치단체가</t>
    </r>
    <r>
      <rPr>
        <rFont val="Calibri"/>
        <color theme="1"/>
        <sz val="11.0"/>
      </rPr>
      <t xml:space="preserve"> </t>
    </r>
    <r>
      <rPr>
        <rFont val="맑은 고딕"/>
        <color theme="1"/>
        <sz val="11.0"/>
      </rPr>
      <t>연령에</t>
    </r>
    <r>
      <rPr>
        <rFont val="Calibri"/>
        <color theme="1"/>
        <sz val="11.0"/>
      </rPr>
      <t xml:space="preserve"> </t>
    </r>
    <r>
      <rPr>
        <rFont val="맑은 고딕"/>
        <color theme="1"/>
        <sz val="11.0"/>
      </rPr>
      <t>따른</t>
    </r>
    <r>
      <rPr>
        <rFont val="Calibri"/>
        <color theme="1"/>
        <sz val="11.0"/>
      </rPr>
      <t xml:space="preserve"> </t>
    </r>
    <r>
      <rPr>
        <rFont val="맑은 고딕"/>
        <color theme="1"/>
        <sz val="11.0"/>
      </rPr>
      <t>편의시설</t>
    </r>
    <r>
      <rPr>
        <rFont val="Calibri"/>
        <color theme="1"/>
        <sz val="11.0"/>
      </rPr>
      <t xml:space="preserve"> </t>
    </r>
    <r>
      <rPr>
        <rFont val="맑은 고딕"/>
        <color theme="1"/>
        <sz val="11.0"/>
      </rPr>
      <t>확대를</t>
    </r>
    <r>
      <rPr>
        <rFont val="Calibri"/>
        <color theme="1"/>
        <sz val="11.0"/>
      </rPr>
      <t xml:space="preserve"> </t>
    </r>
    <r>
      <rPr>
        <rFont val="맑은 고딕"/>
        <color theme="1"/>
        <sz val="11.0"/>
      </rPr>
      <t>위해</t>
    </r>
    <r>
      <rPr>
        <rFont val="Calibri"/>
        <color theme="1"/>
        <sz val="11.0"/>
      </rPr>
      <t xml:space="preserve"> </t>
    </r>
    <r>
      <rPr>
        <rFont val="맑은 고딕"/>
        <color theme="1"/>
        <sz val="11.0"/>
      </rPr>
      <t>편의시설의</t>
    </r>
    <r>
      <rPr>
        <rFont val="Calibri"/>
        <color theme="1"/>
        <sz val="11.0"/>
      </rPr>
      <t xml:space="preserve"> </t>
    </r>
    <r>
      <rPr>
        <rFont val="맑은 고딕"/>
        <color theme="1"/>
        <sz val="11.0"/>
      </rPr>
      <t>이용</t>
    </r>
    <r>
      <rPr>
        <rFont val="Calibri"/>
        <color theme="1"/>
        <sz val="11.0"/>
      </rPr>
      <t xml:space="preserve"> </t>
    </r>
    <r>
      <rPr>
        <rFont val="맑은 고딕"/>
        <color theme="1"/>
        <sz val="11.0"/>
      </rPr>
      <t>통계를</t>
    </r>
    <r>
      <rPr>
        <rFont val="Calibri"/>
        <color theme="1"/>
        <sz val="11.0"/>
      </rPr>
      <t xml:space="preserve"> </t>
    </r>
    <r>
      <rPr>
        <rFont val="맑은 고딕"/>
        <color theme="1"/>
        <sz val="11.0"/>
      </rPr>
      <t>작성하는</t>
    </r>
    <r>
      <rPr>
        <rFont val="Calibri"/>
        <color theme="1"/>
        <sz val="11.0"/>
      </rPr>
      <t xml:space="preserve"> </t>
    </r>
    <r>
      <rPr>
        <rFont val="맑은 고딕"/>
        <color theme="1"/>
        <sz val="11.0"/>
      </rPr>
      <t>경우</t>
    </r>
    <r>
      <rPr>
        <rFont val="Calibri"/>
        <color theme="1"/>
        <sz val="11.0"/>
      </rPr>
      <t xml:space="preserve"> </t>
    </r>
    <r>
      <rPr>
        <rFont val="맑은 고딕"/>
        <color theme="1"/>
        <sz val="11.0"/>
      </rPr>
      <t>등이</t>
    </r>
    <r>
      <rPr>
        <rFont val="Calibri"/>
        <color theme="1"/>
        <sz val="11.0"/>
      </rPr>
      <t xml:space="preserve"> </t>
    </r>
    <r>
      <rPr>
        <rFont val="맑은 고딕"/>
        <color theme="1"/>
        <sz val="11.0"/>
      </rPr>
      <t>해당됩니다</t>
    </r>
    <r>
      <rPr>
        <rFont val="Calibri"/>
        <color theme="1"/>
        <sz val="11.0"/>
      </rPr>
      <t xml:space="preserve">.
</t>
    </r>
    <r>
      <rPr>
        <rFont val="맑은 고딕"/>
        <color theme="1"/>
        <sz val="11.0"/>
      </rPr>
      <t>공익적</t>
    </r>
    <r>
      <rPr>
        <rFont val="Calibri"/>
        <color theme="1"/>
        <sz val="11.0"/>
      </rPr>
      <t xml:space="preserve"> </t>
    </r>
    <r>
      <rPr>
        <rFont val="맑은 고딕"/>
        <color theme="1"/>
        <sz val="11.0"/>
      </rPr>
      <t>기록보존</t>
    </r>
    <r>
      <rPr>
        <rFont val="Calibri"/>
        <color theme="1"/>
        <sz val="11.0"/>
      </rPr>
      <t xml:space="preserve">: </t>
    </r>
    <r>
      <rPr>
        <rFont val="맑은 고딕"/>
        <color theme="1"/>
        <sz val="11.0"/>
      </rPr>
      <t>공공의</t>
    </r>
    <r>
      <rPr>
        <rFont val="Calibri"/>
        <color theme="1"/>
        <sz val="11.0"/>
      </rPr>
      <t xml:space="preserve"> </t>
    </r>
    <r>
      <rPr>
        <rFont val="맑은 고딕"/>
        <color theme="1"/>
        <sz val="11.0"/>
      </rPr>
      <t>이익을</t>
    </r>
    <r>
      <rPr>
        <rFont val="Calibri"/>
        <color theme="1"/>
        <sz val="11.0"/>
      </rPr>
      <t xml:space="preserve"> </t>
    </r>
    <r>
      <rPr>
        <rFont val="맑은 고딕"/>
        <color theme="1"/>
        <sz val="11.0"/>
      </rPr>
      <t>위하여</t>
    </r>
    <r>
      <rPr>
        <rFont val="Calibri"/>
        <color theme="1"/>
        <sz val="11.0"/>
      </rPr>
      <t xml:space="preserve"> </t>
    </r>
    <r>
      <rPr>
        <rFont val="맑은 고딕"/>
        <color theme="1"/>
        <sz val="11.0"/>
      </rPr>
      <t>지속적으로</t>
    </r>
    <r>
      <rPr>
        <rFont val="Calibri"/>
        <color theme="1"/>
        <sz val="11.0"/>
      </rPr>
      <t xml:space="preserve"> </t>
    </r>
    <r>
      <rPr>
        <rFont val="맑은 고딕"/>
        <color theme="1"/>
        <sz val="11.0"/>
      </rPr>
      <t>열람할</t>
    </r>
    <r>
      <rPr>
        <rFont val="Calibri"/>
        <color theme="1"/>
        <sz val="11.0"/>
      </rPr>
      <t xml:space="preserve"> </t>
    </r>
    <r>
      <rPr>
        <rFont val="맑은 고딕"/>
        <color theme="1"/>
        <sz val="11.0"/>
      </rPr>
      <t>가치가</t>
    </r>
    <r>
      <rPr>
        <rFont val="Calibri"/>
        <color theme="1"/>
        <sz val="11.0"/>
      </rPr>
      <t xml:space="preserve"> </t>
    </r>
    <r>
      <rPr>
        <rFont val="맑은 고딕"/>
        <color theme="1"/>
        <sz val="11.0"/>
      </rPr>
      <t>있는</t>
    </r>
    <r>
      <rPr>
        <rFont val="Calibri"/>
        <color theme="1"/>
        <sz val="11.0"/>
      </rPr>
      <t xml:space="preserve"> </t>
    </r>
    <r>
      <rPr>
        <rFont val="맑은 고딕"/>
        <color theme="1"/>
        <sz val="11.0"/>
      </rPr>
      <t>정보를</t>
    </r>
    <r>
      <rPr>
        <rFont val="Calibri"/>
        <color theme="1"/>
        <sz val="11.0"/>
      </rPr>
      <t xml:space="preserve"> </t>
    </r>
    <r>
      <rPr>
        <rFont val="맑은 고딕"/>
        <color theme="1"/>
        <sz val="11.0"/>
      </rPr>
      <t>기록하여</t>
    </r>
    <r>
      <rPr>
        <rFont val="Calibri"/>
        <color theme="1"/>
        <sz val="11.0"/>
      </rPr>
      <t xml:space="preserve"> </t>
    </r>
    <r>
      <rPr>
        <rFont val="맑은 고딕"/>
        <color theme="1"/>
        <sz val="11.0"/>
      </rPr>
      <t>보존하는</t>
    </r>
    <r>
      <rPr>
        <rFont val="Calibri"/>
        <color theme="1"/>
        <sz val="11.0"/>
      </rPr>
      <t xml:space="preserve"> </t>
    </r>
    <r>
      <rPr>
        <rFont val="맑은 고딕"/>
        <color theme="1"/>
        <sz val="11.0"/>
      </rPr>
      <t>것을</t>
    </r>
    <r>
      <rPr>
        <rFont val="Calibri"/>
        <color theme="1"/>
        <sz val="11.0"/>
      </rPr>
      <t xml:space="preserve"> </t>
    </r>
    <r>
      <rPr>
        <rFont val="맑은 고딕"/>
        <color theme="1"/>
        <sz val="11.0"/>
      </rPr>
      <t>의미하며</t>
    </r>
    <r>
      <rPr>
        <rFont val="Calibri"/>
        <color theme="1"/>
        <sz val="11.0"/>
      </rPr>
      <t xml:space="preserve">, </t>
    </r>
    <r>
      <rPr>
        <rFont val="맑은 고딕"/>
        <color theme="1"/>
        <sz val="11.0"/>
      </rPr>
      <t>공공기관이</t>
    </r>
    <r>
      <rPr>
        <rFont val="Calibri"/>
        <color theme="1"/>
        <sz val="11.0"/>
      </rPr>
      <t xml:space="preserve"> </t>
    </r>
    <r>
      <rPr>
        <rFont val="맑은 고딕"/>
        <color theme="1"/>
        <sz val="11.0"/>
      </rPr>
      <t>처리하는</t>
    </r>
    <r>
      <rPr>
        <rFont val="Calibri"/>
        <color theme="1"/>
        <sz val="11.0"/>
      </rPr>
      <t xml:space="preserve"> </t>
    </r>
    <r>
      <rPr>
        <rFont val="맑은 고딕"/>
        <color theme="1"/>
        <sz val="11.0"/>
      </rPr>
      <t>경우뿐만</t>
    </r>
    <r>
      <rPr>
        <rFont val="Calibri"/>
        <color theme="1"/>
        <sz val="11.0"/>
      </rPr>
      <t xml:space="preserve"> </t>
    </r>
    <r>
      <rPr>
        <rFont val="맑은 고딕"/>
        <color theme="1"/>
        <sz val="11.0"/>
      </rPr>
      <t>아니라</t>
    </r>
    <r>
      <rPr>
        <rFont val="Calibri"/>
        <color theme="1"/>
        <sz val="11.0"/>
      </rPr>
      <t xml:space="preserve"> </t>
    </r>
    <r>
      <rPr>
        <rFont val="맑은 고딕"/>
        <color theme="1"/>
        <sz val="11.0"/>
      </rPr>
      <t>기업</t>
    </r>
    <r>
      <rPr>
        <rFont val="Calibri"/>
        <color theme="1"/>
        <sz val="11.0"/>
      </rPr>
      <t xml:space="preserve">, </t>
    </r>
    <r>
      <rPr>
        <rFont val="맑은 고딕"/>
        <color theme="1"/>
        <sz val="11.0"/>
      </rPr>
      <t>단체</t>
    </r>
    <r>
      <rPr>
        <rFont val="Calibri"/>
        <color theme="1"/>
        <sz val="11.0"/>
      </rPr>
      <t xml:space="preserve"> </t>
    </r>
    <r>
      <rPr>
        <rFont val="맑은 고딕"/>
        <color theme="1"/>
        <sz val="11.0"/>
      </rPr>
      <t>등이</t>
    </r>
    <r>
      <rPr>
        <rFont val="Calibri"/>
        <color theme="1"/>
        <sz val="11.0"/>
      </rPr>
      <t xml:space="preserve"> </t>
    </r>
    <r>
      <rPr>
        <rFont val="맑은 고딕"/>
        <color theme="1"/>
        <sz val="11.0"/>
      </rPr>
      <t>일반적인</t>
    </r>
    <r>
      <rPr>
        <rFont val="Calibri"/>
        <color theme="1"/>
        <sz val="11.0"/>
      </rPr>
      <t xml:space="preserve"> </t>
    </r>
    <r>
      <rPr>
        <rFont val="맑은 고딕"/>
        <color theme="1"/>
        <sz val="11.0"/>
      </rPr>
      <t>공익을</t>
    </r>
    <r>
      <rPr>
        <rFont val="Calibri"/>
        <color theme="1"/>
        <sz val="11.0"/>
      </rPr>
      <t xml:space="preserve"> </t>
    </r>
    <r>
      <rPr>
        <rFont val="맑은 고딕"/>
        <color theme="1"/>
        <sz val="11.0"/>
      </rPr>
      <t>위하여</t>
    </r>
    <r>
      <rPr>
        <rFont val="Calibri"/>
        <color theme="1"/>
        <sz val="11.0"/>
      </rPr>
      <t xml:space="preserve"> </t>
    </r>
    <r>
      <rPr>
        <rFont val="맑은 고딕"/>
        <color theme="1"/>
        <sz val="11.0"/>
      </rPr>
      <t>기록을</t>
    </r>
    <r>
      <rPr>
        <rFont val="Calibri"/>
        <color theme="1"/>
        <sz val="11.0"/>
      </rPr>
      <t xml:space="preserve"> </t>
    </r>
    <r>
      <rPr>
        <rFont val="맑은 고딕"/>
        <color theme="1"/>
        <sz val="11.0"/>
      </rPr>
      <t>보존하는</t>
    </r>
    <r>
      <rPr>
        <rFont val="Calibri"/>
        <color theme="1"/>
        <sz val="11.0"/>
      </rPr>
      <t xml:space="preserve"> </t>
    </r>
    <r>
      <rPr>
        <rFont val="맑은 고딕"/>
        <color theme="1"/>
        <sz val="11.0"/>
      </rPr>
      <t>경우에도</t>
    </r>
    <r>
      <rPr>
        <rFont val="Calibri"/>
        <color theme="1"/>
        <sz val="11.0"/>
      </rPr>
      <t xml:space="preserve"> </t>
    </r>
    <r>
      <rPr>
        <rFont val="맑은 고딕"/>
        <color theme="1"/>
        <sz val="11.0"/>
      </rPr>
      <t>인정됩니다</t>
    </r>
    <r>
      <rPr>
        <rFont val="Calibri"/>
        <color theme="1"/>
        <sz val="11.0"/>
      </rPr>
      <t xml:space="preserve">.
</t>
    </r>
    <r>
      <rPr>
        <rFont val="맑은 고딕"/>
        <color theme="1"/>
        <sz val="11.0"/>
      </rPr>
      <t>과학적</t>
    </r>
    <r>
      <rPr>
        <rFont val="Calibri"/>
        <color theme="1"/>
        <sz val="11.0"/>
      </rPr>
      <t xml:space="preserve"> </t>
    </r>
    <r>
      <rPr>
        <rFont val="맑은 고딕"/>
        <color theme="1"/>
        <sz val="11.0"/>
      </rPr>
      <t>연구</t>
    </r>
    <r>
      <rPr>
        <rFont val="Calibri"/>
        <color theme="1"/>
        <sz val="11.0"/>
      </rPr>
      <t xml:space="preserve">: </t>
    </r>
    <r>
      <rPr>
        <rFont val="맑은 고딕"/>
        <color theme="1"/>
        <sz val="11.0"/>
      </rPr>
      <t>과학적</t>
    </r>
    <r>
      <rPr>
        <rFont val="Calibri"/>
        <color theme="1"/>
        <sz val="11.0"/>
      </rPr>
      <t xml:space="preserve"> </t>
    </r>
    <r>
      <rPr>
        <rFont val="맑은 고딕"/>
        <color theme="1"/>
        <sz val="11.0"/>
      </rPr>
      <t>방법을</t>
    </r>
    <r>
      <rPr>
        <rFont val="Calibri"/>
        <color theme="1"/>
        <sz val="11.0"/>
      </rPr>
      <t xml:space="preserve"> </t>
    </r>
    <r>
      <rPr>
        <rFont val="맑은 고딕"/>
        <color theme="1"/>
        <sz val="11.0"/>
      </rPr>
      <t>적용하는</t>
    </r>
    <r>
      <rPr>
        <rFont val="Calibri"/>
        <color theme="1"/>
        <sz val="11.0"/>
      </rPr>
      <t xml:space="preserve"> </t>
    </r>
    <r>
      <rPr>
        <rFont val="맑은 고딕"/>
        <color theme="1"/>
        <sz val="11.0"/>
      </rPr>
      <t>연구로서</t>
    </r>
    <r>
      <rPr>
        <rFont val="Calibri"/>
        <color theme="1"/>
        <sz val="11.0"/>
      </rPr>
      <t xml:space="preserve"> </t>
    </r>
    <r>
      <rPr>
        <rFont val="맑은 고딕"/>
        <color theme="1"/>
        <sz val="11.0"/>
      </rPr>
      <t>자연과학</t>
    </r>
    <r>
      <rPr>
        <rFont val="Calibri"/>
        <color theme="1"/>
        <sz val="11.0"/>
      </rPr>
      <t xml:space="preserve">, </t>
    </r>
    <r>
      <rPr>
        <rFont val="맑은 고딕"/>
        <color theme="1"/>
        <sz val="11.0"/>
      </rPr>
      <t>사회과학</t>
    </r>
    <r>
      <rPr>
        <rFont val="Calibri"/>
        <color theme="1"/>
        <sz val="11.0"/>
      </rPr>
      <t xml:space="preserve"> </t>
    </r>
    <r>
      <rPr>
        <rFont val="맑은 고딕"/>
        <color theme="1"/>
        <sz val="11.0"/>
      </rPr>
      <t>등</t>
    </r>
    <r>
      <rPr>
        <rFont val="Calibri"/>
        <color theme="1"/>
        <sz val="11.0"/>
      </rPr>
      <t xml:space="preserve"> </t>
    </r>
    <r>
      <rPr>
        <rFont val="맑은 고딕"/>
        <color theme="1"/>
        <sz val="11.0"/>
      </rPr>
      <t>다양한</t>
    </r>
    <r>
      <rPr>
        <rFont val="Calibri"/>
        <color theme="1"/>
        <sz val="11.0"/>
      </rPr>
      <t xml:space="preserve"> </t>
    </r>
    <r>
      <rPr>
        <rFont val="맑은 고딕"/>
        <color theme="1"/>
        <sz val="11.0"/>
      </rPr>
      <t>분야에서</t>
    </r>
    <r>
      <rPr>
        <rFont val="Calibri"/>
        <color theme="1"/>
        <sz val="11.0"/>
      </rPr>
      <t xml:space="preserve"> </t>
    </r>
    <r>
      <rPr>
        <rFont val="맑은 고딕"/>
        <color theme="1"/>
        <sz val="11.0"/>
      </rPr>
      <t>이루어질</t>
    </r>
    <r>
      <rPr>
        <rFont val="Calibri"/>
        <color theme="1"/>
        <sz val="11.0"/>
      </rPr>
      <t xml:space="preserve"> </t>
    </r>
    <r>
      <rPr>
        <rFont val="맑은 고딕"/>
        <color theme="1"/>
        <sz val="11.0"/>
      </rPr>
      <t>수</t>
    </r>
    <r>
      <rPr>
        <rFont val="Calibri"/>
        <color theme="1"/>
        <sz val="11.0"/>
      </rPr>
      <t xml:space="preserve"> </t>
    </r>
    <r>
      <rPr>
        <rFont val="맑은 고딕"/>
        <color theme="1"/>
        <sz val="11.0"/>
      </rPr>
      <t>있으며</t>
    </r>
    <r>
      <rPr>
        <rFont val="Calibri"/>
        <color theme="1"/>
        <sz val="11.0"/>
      </rPr>
      <t xml:space="preserve">, </t>
    </r>
    <r>
      <rPr>
        <rFont val="맑은 고딕"/>
        <color theme="1"/>
        <sz val="11.0"/>
      </rPr>
      <t>기초연구</t>
    </r>
    <r>
      <rPr>
        <rFont val="Calibri"/>
        <color theme="1"/>
        <sz val="11.0"/>
      </rPr>
      <t xml:space="preserve">, </t>
    </r>
    <r>
      <rPr>
        <rFont val="맑은 고딕"/>
        <color theme="1"/>
        <sz val="11.0"/>
      </rPr>
      <t>응용연구뿐만</t>
    </r>
    <r>
      <rPr>
        <rFont val="Calibri"/>
        <color theme="1"/>
        <sz val="11.0"/>
      </rPr>
      <t xml:space="preserve"> </t>
    </r>
    <r>
      <rPr>
        <rFont val="맑은 고딕"/>
        <color theme="1"/>
        <sz val="11.0"/>
      </rPr>
      <t>아니라</t>
    </r>
    <r>
      <rPr>
        <rFont val="Calibri"/>
        <color theme="1"/>
        <sz val="11.0"/>
      </rPr>
      <t xml:space="preserve"> </t>
    </r>
    <r>
      <rPr>
        <rFont val="맑은 고딕"/>
        <color theme="1"/>
        <sz val="11.0"/>
      </rPr>
      <t>새로운</t>
    </r>
    <r>
      <rPr>
        <rFont val="Calibri"/>
        <color theme="1"/>
        <sz val="11.0"/>
      </rPr>
      <t xml:space="preserve"> </t>
    </r>
    <r>
      <rPr>
        <rFont val="맑은 고딕"/>
        <color theme="1"/>
        <sz val="11.0"/>
      </rPr>
      <t>기술</t>
    </r>
    <r>
      <rPr>
        <rFont val="Calibri"/>
        <color theme="1"/>
        <sz val="11.0"/>
      </rPr>
      <t>·</t>
    </r>
    <r>
      <rPr>
        <rFont val="맑은 고딕"/>
        <color theme="1"/>
        <sz val="11.0"/>
      </rPr>
      <t>제품</t>
    </r>
    <r>
      <rPr>
        <rFont val="Calibri"/>
        <color theme="1"/>
        <sz val="11.0"/>
      </rPr>
      <t>·</t>
    </r>
    <r>
      <rPr>
        <rFont val="맑은 고딕"/>
        <color theme="1"/>
        <sz val="11.0"/>
      </rPr>
      <t>서비스</t>
    </r>
    <r>
      <rPr>
        <rFont val="Calibri"/>
        <color theme="1"/>
        <sz val="11.0"/>
      </rPr>
      <t xml:space="preserve"> </t>
    </r>
    <r>
      <rPr>
        <rFont val="맑은 고딕"/>
        <color theme="1"/>
        <sz val="11.0"/>
      </rPr>
      <t>개발</t>
    </r>
    <r>
      <rPr>
        <rFont val="Calibri"/>
        <color theme="1"/>
        <sz val="11.0"/>
      </rPr>
      <t xml:space="preserve"> </t>
    </r>
    <r>
      <rPr>
        <rFont val="맑은 고딕"/>
        <color theme="1"/>
        <sz val="11.0"/>
      </rPr>
      <t>및</t>
    </r>
    <r>
      <rPr>
        <rFont val="Calibri"/>
        <color theme="1"/>
        <sz val="11.0"/>
      </rPr>
      <t xml:space="preserve"> </t>
    </r>
    <r>
      <rPr>
        <rFont val="맑은 고딕"/>
        <color theme="1"/>
        <sz val="11.0"/>
      </rPr>
      <t>실증을</t>
    </r>
    <r>
      <rPr>
        <rFont val="Calibri"/>
        <color theme="1"/>
        <sz val="11.0"/>
      </rPr>
      <t xml:space="preserve"> </t>
    </r>
    <r>
      <rPr>
        <rFont val="맑은 고딕"/>
        <color theme="1"/>
        <sz val="11.0"/>
      </rPr>
      <t>위한</t>
    </r>
    <r>
      <rPr>
        <rFont val="Calibri"/>
        <color theme="1"/>
        <sz val="11.0"/>
      </rPr>
      <t xml:space="preserve"> </t>
    </r>
    <r>
      <rPr>
        <rFont val="맑은 고딕"/>
        <color theme="1"/>
        <sz val="11.0"/>
      </rPr>
      <t>산업적</t>
    </r>
    <r>
      <rPr>
        <rFont val="Calibri"/>
        <color theme="1"/>
        <sz val="11.0"/>
      </rPr>
      <t xml:space="preserve"> </t>
    </r>
    <r>
      <rPr>
        <rFont val="맑은 고딕"/>
        <color theme="1"/>
        <sz val="11.0"/>
      </rPr>
      <t>연구도</t>
    </r>
    <r>
      <rPr>
        <rFont val="Calibri"/>
        <color theme="1"/>
        <sz val="11.0"/>
      </rPr>
      <t xml:space="preserve"> </t>
    </r>
    <r>
      <rPr>
        <rFont val="맑은 고딕"/>
        <color theme="1"/>
        <sz val="11.0"/>
      </rPr>
      <t>포함됩니다</t>
    </r>
    <r>
      <rPr>
        <rFont val="Calibri"/>
        <color theme="1"/>
        <sz val="11.0"/>
      </rPr>
      <t xml:space="preserve">. </t>
    </r>
    <r>
      <rPr>
        <rFont val="맑은 고딕"/>
        <color theme="1"/>
        <sz val="11.0"/>
      </rPr>
      <t>예를</t>
    </r>
    <r>
      <rPr>
        <rFont val="Calibri"/>
        <color theme="1"/>
        <sz val="11.0"/>
      </rPr>
      <t xml:space="preserve"> </t>
    </r>
    <r>
      <rPr>
        <rFont val="맑은 고딕"/>
        <color theme="1"/>
        <sz val="11.0"/>
      </rPr>
      <t>들어</t>
    </r>
    <r>
      <rPr>
        <rFont val="Calibri"/>
        <color theme="1"/>
        <sz val="11.0"/>
      </rPr>
      <t xml:space="preserve">, </t>
    </r>
    <r>
      <rPr>
        <rFont val="맑은 고딕"/>
        <color theme="1"/>
        <sz val="11.0"/>
      </rPr>
      <t>코로나</t>
    </r>
    <r>
      <rPr>
        <rFont val="Calibri"/>
        <color theme="1"/>
        <sz val="11.0"/>
      </rPr>
      <t xml:space="preserve">19 </t>
    </r>
    <r>
      <rPr>
        <rFont val="맑은 고딕"/>
        <color theme="1"/>
        <sz val="11.0"/>
      </rPr>
      <t>위험</t>
    </r>
    <r>
      <rPr>
        <rFont val="Calibri"/>
        <color theme="1"/>
        <sz val="11.0"/>
      </rPr>
      <t xml:space="preserve"> </t>
    </r>
    <r>
      <rPr>
        <rFont val="맑은 고딕"/>
        <color theme="1"/>
        <sz val="11.0"/>
      </rPr>
      <t>경고를</t>
    </r>
    <r>
      <rPr>
        <rFont val="Calibri"/>
        <color theme="1"/>
        <sz val="11.0"/>
      </rPr>
      <t xml:space="preserve"> </t>
    </r>
    <r>
      <rPr>
        <rFont val="맑은 고딕"/>
        <color theme="1"/>
        <sz val="11.0"/>
      </rPr>
      <t>위해</t>
    </r>
    <r>
      <rPr>
        <rFont val="Calibri"/>
        <color theme="1"/>
        <sz val="11.0"/>
      </rPr>
      <t xml:space="preserve"> </t>
    </r>
    <r>
      <rPr>
        <rFont val="맑은 고딕"/>
        <color theme="1"/>
        <sz val="11.0"/>
      </rPr>
      <t>생활패턴과</t>
    </r>
    <r>
      <rPr>
        <rFont val="Calibri"/>
        <color theme="1"/>
        <sz val="11.0"/>
      </rPr>
      <t xml:space="preserve"> </t>
    </r>
    <r>
      <rPr>
        <rFont val="맑은 고딕"/>
        <color theme="1"/>
        <sz val="11.0"/>
      </rPr>
      <t>감염률의</t>
    </r>
    <r>
      <rPr>
        <rFont val="Calibri"/>
        <color theme="1"/>
        <sz val="11.0"/>
      </rPr>
      <t xml:space="preserve"> </t>
    </r>
    <r>
      <rPr>
        <rFont val="맑은 고딕"/>
        <color theme="1"/>
        <sz val="11.0"/>
      </rPr>
      <t>상관성에</t>
    </r>
    <r>
      <rPr>
        <rFont val="Calibri"/>
        <color theme="1"/>
        <sz val="11.0"/>
      </rPr>
      <t xml:space="preserve"> </t>
    </r>
    <r>
      <rPr>
        <rFont val="맑은 고딕"/>
        <color theme="1"/>
        <sz val="11.0"/>
      </rPr>
      <t>대한</t>
    </r>
    <r>
      <rPr>
        <rFont val="Calibri"/>
        <color theme="1"/>
        <sz val="11.0"/>
      </rPr>
      <t xml:space="preserve"> </t>
    </r>
    <r>
      <rPr>
        <rFont val="맑은 고딕"/>
        <color theme="1"/>
        <sz val="11.0"/>
      </rPr>
      <t>연구를</t>
    </r>
    <r>
      <rPr>
        <rFont val="Calibri"/>
        <color theme="1"/>
        <sz val="11.0"/>
      </rPr>
      <t xml:space="preserve"> </t>
    </r>
    <r>
      <rPr>
        <rFont val="맑은 고딕"/>
        <color theme="1"/>
        <sz val="11.0"/>
      </rPr>
      <t>수행하는</t>
    </r>
    <r>
      <rPr>
        <rFont val="Calibri"/>
        <color theme="1"/>
        <sz val="11.0"/>
      </rPr>
      <t xml:space="preserve"> </t>
    </r>
    <r>
      <rPr>
        <rFont val="맑은 고딕"/>
        <color theme="1"/>
        <sz val="11.0"/>
      </rPr>
      <t>경우</t>
    </r>
    <r>
      <rPr>
        <rFont val="Calibri"/>
        <color theme="1"/>
        <sz val="11.0"/>
      </rPr>
      <t xml:space="preserve"> </t>
    </r>
    <r>
      <rPr>
        <rFont val="맑은 고딕"/>
        <color theme="1"/>
        <sz val="11.0"/>
      </rPr>
      <t>등이</t>
    </r>
    <r>
      <rPr>
        <rFont val="Calibri"/>
        <color theme="1"/>
        <sz val="11.0"/>
      </rPr>
      <t xml:space="preserve"> </t>
    </r>
    <r>
      <rPr>
        <rFont val="맑은 고딕"/>
        <color theme="1"/>
        <sz val="11.0"/>
      </rPr>
      <t>해당됩니다</t>
    </r>
    <r>
      <rPr>
        <rFont val="Calibri"/>
        <color theme="1"/>
        <sz val="11.0"/>
      </rPr>
      <t xml:space="preserve">.
</t>
    </r>
    <r>
      <rPr>
        <rFont val="맑은 고딕"/>
        <color theme="1"/>
        <sz val="11.0"/>
      </rPr>
      <t>이러한</t>
    </r>
    <r>
      <rPr>
        <rFont val="Calibri"/>
        <color theme="1"/>
        <sz val="11.0"/>
      </rPr>
      <t xml:space="preserve"> </t>
    </r>
    <r>
      <rPr>
        <rFont val="맑은 고딕"/>
        <color theme="1"/>
        <sz val="11.0"/>
      </rPr>
      <t>목적의</t>
    </r>
    <r>
      <rPr>
        <rFont val="Calibri"/>
        <color theme="1"/>
        <sz val="11.0"/>
      </rPr>
      <t xml:space="preserve"> </t>
    </r>
    <r>
      <rPr>
        <rFont val="맑은 고딕"/>
        <color theme="1"/>
        <sz val="11.0"/>
      </rPr>
      <t>가명정보</t>
    </r>
    <r>
      <rPr>
        <rFont val="Calibri"/>
        <color theme="1"/>
        <sz val="11.0"/>
      </rPr>
      <t xml:space="preserve"> </t>
    </r>
    <r>
      <rPr>
        <rFont val="맑은 고딕"/>
        <color theme="1"/>
        <sz val="11.0"/>
      </rPr>
      <t>처리는</t>
    </r>
    <r>
      <rPr>
        <rFont val="Calibri"/>
        <color theme="1"/>
        <sz val="11.0"/>
      </rPr>
      <t xml:space="preserve"> </t>
    </r>
    <r>
      <rPr>
        <rFont val="맑은 고딕"/>
        <color theme="1"/>
        <sz val="11.0"/>
      </rPr>
      <t>공공데이터의</t>
    </r>
    <r>
      <rPr>
        <rFont val="Calibri"/>
        <color theme="1"/>
        <sz val="11.0"/>
      </rPr>
      <t xml:space="preserve"> </t>
    </r>
    <r>
      <rPr>
        <rFont val="맑은 고딕"/>
        <color theme="1"/>
        <sz val="11.0"/>
      </rPr>
      <t>개방과</t>
    </r>
    <r>
      <rPr>
        <rFont val="Calibri"/>
        <color theme="1"/>
        <sz val="11.0"/>
      </rPr>
      <t xml:space="preserve"> </t>
    </r>
    <r>
      <rPr>
        <rFont val="맑은 고딕"/>
        <color theme="1"/>
        <sz val="11.0"/>
      </rPr>
      <t>활성화를</t>
    </r>
    <r>
      <rPr>
        <rFont val="Calibri"/>
        <color theme="1"/>
        <sz val="11.0"/>
      </rPr>
      <t xml:space="preserve"> </t>
    </r>
    <r>
      <rPr>
        <rFont val="맑은 고딕"/>
        <color theme="1"/>
        <sz val="11.0"/>
      </rPr>
      <t>위해</t>
    </r>
    <r>
      <rPr>
        <rFont val="Calibri"/>
        <color theme="1"/>
        <sz val="11.0"/>
      </rPr>
      <t xml:space="preserve"> </t>
    </r>
    <r>
      <rPr>
        <rFont val="맑은 고딕"/>
        <color theme="1"/>
        <sz val="11.0"/>
      </rPr>
      <t>중요한</t>
    </r>
    <r>
      <rPr>
        <rFont val="Calibri"/>
        <color theme="1"/>
        <sz val="11.0"/>
      </rPr>
      <t xml:space="preserve"> </t>
    </r>
    <r>
      <rPr>
        <rFont val="맑은 고딕"/>
        <color theme="1"/>
        <sz val="11.0"/>
      </rPr>
      <t>역할을</t>
    </r>
    <r>
      <rPr>
        <rFont val="Calibri"/>
        <color theme="1"/>
        <sz val="11.0"/>
      </rPr>
      <t xml:space="preserve"> </t>
    </r>
    <r>
      <rPr>
        <rFont val="맑은 고딕"/>
        <color theme="1"/>
        <sz val="11.0"/>
      </rPr>
      <t>하며</t>
    </r>
    <r>
      <rPr>
        <rFont val="Calibri"/>
        <color theme="1"/>
        <sz val="11.0"/>
      </rPr>
      <t xml:space="preserve">, </t>
    </r>
    <r>
      <rPr>
        <rFont val="맑은 고딕"/>
        <color theme="1"/>
        <sz val="11.0"/>
      </rPr>
      <t>각</t>
    </r>
    <r>
      <rPr>
        <rFont val="Calibri"/>
        <color theme="1"/>
        <sz val="11.0"/>
      </rPr>
      <t xml:space="preserve"> </t>
    </r>
    <r>
      <rPr>
        <rFont val="맑은 고딕"/>
        <color theme="1"/>
        <sz val="11.0"/>
      </rPr>
      <t>목적에</t>
    </r>
    <r>
      <rPr>
        <rFont val="Calibri"/>
        <color theme="1"/>
        <sz val="11.0"/>
      </rPr>
      <t xml:space="preserve"> </t>
    </r>
    <r>
      <rPr>
        <rFont val="맑은 고딕"/>
        <color theme="1"/>
        <sz val="11.0"/>
      </rPr>
      <t>따라</t>
    </r>
    <r>
      <rPr>
        <rFont val="Calibri"/>
        <color theme="1"/>
        <sz val="11.0"/>
      </rPr>
      <t xml:space="preserve"> </t>
    </r>
    <r>
      <rPr>
        <rFont val="맑은 고딕"/>
        <color theme="1"/>
        <sz val="11.0"/>
      </rPr>
      <t>적절한</t>
    </r>
    <r>
      <rPr>
        <rFont val="Calibri"/>
        <color theme="1"/>
        <sz val="11.0"/>
      </rPr>
      <t xml:space="preserve"> </t>
    </r>
    <r>
      <rPr>
        <rFont val="맑은 고딕"/>
        <color theme="1"/>
        <sz val="11.0"/>
      </rPr>
      <t>절차와</t>
    </r>
    <r>
      <rPr>
        <rFont val="Calibri"/>
        <color theme="1"/>
        <sz val="11.0"/>
      </rPr>
      <t xml:space="preserve"> </t>
    </r>
    <r>
      <rPr>
        <rFont val="맑은 고딕"/>
        <color theme="1"/>
        <sz val="11.0"/>
      </rPr>
      <t>기준을</t>
    </r>
    <r>
      <rPr>
        <rFont val="Calibri"/>
        <color theme="1"/>
        <sz val="11.0"/>
      </rPr>
      <t xml:space="preserve"> </t>
    </r>
    <r>
      <rPr>
        <rFont val="맑은 고딕"/>
        <color theme="1"/>
        <sz val="11.0"/>
      </rPr>
      <t>준수해야</t>
    </r>
    <r>
      <rPr>
        <rFont val="Calibri"/>
        <color theme="1"/>
        <sz val="11.0"/>
      </rPr>
      <t xml:space="preserve"> </t>
    </r>
    <r>
      <rPr>
        <rFont val="맑은 고딕"/>
        <color theme="1"/>
        <sz val="11.0"/>
      </rPr>
      <t>합니다</t>
    </r>
    <r>
      <rPr>
        <rFont val="Calibri"/>
        <color theme="1"/>
        <sz val="11.0"/>
      </rPr>
      <t>.</t>
    </r>
  </si>
  <si>
    <r>
      <rPr>
        <rFont val="맑은 고딕"/>
        <color theme="1"/>
        <sz val="11.0"/>
      </rPr>
      <t>기대답변
가명정보</t>
    </r>
    <r>
      <rPr>
        <rFont val="MS Mincho"/>
        <color theme="1"/>
        <sz val="11.0"/>
      </rPr>
      <t> </t>
    </r>
    <r>
      <rPr>
        <rFont val="맑은 고딕"/>
        <color theme="1"/>
        <sz val="11.0"/>
      </rPr>
      <t>처리는</t>
    </r>
    <r>
      <rPr>
        <rFont val="MS Mincho"/>
        <color theme="1"/>
        <sz val="11.0"/>
      </rPr>
      <t> </t>
    </r>
    <r>
      <rPr>
        <rFont val="맑은 고딕"/>
        <color theme="1"/>
        <sz val="11.0"/>
      </rPr>
      <t>개인정보</t>
    </r>
    <r>
      <rPr>
        <rFont val="MS Mincho"/>
        <color theme="1"/>
        <sz val="11.0"/>
      </rPr>
      <t> </t>
    </r>
    <r>
      <rPr>
        <rFont val="맑은 고딕"/>
        <color theme="1"/>
        <sz val="11.0"/>
      </rPr>
      <t>보호법에</t>
    </r>
    <r>
      <rPr>
        <rFont val="MS Mincho"/>
        <color theme="1"/>
        <sz val="11.0"/>
      </rPr>
      <t> </t>
    </r>
    <r>
      <rPr>
        <rFont val="맑은 고딕"/>
        <color theme="1"/>
        <sz val="11.0"/>
      </rPr>
      <t>따라</t>
    </r>
    <r>
      <rPr>
        <rFont val="MS Mincho"/>
        <color theme="1"/>
        <sz val="11.0"/>
      </rPr>
      <t> </t>
    </r>
    <r>
      <rPr>
        <rFont val="맑은 고딕"/>
        <color theme="1"/>
        <sz val="11.0"/>
      </rPr>
      <t>특정</t>
    </r>
    <r>
      <rPr>
        <rFont val="MS Mincho"/>
        <color theme="1"/>
        <sz val="11.0"/>
      </rPr>
      <t> </t>
    </r>
    <r>
      <rPr>
        <rFont val="맑은 고딕"/>
        <color theme="1"/>
        <sz val="11.0"/>
      </rPr>
      <t>개인을</t>
    </r>
    <r>
      <rPr>
        <rFont val="MS Mincho"/>
        <color theme="1"/>
        <sz val="11.0"/>
      </rPr>
      <t> </t>
    </r>
    <r>
      <rPr>
        <rFont val="맑은 고딕"/>
        <color theme="1"/>
        <sz val="11.0"/>
      </rPr>
      <t>알아볼</t>
    </r>
    <r>
      <rPr>
        <rFont val="MS Mincho"/>
        <color theme="1"/>
        <sz val="11.0"/>
      </rPr>
      <t> </t>
    </r>
    <r>
      <rPr>
        <rFont val="맑은 고딕"/>
        <color theme="1"/>
        <sz val="11.0"/>
      </rPr>
      <t>수</t>
    </r>
    <r>
      <rPr>
        <rFont val="MS Mincho"/>
        <color theme="1"/>
        <sz val="11.0"/>
      </rPr>
      <t> </t>
    </r>
    <r>
      <rPr>
        <rFont val="맑은 고딕"/>
        <color theme="1"/>
        <sz val="11.0"/>
      </rPr>
      <t>없도록</t>
    </r>
    <r>
      <rPr>
        <rFont val="MS Mincho"/>
        <color theme="1"/>
        <sz val="11.0"/>
      </rPr>
      <t> </t>
    </r>
    <r>
      <rPr>
        <rFont val="맑은 고딕"/>
        <color theme="1"/>
        <sz val="11.0"/>
      </rPr>
      <t>가명처리한</t>
    </r>
    <r>
      <rPr>
        <rFont val="MS Mincho"/>
        <color theme="1"/>
        <sz val="11.0"/>
      </rPr>
      <t> </t>
    </r>
    <r>
      <rPr>
        <rFont val="맑은 고딕"/>
        <color theme="1"/>
        <sz val="11.0"/>
      </rPr>
      <t>데이터를</t>
    </r>
    <r>
      <rPr>
        <rFont val="MS Mincho"/>
        <color theme="1"/>
        <sz val="11.0"/>
      </rPr>
      <t> </t>
    </r>
    <r>
      <rPr>
        <rFont val="맑은 고딕"/>
        <color theme="1"/>
        <sz val="11.0"/>
      </rPr>
      <t>통계</t>
    </r>
    <r>
      <rPr>
        <rFont val="MS Mincho"/>
        <color theme="1"/>
        <sz val="11.0"/>
      </rPr>
      <t> </t>
    </r>
    <r>
      <rPr>
        <rFont val="맑은 고딕"/>
        <color theme="1"/>
        <sz val="11.0"/>
      </rPr>
      <t>작성</t>
    </r>
    <r>
      <rPr>
        <rFont val="MS Mincho"/>
        <color theme="1"/>
        <sz val="11.0"/>
      </rPr>
      <t>, </t>
    </r>
    <r>
      <rPr>
        <rFont val="맑은 고딕"/>
        <color theme="1"/>
        <sz val="11.0"/>
      </rPr>
      <t>과학적</t>
    </r>
    <r>
      <rPr>
        <rFont val="MS Mincho"/>
        <color theme="1"/>
        <sz val="11.0"/>
      </rPr>
      <t> </t>
    </r>
    <r>
      <rPr>
        <rFont val="맑은 고딕"/>
        <color theme="1"/>
        <sz val="11.0"/>
      </rPr>
      <t>연구</t>
    </r>
    <r>
      <rPr>
        <rFont val="MS Mincho"/>
        <color theme="1"/>
        <sz val="11.0"/>
      </rPr>
      <t>, </t>
    </r>
    <r>
      <rPr>
        <rFont val="맑은 고딕"/>
        <color theme="1"/>
        <sz val="11.0"/>
      </rPr>
      <t>공익적</t>
    </r>
    <r>
      <rPr>
        <rFont val="MS Mincho"/>
        <color theme="1"/>
        <sz val="11.0"/>
      </rPr>
      <t> </t>
    </r>
    <r>
      <rPr>
        <rFont val="맑은 고딕"/>
        <color theme="1"/>
        <sz val="11.0"/>
      </rPr>
      <t>기록보존</t>
    </r>
    <r>
      <rPr>
        <rFont val="MS Mincho"/>
        <color theme="1"/>
        <sz val="11.0"/>
      </rPr>
      <t> </t>
    </r>
    <r>
      <rPr>
        <rFont val="맑은 고딕"/>
        <color theme="1"/>
        <sz val="11.0"/>
      </rPr>
      <t>목적</t>
    </r>
    <r>
      <rPr>
        <rFont val="MS Mincho"/>
        <color theme="1"/>
        <sz val="11.0"/>
      </rPr>
      <t> </t>
    </r>
    <r>
      <rPr>
        <rFont val="맑은 고딕"/>
        <color theme="1"/>
        <sz val="11.0"/>
      </rPr>
      <t>등에서</t>
    </r>
    <r>
      <rPr>
        <rFont val="MS Mincho"/>
        <color theme="1"/>
        <sz val="11.0"/>
      </rPr>
      <t> </t>
    </r>
    <r>
      <rPr>
        <rFont val="맑은 고딕"/>
        <color theme="1"/>
        <sz val="11.0"/>
      </rPr>
      <t>폭넓게</t>
    </r>
    <r>
      <rPr>
        <rFont val="MS Mincho"/>
        <color theme="1"/>
        <sz val="11.0"/>
      </rPr>
      <t> </t>
    </r>
    <r>
      <rPr>
        <rFont val="맑은 고딕"/>
        <color theme="1"/>
        <sz val="11.0"/>
      </rPr>
      <t>활용하기</t>
    </r>
    <r>
      <rPr>
        <rFont val="MS Mincho"/>
        <color theme="1"/>
        <sz val="11.0"/>
      </rPr>
      <t> </t>
    </r>
    <r>
      <rPr>
        <rFont val="맑은 고딕"/>
        <color theme="1"/>
        <sz val="11.0"/>
      </rPr>
      <t>위한</t>
    </r>
    <r>
      <rPr>
        <rFont val="MS Mincho"/>
        <color theme="1"/>
        <sz val="11.0"/>
      </rPr>
      <t> </t>
    </r>
    <r>
      <rPr>
        <rFont val="맑은 고딕"/>
        <color theme="1"/>
        <sz val="11.0"/>
      </rPr>
      <t>것입니다</t>
    </r>
    <r>
      <rPr>
        <rFont val="MS Mincho"/>
        <color theme="1"/>
        <sz val="11.0"/>
      </rPr>
      <t>. </t>
    </r>
    <r>
      <rPr>
        <rFont val="맑은 고딕"/>
        <color theme="1"/>
        <sz val="11.0"/>
      </rPr>
      <t>가명정보는</t>
    </r>
    <r>
      <rPr>
        <rFont val="MS Mincho"/>
        <color theme="1"/>
        <sz val="11.0"/>
      </rPr>
      <t> </t>
    </r>
    <r>
      <rPr>
        <rFont val="맑은 고딕"/>
        <color theme="1"/>
        <sz val="11.0"/>
      </rPr>
      <t>원래의</t>
    </r>
    <r>
      <rPr>
        <rFont val="MS Mincho"/>
        <color theme="1"/>
        <sz val="11.0"/>
      </rPr>
      <t> </t>
    </r>
    <r>
      <rPr>
        <rFont val="맑은 고딕"/>
        <color theme="1"/>
        <sz val="11.0"/>
      </rPr>
      <t>개인을</t>
    </r>
    <r>
      <rPr>
        <rFont val="MS Mincho"/>
        <color theme="1"/>
        <sz val="11.0"/>
      </rPr>
      <t> </t>
    </r>
    <r>
      <rPr>
        <rFont val="맑은 고딕"/>
        <color theme="1"/>
        <sz val="11.0"/>
      </rPr>
      <t>재식별할</t>
    </r>
    <r>
      <rPr>
        <rFont val="MS Mincho"/>
        <color theme="1"/>
        <sz val="11.0"/>
      </rPr>
      <t> </t>
    </r>
    <r>
      <rPr>
        <rFont val="맑은 고딕"/>
        <color theme="1"/>
        <sz val="11.0"/>
      </rPr>
      <t>수</t>
    </r>
    <r>
      <rPr>
        <rFont val="MS Mincho"/>
        <color theme="1"/>
        <sz val="11.0"/>
      </rPr>
      <t> </t>
    </r>
    <r>
      <rPr>
        <rFont val="맑은 고딕"/>
        <color theme="1"/>
        <sz val="11.0"/>
      </rPr>
      <t>없도록</t>
    </r>
    <r>
      <rPr>
        <rFont val="MS Mincho"/>
        <color theme="1"/>
        <sz val="11.0"/>
      </rPr>
      <t> </t>
    </r>
    <r>
      <rPr>
        <rFont val="맑은 고딕"/>
        <color theme="1"/>
        <sz val="11.0"/>
      </rPr>
      <t>처리된</t>
    </r>
    <r>
      <rPr>
        <rFont val="MS Mincho"/>
        <color theme="1"/>
        <sz val="11.0"/>
      </rPr>
      <t> </t>
    </r>
    <r>
      <rPr>
        <rFont val="맑은 고딕"/>
        <color theme="1"/>
        <sz val="11.0"/>
      </rPr>
      <t>정보로</t>
    </r>
    <r>
      <rPr>
        <rFont val="MS Mincho"/>
        <color theme="1"/>
        <sz val="11.0"/>
      </rPr>
      <t>, </t>
    </r>
    <r>
      <rPr>
        <rFont val="맑은 고딕"/>
        <color theme="1"/>
        <sz val="11.0"/>
      </rPr>
      <t>이를</t>
    </r>
    <r>
      <rPr>
        <rFont val="MS Mincho"/>
        <color theme="1"/>
        <sz val="11.0"/>
      </rPr>
      <t> </t>
    </r>
    <r>
      <rPr>
        <rFont val="맑은 고딕"/>
        <color theme="1"/>
        <sz val="11.0"/>
      </rPr>
      <t>활용하면</t>
    </r>
    <r>
      <rPr>
        <rFont val="MS Mincho"/>
        <color theme="1"/>
        <sz val="11.0"/>
      </rPr>
      <t> </t>
    </r>
    <r>
      <rPr>
        <rFont val="맑은 고딕"/>
        <color theme="1"/>
        <sz val="11.0"/>
      </rPr>
      <t>개인정보</t>
    </r>
    <r>
      <rPr>
        <rFont val="MS Mincho"/>
        <color theme="1"/>
        <sz val="11.0"/>
      </rPr>
      <t> </t>
    </r>
    <r>
      <rPr>
        <rFont val="맑은 고딕"/>
        <color theme="1"/>
        <sz val="11.0"/>
      </rPr>
      <t>보호를</t>
    </r>
    <r>
      <rPr>
        <rFont val="MS Mincho"/>
        <color theme="1"/>
        <sz val="11.0"/>
      </rPr>
      <t> </t>
    </r>
    <r>
      <rPr>
        <rFont val="맑은 고딕"/>
        <color theme="1"/>
        <sz val="11.0"/>
      </rPr>
      <t>강화하면서</t>
    </r>
    <r>
      <rPr>
        <rFont val="MS Mincho"/>
        <color theme="1"/>
        <sz val="11.0"/>
      </rPr>
      <t> </t>
    </r>
    <r>
      <rPr>
        <rFont val="맑은 고딕"/>
        <color theme="1"/>
        <sz val="11.0"/>
      </rPr>
      <t>데이터</t>
    </r>
    <r>
      <rPr>
        <rFont val="MS Mincho"/>
        <color theme="1"/>
        <sz val="11.0"/>
      </rPr>
      <t> </t>
    </r>
    <r>
      <rPr>
        <rFont val="맑은 고딕"/>
        <color theme="1"/>
        <sz val="11.0"/>
      </rPr>
      <t>활용성을</t>
    </r>
    <r>
      <rPr>
        <rFont val="MS Mincho"/>
        <color theme="1"/>
        <sz val="11.0"/>
      </rPr>
      <t> </t>
    </r>
    <r>
      <rPr>
        <rFont val="맑은 고딕"/>
        <color theme="1"/>
        <sz val="11.0"/>
      </rPr>
      <t>높일</t>
    </r>
    <r>
      <rPr>
        <rFont val="MS Mincho"/>
        <color theme="1"/>
        <sz val="11.0"/>
      </rPr>
      <t> </t>
    </r>
    <r>
      <rPr>
        <rFont val="맑은 고딕"/>
        <color theme="1"/>
        <sz val="11.0"/>
      </rPr>
      <t>수</t>
    </r>
    <r>
      <rPr>
        <rFont val="MS Mincho"/>
        <color theme="1"/>
        <sz val="11.0"/>
      </rPr>
      <t> </t>
    </r>
    <r>
      <rPr>
        <rFont val="맑은 고딕"/>
        <color theme="1"/>
        <sz val="11.0"/>
      </rPr>
      <t>있습니다</t>
    </r>
    <r>
      <rPr>
        <rFont val="MS Mincho"/>
        <color theme="1"/>
        <sz val="11.0"/>
      </rPr>
      <t>. </t>
    </r>
    <r>
      <rPr>
        <rFont val="맑은 고딕"/>
        <color theme="1"/>
        <sz val="11.0"/>
      </rPr>
      <t>개인정보처리자는</t>
    </r>
    <r>
      <rPr>
        <rFont val="MS Mincho"/>
        <color theme="1"/>
        <sz val="11.0"/>
      </rPr>
      <t> </t>
    </r>
    <r>
      <rPr>
        <rFont val="맑은 고딕"/>
        <color theme="1"/>
        <sz val="11.0"/>
      </rPr>
      <t>관련</t>
    </r>
    <r>
      <rPr>
        <rFont val="MS Mincho"/>
        <color theme="1"/>
        <sz val="11.0"/>
      </rPr>
      <t> </t>
    </r>
    <r>
      <rPr>
        <rFont val="맑은 고딕"/>
        <color theme="1"/>
        <sz val="11.0"/>
      </rPr>
      <t>법령에</t>
    </r>
    <r>
      <rPr>
        <rFont val="MS Mincho"/>
        <color theme="1"/>
        <sz val="11.0"/>
      </rPr>
      <t> </t>
    </r>
    <r>
      <rPr>
        <rFont val="맑은 고딕"/>
        <color theme="1"/>
        <sz val="11.0"/>
      </rPr>
      <t>명시된</t>
    </r>
    <r>
      <rPr>
        <rFont val="MS Mincho"/>
        <color theme="1"/>
        <sz val="11.0"/>
      </rPr>
      <t> </t>
    </r>
    <r>
      <rPr>
        <rFont val="맑은 고딕"/>
        <color theme="1"/>
        <sz val="11.0"/>
      </rPr>
      <t>목적과</t>
    </r>
    <r>
      <rPr>
        <rFont val="MS Mincho"/>
        <color theme="1"/>
        <sz val="11.0"/>
      </rPr>
      <t> </t>
    </r>
    <r>
      <rPr>
        <rFont val="맑은 고딕"/>
        <color theme="1"/>
        <sz val="11.0"/>
      </rPr>
      <t>기준을</t>
    </r>
    <r>
      <rPr>
        <rFont val="MS Mincho"/>
        <color theme="1"/>
        <sz val="11.0"/>
      </rPr>
      <t> </t>
    </r>
    <r>
      <rPr>
        <rFont val="맑은 고딕"/>
        <color theme="1"/>
        <sz val="11.0"/>
      </rPr>
      <t>준수하여</t>
    </r>
    <r>
      <rPr>
        <rFont val="MS Mincho"/>
        <color theme="1"/>
        <sz val="11.0"/>
      </rPr>
      <t> </t>
    </r>
    <r>
      <rPr>
        <rFont val="맑은 고딕"/>
        <color theme="1"/>
        <sz val="11.0"/>
      </rPr>
      <t>가명처리를</t>
    </r>
    <r>
      <rPr>
        <rFont val="MS Mincho"/>
        <color theme="1"/>
        <sz val="11.0"/>
      </rPr>
      <t> </t>
    </r>
    <r>
      <rPr>
        <rFont val="맑은 고딕"/>
        <color theme="1"/>
        <sz val="11.0"/>
      </rPr>
      <t>해야</t>
    </r>
    <r>
      <rPr>
        <rFont val="MS Mincho"/>
        <color theme="1"/>
        <sz val="11.0"/>
      </rPr>
      <t> </t>
    </r>
    <r>
      <rPr>
        <rFont val="맑은 고딕"/>
        <color theme="1"/>
        <sz val="11.0"/>
      </rPr>
      <t>하며</t>
    </r>
    <r>
      <rPr>
        <rFont val="MS Mincho"/>
        <color theme="1"/>
        <sz val="11.0"/>
      </rPr>
      <t>, </t>
    </r>
    <r>
      <rPr>
        <rFont val="맑은 고딕"/>
        <color theme="1"/>
        <sz val="11.0"/>
      </rPr>
      <t>안전한</t>
    </r>
    <r>
      <rPr>
        <rFont val="MS Mincho"/>
        <color theme="1"/>
        <sz val="11.0"/>
      </rPr>
      <t> </t>
    </r>
    <r>
      <rPr>
        <rFont val="맑은 고딕"/>
        <color theme="1"/>
        <sz val="11.0"/>
      </rPr>
      <t>관리</t>
    </r>
    <r>
      <rPr>
        <rFont val="MS Mincho"/>
        <color theme="1"/>
        <sz val="11.0"/>
      </rPr>
      <t> </t>
    </r>
    <r>
      <rPr>
        <rFont val="맑은 고딕"/>
        <color theme="1"/>
        <sz val="11.0"/>
      </rPr>
      <t>절차를</t>
    </r>
    <r>
      <rPr>
        <rFont val="MS Mincho"/>
        <color theme="1"/>
        <sz val="11.0"/>
      </rPr>
      <t> </t>
    </r>
    <r>
      <rPr>
        <rFont val="맑은 고딕"/>
        <color theme="1"/>
        <sz val="11.0"/>
      </rPr>
      <t>통해</t>
    </r>
    <r>
      <rPr>
        <rFont val="MS Mincho"/>
        <color theme="1"/>
        <sz val="11.0"/>
      </rPr>
      <t> </t>
    </r>
    <r>
      <rPr>
        <rFont val="맑은 고딕"/>
        <color theme="1"/>
        <sz val="11.0"/>
      </rPr>
      <t>데이터가</t>
    </r>
    <r>
      <rPr>
        <rFont val="MS Mincho"/>
        <color theme="1"/>
        <sz val="11.0"/>
      </rPr>
      <t> </t>
    </r>
    <r>
      <rPr>
        <rFont val="맑은 고딕"/>
        <color theme="1"/>
        <sz val="11.0"/>
      </rPr>
      <t>오남용되지</t>
    </r>
    <r>
      <rPr>
        <rFont val="MS Mincho"/>
        <color theme="1"/>
        <sz val="11.0"/>
      </rPr>
      <t> </t>
    </r>
    <r>
      <rPr>
        <rFont val="맑은 고딕"/>
        <color theme="1"/>
        <sz val="11.0"/>
      </rPr>
      <t>않도록</t>
    </r>
    <r>
      <rPr>
        <rFont val="MS Mincho"/>
        <color theme="1"/>
        <sz val="11.0"/>
      </rPr>
      <t> </t>
    </r>
    <r>
      <rPr>
        <rFont val="맑은 고딕"/>
        <color theme="1"/>
        <sz val="11.0"/>
      </rPr>
      <t>보호해야</t>
    </r>
    <r>
      <rPr>
        <rFont val="MS Mincho"/>
        <color theme="1"/>
        <sz val="11.0"/>
      </rPr>
      <t> </t>
    </r>
    <r>
      <rPr>
        <rFont val="맑은 고딕"/>
        <color theme="1"/>
        <sz val="11.0"/>
      </rPr>
      <t>합니다</t>
    </r>
    <r>
      <rPr>
        <rFont val="MS Mincho"/>
        <color theme="1"/>
        <sz val="11.0"/>
      </rPr>
      <t xml:space="preserve">.
</t>
    </r>
    <r>
      <rPr>
        <rFont val="맑은 고딕"/>
        <color theme="1"/>
        <sz val="11.0"/>
      </rPr>
      <t>링크 : 가명정보</t>
    </r>
    <r>
      <rPr>
        <rFont val="Calibri"/>
        <color theme="1"/>
        <sz val="11.0"/>
      </rPr>
      <t> </t>
    </r>
    <r>
      <rPr>
        <rFont val="맑은 고딕"/>
        <color theme="1"/>
        <sz val="11.0"/>
      </rPr>
      <t>처리</t>
    </r>
    <r>
      <rPr>
        <rFont val="Calibri"/>
        <color theme="1"/>
        <sz val="11.0"/>
      </rPr>
      <t> </t>
    </r>
    <r>
      <rPr>
        <rFont val="맑은 고딕"/>
        <color theme="1"/>
        <sz val="11.0"/>
      </rPr>
      <t>가이드라인</t>
    </r>
    <r>
      <rPr>
        <rFont val="Calibri"/>
        <color theme="1"/>
        <sz val="11.0"/>
      </rPr>
      <t>(2024.2)</t>
    </r>
  </si>
  <si>
    <t>기대답변 :
 ○ 가명정보 처리가 가능한 목적 : 가명정보는 일반 개인정보와 달리, 정보주체 동의 없이 처리할 수 있는 목적이 법으로 제한되어 있다. 해당 범위는 다음 세 가지뿐이다.
 1. 통계작성
  - 행정·산업·사회 현상을 분석하기 위한 통계 산출 목적
  - 단순 내부 데이터 정리나 보관은 해당하지 않음.
 2. 과학적 연구
  - 새로운 지식·기술 개발, 검증 등 연구 목적
  - 연구 요건이 갖춰진 경우에 한정되며, 연구 명목 없는 ‘보유 목적 가명처리’는 허용되지 않음
 3. 공익적 기록보존
  - 국가·사회적 필요에 따라 기록물 보존이 요구되는 경우
  - 이 역시 목적이 설정돼 있어야 하며, 무목적 보관은 허용 근거가 되지 않음
 ○ 목적 외 처리는 불가
 1. 목적이 설정되지 않은 개인정보를 가명처리해 단순 보관하는 행위 → 법적 근거가 없음.
 (“가명정보 처리에 관한 특례”는 위 3개 목적일 때만 적용)
 2. 불특정 다수(제3자)에게 제공하는 경우 → 익명정보로 처리해야 함이 원칙.
 ○ 가명정보 결합 관련 제한
 1. 서로 다른 기관 간 가명정보 결합은 목적이 동일하더라도 지정된 전문기관에서만 수행 가능(보호법 제28조의3)
 2. 개인정보처리자가 임의로 결합하는 것은 허용되지 않음</t>
  </si>
  <si>
    <t>150_2402_빅데이터과_기타_개인정보보호위원회_가명정보_처리_가이드라인.pdf</t>
  </si>
  <si>
    <t>개인정보처리자는 통계작성, 과학적 연구, 공익적 기록보존 등을 위하여 정보주체의 동의 없이 
 가명정보를 이용, 제공, 결합 등 처리 할 수 있음(보호법 제28조의2 제1항, 제28조의3 제1항)
  ※ (주의) 「가명정보 처리에 관한 특례」에 따라 정보주체의 동의 없이 처리가 가능한 가명정보는 통계작성, 
 과학적 연구, 공익적 기록보존 등 목적에 한정되므로 처리 목적이 설정되지 않은 상황에서 보유하고 
 있는 개인정보를 가명처리하여 보관하는 것은 「가명정보 처리에 관한 특례」에 근거한 처리로 볼 수 없음
 ※ 불특정 제3자에게 제공하는 경우(공개 등) 익명정보로 처리하는 것을 원칙으로 함
 제28조의2(가명정보의 처리 등) ① 개인정보처리자는 통계작성, 과학적 연구, 공익적 기록보존 
 등을 위하여 정보주체의 동의 없이 가명정보를 처리할 수 있다.
 제28조의3(가명정보의 결합 제한) ① 제28조의2에도 불구하고 통계작성, 과학적 연구, 공익적 
 기록보존 등을 위한 서로 다른 개인정보처리자 간의 가명정보의 결합은 보호위원회 또는 관계 
 중앙행정기관의 장이 지정하는 전문기관이 수행한다.</t>
  </si>
  <si>
    <r>
      <rPr>
        <rFont val="맑은 고딕"/>
        <b/>
        <color theme="1"/>
        <sz val="11.0"/>
      </rPr>
      <t>150_2402_빅데이터과_기타_개인정보보호위원회_가명정보_처리_가이드라인.pdf[7]</t>
    </r>
    <r>
      <rPr>
        <rFont val="맑은 고딕"/>
        <color theme="1"/>
        <sz val="11.0"/>
      </rPr>
      <t xml:space="preserve">
-----
가명정보 처리 가이드라인 제1장. 가이드라인 개요 1 제 장 가이드라인 개요 1 목적 빅 데이터, AI 등 다양한 융·복합 산업에서의 데이터 이용 수요가 급증하는 가운데, 빅 데이터, AI 등 다양한 융·복합 산업에서의 데이터 이용 수요가 급증하는 데이터 활용의 핵심인 가명정보 활용을 위한 법적 근거가 마련됨에 따라 데이터 활용의 핵심인 가명정보 활용을 위한 법적 근거가 마련됨에 따라 가 명정보 활용에 필요한 가명정보 처리 목적, 처리 절차 및 방법, 안전조치에 관한 사항 등을 가 명정보 활용에 필요한 가명정보 처리 목적, 처리 절 안내하여 안전한 데이터 활용 환경을 마련하고자 함 4 차 산업혁명 시대 신성장 동력인 ‘데이터’ 활용에 대한 시대적 요구를 반영한 데이터3법*이 4 차 산업혁명 시대 신성장 동력인 ‘데이터’ 활용에 대한 시대적 요구를 반영한 데이터3법*이 시행(’20.8.5.)되어 개인정보처리자가 통계작성, 과학적 연구, 공익적 기록보존 등을 위한 목적으로 시행(’20.8.5.)되어 개인정보처리자가 통계작성, 과학적 연구, 공익 개인정보를 가명처리하여 활용할 수 있는 기반이 새롭게 마련됨 개인정보를 가명처리하여 활용할 수 있는 기반이 새롭게 마련됨 * 개 인정보 보호법, 정보통신망 이용촉진 및 정보보호 등에 관한 법률(이하 ‘정보통신망법’ 이라 함), 개 인정보 보호법, 정보통신망 이용촉진 및 정보보호 등에 관한 법 신용정보의 이용 및 보호에 관한 법률(이하 ‘신용정보법’ 이라 함) 본 가이드라인은 「개인정보 보호법」(이하 ‘보호법’이라 함) 개정 및 시행(’20.8.5.)으로 새롭게 도입된 본 가이드라인은 「개인정보 보호법」(이하 ‘보호법’이라 함) 개정 및 시행(’20.8.5.)으로 새롭게 도 ‘가명정보 처리에 관한 특례’(보호법 제3장 제3절)에 관한 설명과 구체적 사례를 제공함으로써 ‘가명정보 처리에 관한 특례’(보호법 제3장 제3절)에 관한 설명과 구체적 사례를 제공함으로써 가명정보의 처리에 대한 이해를 돕고, 처리 과정에서 발생할 수 있는 개인정보 오·남용을 방지하여 가명정보의 처리에 대한 이해를 돕고, 처리 과정에서 발생 안전한 가명정보 활용 방안을 안내하기 위해 작성하였음 안전한 가명정보 활용 방안을 안내하기 위해 작성하였음 ※ ’ 23년 3월 14일 개정되어 동년 9월 15일 시행된 ‘보호법’ 등 법령의 개정 내용과 비정형데이터의 ’ 23년 3월 14일 개정되어 동년 9월 15일 시행 가명처리와 관련한 내용 등을 추가로 반영 개 인정보처리자가 법에 따른 규정을 준수한 경우 가이드라인 미준수를 사유로 처벌받지 않음. 개 인정보처리자가 법에 따른 규정을 준수한 경우 가이드라인 미준수를 사유로 처벌받지 않음. 따라서, 개인정보처리자는 데이터의 관련 분야 및 특수성 등을 고려하여 상황에 따라 유동적으로 따라서, 개인 처리 가능함 5</t>
    </r>
  </si>
  <si>
    <r>
      <rPr>
        <rFont val="맑은 고딕"/>
        <b/>
        <color theme="1"/>
        <sz val="11.0"/>
      </rPr>
      <t>150_2402_빅데이터과_기타_개인정보보호위원회_가명정보_처리_가이드라인.pdf[3]</t>
    </r>
    <r>
      <rPr>
        <rFont val="맑은 고딕"/>
        <color theme="1"/>
        <sz val="11.0"/>
      </rPr>
      <t xml:space="preserve">
-----
가명정보 처리 가이드라인 안내 사항 발간 목적 본 안내서는 빅데이터, AI 등 다양한 융·복합 산업에서의 데이터 이용 수요가 급증하는 가운데, 데이터 활용의 핵심인 가명정보 활용을 위한 법적 근거가 마련됨에 따라 가명정보 활용에 필요한 가명정보 처리 목적, 처리 절차 및 방법, 안전조치에 관한 사항 등을 안내할 목적으로 마련되었습니다. 제</t>
    </r>
    <r>
      <rPr>
        <rFont val="Yu Gothic"/>
        <color theme="1"/>
        <sz val="11.0"/>
      </rPr>
      <t>・</t>
    </r>
    <r>
      <rPr>
        <rFont val="맑은 고딕"/>
        <color theme="1"/>
        <sz val="11.0"/>
      </rPr>
      <t>개정 이력 개인정보보호 관련 법</t>
    </r>
    <r>
      <rPr>
        <rFont val="Yu Gothic"/>
        <color theme="1"/>
        <sz val="11.0"/>
      </rPr>
      <t>・</t>
    </r>
    <r>
      <rPr>
        <rFont val="맑은 고딕"/>
        <color theme="1"/>
        <sz val="11.0"/>
      </rPr>
      <t>제도 및 환경 변화를 반영하여 다음과 같이 개정하였습니다. &lt;table border="1" class="table table-striped table-hover"&gt;&lt;thead&gt;&lt;tr&gt;&lt;th&gt;일자&lt;/th&gt;&lt;th&gt;주요 내용&lt;/th&gt;&lt;/tr&gt;&lt;/thead&gt;&lt;tbody&gt;&lt;tr&gt;&lt;td&gt;’20. 9. 발간&lt;/td&gt;&lt;td&gt;가명정보 처리 특례 활용 시 개인정보처리자가 참고할 수 있는 기준 안내&lt;/td&gt;&lt;/tr&gt;&lt;tr&gt;&lt;td&gt;’21. 10. 개정&lt;/td&gt;&lt;td&gt;「가명정보의 결합 및 반출 등에 관한 고시」 개정(’21) 사항 반영, 결합방식 개선사항 안내&lt;/td&gt;&lt;/tr&gt;&lt;tr&gt;&lt;td&gt;’22. 4. 개정&lt;/td&gt;&lt;td&gt;가명정보 처리 절차 구체화, 결합유형 안내, 참고사례 및 FAQ 추가 수록&lt;/td&gt;&lt;/tr&gt;&lt;tr&gt;&lt;td&gt;’24. 2. 개정&lt;/td&gt;&lt;td&gt;비정형데이터 가명처리 기준 마련, 「개인정보 보호법」 개정(’23년) 사항 반영&lt;/td&gt;&lt;/tr&gt;&lt;/tbody&gt;&lt;/table&gt; 재검토 기한 안내서의 최신성을 유지하기 위해 발간일(2024년 2월)을 기준으로 매 3년이 되는 시점(매 3년째의 12.31.까지를 말함)마다 보완 및 개선 등의 조치를 취할 예정입니다. 저작권 표시 본 안내서 내용의 무단전재를 금하며, 가공</t>
    </r>
    <r>
      <rPr>
        <rFont val="Yu Gothic"/>
        <color theme="1"/>
        <sz val="11.0"/>
      </rPr>
      <t>・</t>
    </r>
    <r>
      <rPr>
        <rFont val="맑은 고딕"/>
        <color theme="1"/>
        <sz val="11.0"/>
      </rPr>
      <t>인용할 때는 출처를 밝혀 주시기 바랍니다. * 출처 : 개인정보보호위원회, 「가명정보 처리 가이드라인」 2024.2. 문의처 안내서 내용 관련 문의는 소관 법령별로 다음의 연락처로 주시기 바랍니다. - 개인정보보호위원회 데이터안전정책과(☎02-2100-3088, 3079, 3049) 관련법령 「개인정보 보호법」 제3장 제3절 ‘가명정보 처리에 관한 특례’ ※ 법령 최신 자료는 국가법령정보센터(www.law.go.kr), 개인정보 보호 안내서 최신 자료는 개인정보보호위원회 누리집*, 개인정보 포털**을 참고 * 개인정보보호위원회 누리집(www.pipc.go.kr) : 법령 &gt; 법령정보 &gt; 안내서 ** 개인정보 포털(www.privacy.go.kr) : 자료 &gt; 자료보기 &gt; 안내서</t>
    </r>
  </si>
  <si>
    <r>
      <rPr>
        <rFont val="맑은 고딕"/>
        <b/>
        <color theme="1"/>
        <sz val="11.0"/>
      </rPr>
      <t>150_2402_빅데이터과_기타_개인정보보호위원회_가명정보_처리_가이드라인.pdf[82]</t>
    </r>
    <r>
      <rPr>
        <rFont val="맑은 고딕"/>
        <color theme="1"/>
        <sz val="11.0"/>
      </rPr>
      <t xml:space="preserve">
-----
가명정보 처리 가이드라인 3. 개인정보 처리방침 수립 및 공개(보호법 제30조) 개인정보 처리방침 수립 및 공개(보호법 제30조) 개 인정보처리자는 가명정보 처리와 관련하여 아래와 같은 내용을 개인정보 처리방침에 포함하여 개 인정보처리자 공개하여야 함 공개하여야 함 ※ 다 만 개인정보의 처리에 대하여 기 작성한 개인정보 처리방침이 있을 경우 가명정보 처리에 관한 내용만 다 만 개인정 추가 가능 가명정보 활용 관련 개인정보 처리방침에 포함될 사항(예시) 1. 가명정보 처리 목적 1. 가명정보 처리 목적 2. 가명정보 처리 기간(선택) 2. 가명정보 처리 기간(선택) 3. 가명정보 제3자 제공에 관한 사항(해당되는 경우) 3. 가명정보 제3자 제공에 관한 사항(해당되는 경우) 4. 가명정보 처리의 위탁에 관한 사항(해당되는 경우) 4. 가명정보 처리의 위탁에 관 5. 처리하는 개인정보의 항목 5. 처리하는 개인정보의 항목 6. 보 호법 제28조의4(가명정보에 대한 안전조치의무 등)에 따른 가명정보의 안전성 확보 조치에 보 호법 제2 관한 사항 가명정보 활용 관련 개인정보 처리방침 반영 사례(예시) 제○○조(가명정보의 처리) 제○○조(가명정보의 처리) 1 □ □□(개인정보처리자명)는 수집한 개인정보를 특정 개인을 알아볼 수 없도록 가명 처리하여 □ □□(개인정보처리자명)는 수집한 개인정보를 특정 개인을 알아볼 수 없도록 가명 처리하여 통계작성, 과학적 연구, 공익적 기록보존 등을 위하여 처리할 수 있습니다. 가명정보 처리의 위탁 통계작성, 과학적 연구, 공익적 기록보존 등을 위하여 처리할 수 있습니다. 가명정보 처리의 위 및 제3자 제공은 하지 않으며, 가명정보는 재식별 되지 않도록 분리하여 별도 저장·관리하고 및 제3자 제공은 하지 않으며, 가명정보는 재식별 되지 않도록 분리하여 별도 저장·관리하고 가명정보의 처리 내용에 대해 기록을 작성하여 보관하는 등 필요한 기술적·관리적 보호조치를 가명정보의 취합니다. &lt;table border="1" class="table table-striped table-hover"&gt;&lt;thead&gt;&lt;tr&gt;&lt;th&gt;수집·이용 목적연령대별 △△ 등 분석&lt;/th&gt;&lt;th&gt;처리항목휴대전화번호,△△일시, △△유형&lt;/th&gt;&lt;/tr&gt;&lt;/thead&gt;&lt;tbody&gt;&lt;/tbody&gt;&lt;/table&gt; 80</t>
    </r>
  </si>
  <si>
    <r>
      <rPr>
        <rFont val="Arial"/>
        <color rgb="FF000000"/>
        <sz val="11.0"/>
      </rPr>
      <t>가명정보</t>
    </r>
    <r>
      <rPr>
        <rFont val="MS Mincho"/>
        <color rgb="FF000000"/>
        <sz val="11.0"/>
      </rPr>
      <t> </t>
    </r>
    <r>
      <rPr>
        <rFont val="Arial"/>
        <color rgb="FF000000"/>
        <sz val="11.0"/>
      </rPr>
      <t>처리</t>
    </r>
    <r>
      <rPr>
        <rFont val="MS Mincho"/>
        <color rgb="FF000000"/>
        <sz val="11.0"/>
      </rPr>
      <t> </t>
    </r>
    <r>
      <rPr>
        <rFont val="Arial"/>
        <color rgb="FF000000"/>
        <sz val="11.0"/>
      </rPr>
      <t>시</t>
    </r>
    <r>
      <rPr>
        <rFont val="MS Mincho"/>
        <color rgb="FF000000"/>
        <sz val="11.0"/>
      </rPr>
      <t> </t>
    </r>
    <r>
      <rPr>
        <rFont val="Arial"/>
        <color rgb="FF000000"/>
        <sz val="11.0"/>
      </rPr>
      <t>개인정보</t>
    </r>
    <r>
      <rPr>
        <rFont val="MS Mincho"/>
        <color rgb="FF000000"/>
        <sz val="11.0"/>
      </rPr>
      <t> </t>
    </r>
    <r>
      <rPr>
        <rFont val="Arial"/>
        <color rgb="FF000000"/>
        <sz val="11.0"/>
      </rPr>
      <t>주체의</t>
    </r>
    <r>
      <rPr>
        <rFont val="MS Mincho"/>
        <color rgb="FF000000"/>
        <sz val="11.0"/>
      </rPr>
      <t> </t>
    </r>
    <r>
      <rPr>
        <rFont val="Arial"/>
        <color rgb="FF000000"/>
        <sz val="11.0"/>
      </rPr>
      <t>동의가</t>
    </r>
    <r>
      <rPr>
        <rFont val="MS Mincho"/>
        <color rgb="FF000000"/>
        <sz val="11.0"/>
      </rPr>
      <t> </t>
    </r>
    <r>
      <rPr>
        <rFont val="Arial"/>
        <color rgb="FF000000"/>
        <sz val="11.0"/>
      </rPr>
      <t>반드시</t>
    </r>
    <r>
      <rPr>
        <rFont val="MS Mincho"/>
        <color rgb="FF000000"/>
        <sz val="11.0"/>
      </rPr>
      <t> </t>
    </r>
    <r>
      <rPr>
        <rFont val="Arial"/>
        <color rgb="FF000000"/>
        <sz val="11.0"/>
      </rPr>
      <t>필요한가요</t>
    </r>
    <r>
      <rPr>
        <rFont val="MS Mincho"/>
        <color rgb="FF000000"/>
        <sz val="11.0"/>
      </rPr>
      <t>?</t>
    </r>
  </si>
  <si>
    <t>개인정보를 가명정보로 처리할 때, 관련 법령과 내부 지침에 따라 개인정보 주체의 동의가 반드시 필요한지, 필요하지 않은 경우 적용되는 조건과 절차는 무엇인가요?</t>
  </si>
  <si>
    <r>
      <rPr>
        <rFont val="맑은 고딕"/>
        <color theme="1"/>
        <sz val="11.0"/>
      </rPr>
      <t>가명정보</t>
    </r>
    <r>
      <rPr>
        <rFont val="Calibri"/>
        <color theme="1"/>
        <sz val="11.0"/>
      </rPr>
      <t xml:space="preserve"> </t>
    </r>
    <r>
      <rPr>
        <rFont val="맑은 고딕"/>
        <color theme="1"/>
        <sz val="11.0"/>
      </rPr>
      <t>처리</t>
    </r>
    <r>
      <rPr>
        <rFont val="Calibri"/>
        <color theme="1"/>
        <sz val="11.0"/>
      </rPr>
      <t xml:space="preserve"> </t>
    </r>
    <r>
      <rPr>
        <rFont val="맑은 고딕"/>
        <color theme="1"/>
        <sz val="11.0"/>
      </rPr>
      <t>시</t>
    </r>
    <r>
      <rPr>
        <rFont val="Calibri"/>
        <color theme="1"/>
        <sz val="11.0"/>
      </rPr>
      <t xml:space="preserve"> </t>
    </r>
    <r>
      <rPr>
        <rFont val="맑은 고딕"/>
        <color theme="1"/>
        <sz val="11.0"/>
      </rPr>
      <t>개인정보</t>
    </r>
    <r>
      <rPr>
        <rFont val="Calibri"/>
        <color theme="1"/>
        <sz val="11.0"/>
      </rPr>
      <t xml:space="preserve"> </t>
    </r>
    <r>
      <rPr>
        <rFont val="맑은 고딕"/>
        <color theme="1"/>
        <sz val="11.0"/>
      </rPr>
      <t>주체의</t>
    </r>
    <r>
      <rPr>
        <rFont val="Calibri"/>
        <color theme="1"/>
        <sz val="11.0"/>
      </rPr>
      <t xml:space="preserve"> </t>
    </r>
    <r>
      <rPr>
        <rFont val="맑은 고딕"/>
        <color theme="1"/>
        <sz val="11.0"/>
      </rPr>
      <t>동의가</t>
    </r>
    <r>
      <rPr>
        <rFont val="Calibri"/>
        <color theme="1"/>
        <sz val="11.0"/>
      </rPr>
      <t xml:space="preserve"> </t>
    </r>
    <r>
      <rPr>
        <rFont val="맑은 고딕"/>
        <color theme="1"/>
        <sz val="11.0"/>
      </rPr>
      <t>반드시</t>
    </r>
    <r>
      <rPr>
        <rFont val="Calibri"/>
        <color theme="1"/>
        <sz val="11.0"/>
      </rPr>
      <t xml:space="preserve"> </t>
    </r>
    <r>
      <rPr>
        <rFont val="맑은 고딕"/>
        <color theme="1"/>
        <sz val="11.0"/>
      </rPr>
      <t>필요한</t>
    </r>
    <r>
      <rPr>
        <rFont val="Calibri"/>
        <color theme="1"/>
        <sz val="11.0"/>
      </rPr>
      <t xml:space="preserve"> </t>
    </r>
    <r>
      <rPr>
        <rFont val="맑은 고딕"/>
        <color theme="1"/>
        <sz val="11.0"/>
      </rPr>
      <t>조건은</t>
    </r>
    <r>
      <rPr>
        <rFont val="Calibri"/>
        <color theme="1"/>
        <sz val="11.0"/>
      </rPr>
      <t xml:space="preserve"> </t>
    </r>
    <r>
      <rPr>
        <rFont val="맑은 고딕"/>
        <color theme="1"/>
        <sz val="11.0"/>
      </rPr>
      <t>가명정보를</t>
    </r>
    <r>
      <rPr>
        <rFont val="Calibri"/>
        <color theme="1"/>
        <sz val="11.0"/>
      </rPr>
      <t xml:space="preserve"> </t>
    </r>
    <r>
      <rPr>
        <rFont val="맑은 고딕"/>
        <color theme="1"/>
        <sz val="11.0"/>
      </rPr>
      <t>처리하는</t>
    </r>
    <r>
      <rPr>
        <rFont val="Calibri"/>
        <color theme="1"/>
        <sz val="11.0"/>
      </rPr>
      <t xml:space="preserve"> </t>
    </r>
    <r>
      <rPr>
        <rFont val="맑은 고딕"/>
        <color theme="1"/>
        <sz val="11.0"/>
      </rPr>
      <t>목적이</t>
    </r>
    <r>
      <rPr>
        <rFont val="Calibri"/>
        <color theme="1"/>
        <sz val="11.0"/>
      </rPr>
      <t xml:space="preserve"> </t>
    </r>
    <r>
      <rPr>
        <rFont val="맑은 고딕"/>
        <color theme="1"/>
        <sz val="11.0"/>
      </rPr>
      <t>법에서</t>
    </r>
    <r>
      <rPr>
        <rFont val="Calibri"/>
        <color theme="1"/>
        <sz val="11.0"/>
      </rPr>
      <t xml:space="preserve"> </t>
    </r>
    <r>
      <rPr>
        <rFont val="맑은 고딕"/>
        <color theme="1"/>
        <sz val="11.0"/>
      </rPr>
      <t>허용하는</t>
    </r>
    <r>
      <rPr>
        <rFont val="Calibri"/>
        <color theme="1"/>
        <sz val="11.0"/>
      </rPr>
      <t xml:space="preserve"> </t>
    </r>
    <r>
      <rPr>
        <rFont val="맑은 고딕"/>
        <color theme="1"/>
        <sz val="11.0"/>
      </rPr>
      <t>목적</t>
    </r>
    <r>
      <rPr>
        <rFont val="Calibri"/>
        <color theme="1"/>
        <sz val="11.0"/>
      </rPr>
      <t xml:space="preserve"> </t>
    </r>
    <r>
      <rPr>
        <rFont val="맑은 고딕"/>
        <color theme="1"/>
        <sz val="11.0"/>
      </rPr>
      <t>범위에</t>
    </r>
    <r>
      <rPr>
        <rFont val="Calibri"/>
        <color theme="1"/>
        <sz val="11.0"/>
      </rPr>
      <t xml:space="preserve"> </t>
    </r>
    <r>
      <rPr>
        <rFont val="맑은 고딕"/>
        <color theme="1"/>
        <sz val="11.0"/>
      </rPr>
      <t>해당하는</t>
    </r>
    <r>
      <rPr>
        <rFont val="Calibri"/>
        <color theme="1"/>
        <sz val="11.0"/>
      </rPr>
      <t xml:space="preserve"> </t>
    </r>
    <r>
      <rPr>
        <rFont val="맑은 고딕"/>
        <color theme="1"/>
        <sz val="11.0"/>
      </rPr>
      <t>경우입니다</t>
    </r>
    <r>
      <rPr>
        <rFont val="Calibri"/>
        <color theme="1"/>
        <sz val="11.0"/>
      </rPr>
      <t>.</t>
    </r>
  </si>
  <si>
    <r>
      <rPr>
        <rFont val="맑은 고딕"/>
        <color theme="1"/>
        <sz val="11.0"/>
      </rPr>
      <t>기대답변
원칙적으로</t>
    </r>
    <r>
      <rPr>
        <rFont val="MS Mincho"/>
        <color theme="1"/>
        <sz val="11.0"/>
      </rPr>
      <t> </t>
    </r>
    <r>
      <rPr>
        <rFont val="맑은 고딕"/>
        <color theme="1"/>
        <sz val="11.0"/>
      </rPr>
      <t>개인정보의</t>
    </r>
    <r>
      <rPr>
        <rFont val="MS Mincho"/>
        <color theme="1"/>
        <sz val="11.0"/>
      </rPr>
      <t> </t>
    </r>
    <r>
      <rPr>
        <rFont val="맑은 고딕"/>
        <color theme="1"/>
        <sz val="11.0"/>
      </rPr>
      <t>수집과</t>
    </r>
    <r>
      <rPr>
        <rFont val="MS Mincho"/>
        <color theme="1"/>
        <sz val="11.0"/>
      </rPr>
      <t> </t>
    </r>
    <r>
      <rPr>
        <rFont val="맑은 고딕"/>
        <color theme="1"/>
        <sz val="11.0"/>
      </rPr>
      <t>활용은</t>
    </r>
    <r>
      <rPr>
        <rFont val="MS Mincho"/>
        <color theme="1"/>
        <sz val="11.0"/>
      </rPr>
      <t> </t>
    </r>
    <r>
      <rPr>
        <rFont val="맑은 고딕"/>
        <color theme="1"/>
        <sz val="11.0"/>
      </rPr>
      <t>정보</t>
    </r>
    <r>
      <rPr>
        <rFont val="MS Mincho"/>
        <color theme="1"/>
        <sz val="11.0"/>
      </rPr>
      <t> </t>
    </r>
    <r>
      <rPr>
        <rFont val="맑은 고딕"/>
        <color theme="1"/>
        <sz val="11.0"/>
      </rPr>
      <t>주체의</t>
    </r>
    <r>
      <rPr>
        <rFont val="MS Mincho"/>
        <color theme="1"/>
        <sz val="11.0"/>
      </rPr>
      <t> </t>
    </r>
    <r>
      <rPr>
        <rFont val="맑은 고딕"/>
        <color theme="1"/>
        <sz val="11.0"/>
      </rPr>
      <t>동의를</t>
    </r>
    <r>
      <rPr>
        <rFont val="MS Mincho"/>
        <color theme="1"/>
        <sz val="11.0"/>
      </rPr>
      <t> </t>
    </r>
    <r>
      <rPr>
        <rFont val="맑은 고딕"/>
        <color theme="1"/>
        <sz val="11.0"/>
      </rPr>
      <t>받아야</t>
    </r>
    <r>
      <rPr>
        <rFont val="MS Mincho"/>
        <color theme="1"/>
        <sz val="11.0"/>
      </rPr>
      <t> </t>
    </r>
    <r>
      <rPr>
        <rFont val="맑은 고딕"/>
        <color theme="1"/>
        <sz val="11.0"/>
      </rPr>
      <t>하지만</t>
    </r>
    <r>
      <rPr>
        <rFont val="MS Mincho"/>
        <color theme="1"/>
        <sz val="11.0"/>
      </rPr>
      <t>, </t>
    </r>
    <r>
      <rPr>
        <rFont val="맑은 고딕"/>
        <color theme="1"/>
        <sz val="11.0"/>
      </rPr>
      <t>개인정보</t>
    </r>
    <r>
      <rPr>
        <rFont val="MS Mincho"/>
        <color theme="1"/>
        <sz val="11.0"/>
      </rPr>
      <t> </t>
    </r>
    <r>
      <rPr>
        <rFont val="맑은 고딕"/>
        <color theme="1"/>
        <sz val="11.0"/>
      </rPr>
      <t>보호법에</t>
    </r>
    <r>
      <rPr>
        <rFont val="MS Mincho"/>
        <color theme="1"/>
        <sz val="11.0"/>
      </rPr>
      <t> </t>
    </r>
    <r>
      <rPr>
        <rFont val="맑은 고딕"/>
        <color theme="1"/>
        <sz val="11.0"/>
      </rPr>
      <t>따라</t>
    </r>
    <r>
      <rPr>
        <rFont val="MS Mincho"/>
        <color theme="1"/>
        <sz val="11.0"/>
      </rPr>
      <t> </t>
    </r>
    <r>
      <rPr>
        <rFont val="맑은 고딕"/>
        <color theme="1"/>
        <sz val="11.0"/>
      </rPr>
      <t>가명처리를</t>
    </r>
    <r>
      <rPr>
        <rFont val="MS Mincho"/>
        <color theme="1"/>
        <sz val="11.0"/>
      </rPr>
      <t> </t>
    </r>
    <r>
      <rPr>
        <rFont val="맑은 고딕"/>
        <color theme="1"/>
        <sz val="11.0"/>
      </rPr>
      <t>하는</t>
    </r>
    <r>
      <rPr>
        <rFont val="MS Mincho"/>
        <color theme="1"/>
        <sz val="11.0"/>
      </rPr>
      <t> </t>
    </r>
    <r>
      <rPr>
        <rFont val="맑은 고딕"/>
        <color theme="1"/>
        <sz val="11.0"/>
      </rPr>
      <t>경우에는</t>
    </r>
    <r>
      <rPr>
        <rFont val="MS Mincho"/>
        <color theme="1"/>
        <sz val="11.0"/>
      </rPr>
      <t> </t>
    </r>
    <r>
      <rPr>
        <rFont val="맑은 고딕"/>
        <color theme="1"/>
        <sz val="11.0"/>
      </rPr>
      <t>특정</t>
    </r>
    <r>
      <rPr>
        <rFont val="MS Mincho"/>
        <color theme="1"/>
        <sz val="11.0"/>
      </rPr>
      <t> </t>
    </r>
    <r>
      <rPr>
        <rFont val="맑은 고딕"/>
        <color theme="1"/>
        <sz val="11.0"/>
      </rPr>
      <t>목적</t>
    </r>
    <r>
      <rPr>
        <rFont val="MS Mincho"/>
        <color theme="1"/>
        <sz val="11.0"/>
      </rPr>
      <t>(</t>
    </r>
    <r>
      <rPr>
        <rFont val="맑은 고딕"/>
        <color theme="1"/>
        <sz val="11.0"/>
      </rPr>
      <t>통계</t>
    </r>
    <r>
      <rPr>
        <rFont val="MS Mincho"/>
        <color theme="1"/>
        <sz val="11.0"/>
      </rPr>
      <t> </t>
    </r>
    <r>
      <rPr>
        <rFont val="맑은 고딕"/>
        <color theme="1"/>
        <sz val="11.0"/>
      </rPr>
      <t>작성</t>
    </r>
    <r>
      <rPr>
        <rFont val="MS Mincho"/>
        <color theme="1"/>
        <sz val="11.0"/>
      </rPr>
      <t>, </t>
    </r>
    <r>
      <rPr>
        <rFont val="맑은 고딕"/>
        <color theme="1"/>
        <sz val="11.0"/>
      </rPr>
      <t>과학적</t>
    </r>
    <r>
      <rPr>
        <rFont val="MS Mincho"/>
        <color theme="1"/>
        <sz val="11.0"/>
      </rPr>
      <t> </t>
    </r>
    <r>
      <rPr>
        <rFont val="맑은 고딕"/>
        <color theme="1"/>
        <sz val="11.0"/>
      </rPr>
      <t>연구</t>
    </r>
    <r>
      <rPr>
        <rFont val="MS Mincho"/>
        <color theme="1"/>
        <sz val="11.0"/>
      </rPr>
      <t>, </t>
    </r>
    <r>
      <rPr>
        <rFont val="맑은 고딕"/>
        <color theme="1"/>
        <sz val="11.0"/>
      </rPr>
      <t>공익적</t>
    </r>
    <r>
      <rPr>
        <rFont val="MS Mincho"/>
        <color theme="1"/>
        <sz val="11.0"/>
      </rPr>
      <t> </t>
    </r>
    <r>
      <rPr>
        <rFont val="맑은 고딕"/>
        <color theme="1"/>
        <sz val="11.0"/>
      </rPr>
      <t>기록보존</t>
    </r>
    <r>
      <rPr>
        <rFont val="MS Mincho"/>
        <color theme="1"/>
        <sz val="11.0"/>
      </rPr>
      <t> </t>
    </r>
    <r>
      <rPr>
        <rFont val="맑은 고딕"/>
        <color theme="1"/>
        <sz val="11.0"/>
      </rPr>
      <t>목적</t>
    </r>
    <r>
      <rPr>
        <rFont val="MS Mincho"/>
        <color theme="1"/>
        <sz val="11.0"/>
      </rPr>
      <t> </t>
    </r>
    <r>
      <rPr>
        <rFont val="맑은 고딕"/>
        <color theme="1"/>
        <sz val="11.0"/>
      </rPr>
      <t>등</t>
    </r>
    <r>
      <rPr>
        <rFont val="MS Mincho"/>
        <color theme="1"/>
        <sz val="11.0"/>
      </rPr>
      <t>)</t>
    </r>
    <r>
      <rPr>
        <rFont val="맑은 고딕"/>
        <color theme="1"/>
        <sz val="11.0"/>
      </rPr>
      <t>을</t>
    </r>
    <r>
      <rPr>
        <rFont val="MS Mincho"/>
        <color theme="1"/>
        <sz val="11.0"/>
      </rPr>
      <t> </t>
    </r>
    <r>
      <rPr>
        <rFont val="맑은 고딕"/>
        <color theme="1"/>
        <sz val="11.0"/>
      </rPr>
      <t>위해</t>
    </r>
    <r>
      <rPr>
        <rFont val="MS Mincho"/>
        <color theme="1"/>
        <sz val="11.0"/>
      </rPr>
      <t> </t>
    </r>
    <r>
      <rPr>
        <rFont val="맑은 고딕"/>
        <color theme="1"/>
        <sz val="11.0"/>
      </rPr>
      <t>개인정보</t>
    </r>
    <r>
      <rPr>
        <rFont val="MS Mincho"/>
        <color theme="1"/>
        <sz val="11.0"/>
      </rPr>
      <t> </t>
    </r>
    <r>
      <rPr>
        <rFont val="맑은 고딕"/>
        <color theme="1"/>
        <sz val="11.0"/>
      </rPr>
      <t>주체의</t>
    </r>
    <r>
      <rPr>
        <rFont val="MS Mincho"/>
        <color theme="1"/>
        <sz val="11.0"/>
      </rPr>
      <t> </t>
    </r>
    <r>
      <rPr>
        <rFont val="맑은 고딕"/>
        <color theme="1"/>
        <sz val="11.0"/>
      </rPr>
      <t>별도</t>
    </r>
    <r>
      <rPr>
        <rFont val="MS Mincho"/>
        <color theme="1"/>
        <sz val="11.0"/>
      </rPr>
      <t> </t>
    </r>
    <r>
      <rPr>
        <rFont val="맑은 고딕"/>
        <color theme="1"/>
        <sz val="11.0"/>
      </rPr>
      <t>동의</t>
    </r>
    <r>
      <rPr>
        <rFont val="MS Mincho"/>
        <color theme="1"/>
        <sz val="11.0"/>
      </rPr>
      <t> </t>
    </r>
    <r>
      <rPr>
        <rFont val="맑은 고딕"/>
        <color theme="1"/>
        <sz val="11.0"/>
      </rPr>
      <t>없이</t>
    </r>
    <r>
      <rPr>
        <rFont val="MS Mincho"/>
        <color theme="1"/>
        <sz val="11.0"/>
      </rPr>
      <t> </t>
    </r>
    <r>
      <rPr>
        <rFont val="맑은 고딕"/>
        <color theme="1"/>
        <sz val="11.0"/>
      </rPr>
      <t>가능합니다</t>
    </r>
    <r>
      <rPr>
        <rFont val="MS Mincho"/>
        <color theme="1"/>
        <sz val="11.0"/>
      </rPr>
      <t>. </t>
    </r>
    <r>
      <rPr>
        <rFont val="맑은 고딕"/>
        <color theme="1"/>
        <sz val="11.0"/>
      </rPr>
      <t>다만</t>
    </r>
    <r>
      <rPr>
        <rFont val="MS Mincho"/>
        <color theme="1"/>
        <sz val="11.0"/>
      </rPr>
      <t>, </t>
    </r>
    <r>
      <rPr>
        <rFont val="맑은 고딕"/>
        <color theme="1"/>
        <sz val="11.0"/>
      </rPr>
      <t>가명처리를</t>
    </r>
    <r>
      <rPr>
        <rFont val="MS Mincho"/>
        <color theme="1"/>
        <sz val="11.0"/>
      </rPr>
      <t> </t>
    </r>
    <r>
      <rPr>
        <rFont val="맑은 고딕"/>
        <color theme="1"/>
        <sz val="11.0"/>
      </rPr>
      <t>진행할</t>
    </r>
    <r>
      <rPr>
        <rFont val="MS Mincho"/>
        <color theme="1"/>
        <sz val="11.0"/>
      </rPr>
      <t> </t>
    </r>
    <r>
      <rPr>
        <rFont val="맑은 고딕"/>
        <color theme="1"/>
        <sz val="11.0"/>
      </rPr>
      <t>때는</t>
    </r>
    <r>
      <rPr>
        <rFont val="MS Mincho"/>
        <color theme="1"/>
        <sz val="11.0"/>
      </rPr>
      <t> </t>
    </r>
    <r>
      <rPr>
        <rFont val="맑은 고딕"/>
        <color theme="1"/>
        <sz val="11.0"/>
      </rPr>
      <t>개인정보</t>
    </r>
    <r>
      <rPr>
        <rFont val="MS Mincho"/>
        <color theme="1"/>
        <sz val="11.0"/>
      </rPr>
      <t> </t>
    </r>
    <r>
      <rPr>
        <rFont val="맑은 고딕"/>
        <color theme="1"/>
        <sz val="11.0"/>
      </rPr>
      <t>처리</t>
    </r>
    <r>
      <rPr>
        <rFont val="MS Mincho"/>
        <color theme="1"/>
        <sz val="11.0"/>
      </rPr>
      <t> </t>
    </r>
    <r>
      <rPr>
        <rFont val="맑은 고딕"/>
        <color theme="1"/>
        <sz val="11.0"/>
      </rPr>
      <t>과정이</t>
    </r>
    <r>
      <rPr>
        <rFont val="MS Mincho"/>
        <color theme="1"/>
        <sz val="11.0"/>
      </rPr>
      <t> </t>
    </r>
    <r>
      <rPr>
        <rFont val="맑은 고딕"/>
        <color theme="1"/>
        <sz val="11.0"/>
      </rPr>
      <t>명확하고</t>
    </r>
    <r>
      <rPr>
        <rFont val="MS Mincho"/>
        <color theme="1"/>
        <sz val="11.0"/>
      </rPr>
      <t> </t>
    </r>
    <r>
      <rPr>
        <rFont val="맑은 고딕"/>
        <color theme="1"/>
        <sz val="11.0"/>
      </rPr>
      <t>합법적인</t>
    </r>
    <r>
      <rPr>
        <rFont val="MS Mincho"/>
        <color theme="1"/>
        <sz val="11.0"/>
      </rPr>
      <t> </t>
    </r>
    <r>
      <rPr>
        <rFont val="맑은 고딕"/>
        <color theme="1"/>
        <sz val="11.0"/>
      </rPr>
      <t>목적에</t>
    </r>
    <r>
      <rPr>
        <rFont val="MS Mincho"/>
        <color theme="1"/>
        <sz val="11.0"/>
      </rPr>
      <t> </t>
    </r>
    <r>
      <rPr>
        <rFont val="맑은 고딕"/>
        <color theme="1"/>
        <sz val="11.0"/>
      </rPr>
      <t>부합하는지</t>
    </r>
    <r>
      <rPr>
        <rFont val="MS Mincho"/>
        <color theme="1"/>
        <sz val="11.0"/>
      </rPr>
      <t>, </t>
    </r>
    <r>
      <rPr>
        <rFont val="맑은 고딕"/>
        <color theme="1"/>
        <sz val="11.0"/>
      </rPr>
      <t>또한</t>
    </r>
    <r>
      <rPr>
        <rFont val="MS Mincho"/>
        <color theme="1"/>
        <sz val="11.0"/>
      </rPr>
      <t> </t>
    </r>
    <r>
      <rPr>
        <rFont val="맑은 고딕"/>
        <color theme="1"/>
        <sz val="11.0"/>
      </rPr>
      <t>안전성</t>
    </r>
    <r>
      <rPr>
        <rFont val="MS Mincho"/>
        <color theme="1"/>
        <sz val="11.0"/>
      </rPr>
      <t> </t>
    </r>
    <r>
      <rPr>
        <rFont val="맑은 고딕"/>
        <color theme="1"/>
        <sz val="11.0"/>
      </rPr>
      <t>확보를</t>
    </r>
    <r>
      <rPr>
        <rFont val="MS Mincho"/>
        <color theme="1"/>
        <sz val="11.0"/>
      </rPr>
      <t> </t>
    </r>
    <r>
      <rPr>
        <rFont val="맑은 고딕"/>
        <color theme="1"/>
        <sz val="11.0"/>
      </rPr>
      <t>위한</t>
    </r>
    <r>
      <rPr>
        <rFont val="MS Mincho"/>
        <color theme="1"/>
        <sz val="11.0"/>
      </rPr>
      <t> </t>
    </r>
    <r>
      <rPr>
        <rFont val="맑은 고딕"/>
        <color theme="1"/>
        <sz val="11.0"/>
      </rPr>
      <t>기술적</t>
    </r>
    <r>
      <rPr>
        <rFont val="MS Mincho"/>
        <color theme="1"/>
        <sz val="11.0"/>
      </rPr>
      <t>, </t>
    </r>
    <r>
      <rPr>
        <rFont val="맑은 고딕"/>
        <color theme="1"/>
        <sz val="11.0"/>
      </rPr>
      <t>관리적</t>
    </r>
    <r>
      <rPr>
        <rFont val="MS Mincho"/>
        <color theme="1"/>
        <sz val="11.0"/>
      </rPr>
      <t> </t>
    </r>
    <r>
      <rPr>
        <rFont val="맑은 고딕"/>
        <color theme="1"/>
        <sz val="11.0"/>
      </rPr>
      <t>조치가</t>
    </r>
    <r>
      <rPr>
        <rFont val="MS Mincho"/>
        <color theme="1"/>
        <sz val="11.0"/>
      </rPr>
      <t> </t>
    </r>
    <r>
      <rPr>
        <rFont val="맑은 고딕"/>
        <color theme="1"/>
        <sz val="11.0"/>
      </rPr>
      <t>충분히</t>
    </r>
    <r>
      <rPr>
        <rFont val="MS Mincho"/>
        <color theme="1"/>
        <sz val="11.0"/>
      </rPr>
      <t> </t>
    </r>
    <r>
      <rPr>
        <rFont val="맑은 고딕"/>
        <color theme="1"/>
        <sz val="11.0"/>
      </rPr>
      <t>마련되었는지</t>
    </r>
    <r>
      <rPr>
        <rFont val="MS Mincho"/>
        <color theme="1"/>
        <sz val="11.0"/>
      </rPr>
      <t> </t>
    </r>
    <r>
      <rPr>
        <rFont val="맑은 고딕"/>
        <color theme="1"/>
        <sz val="11.0"/>
      </rPr>
      <t>등의</t>
    </r>
    <r>
      <rPr>
        <rFont val="MS Mincho"/>
        <color theme="1"/>
        <sz val="11.0"/>
      </rPr>
      <t> </t>
    </r>
    <r>
      <rPr>
        <rFont val="맑은 고딕"/>
        <color theme="1"/>
        <sz val="11.0"/>
      </rPr>
      <t>조건을</t>
    </r>
    <r>
      <rPr>
        <rFont val="MS Mincho"/>
        <color theme="1"/>
        <sz val="11.0"/>
      </rPr>
      <t> </t>
    </r>
    <r>
      <rPr>
        <rFont val="맑은 고딕"/>
        <color theme="1"/>
        <sz val="11.0"/>
      </rPr>
      <t>충족해야</t>
    </r>
    <r>
      <rPr>
        <rFont val="MS Mincho"/>
        <color theme="1"/>
        <sz val="11.0"/>
      </rPr>
      <t> </t>
    </r>
    <r>
      <rPr>
        <rFont val="맑은 고딕"/>
        <color theme="1"/>
        <sz val="11.0"/>
      </rPr>
      <t>합니다</t>
    </r>
    <r>
      <rPr>
        <rFont val="MS Mincho"/>
        <color theme="1"/>
        <sz val="11.0"/>
      </rPr>
      <t xml:space="preserve">.
</t>
    </r>
    <r>
      <rPr>
        <rFont val="MS Mincho"/>
        <color theme="1"/>
        <sz val="11.0"/>
      </rPr>
      <t xml:space="preserve">
</t>
    </r>
    <r>
      <rPr>
        <rFont val="맑은 고딕"/>
        <color theme="1"/>
        <sz val="11.0"/>
      </rPr>
      <t>링크 : 가명정보</t>
    </r>
    <r>
      <rPr>
        <rFont val="MS Mincho"/>
        <color theme="1"/>
        <sz val="11.0"/>
      </rPr>
      <t> </t>
    </r>
    <r>
      <rPr>
        <rFont val="맑은 고딕"/>
        <color theme="1"/>
        <sz val="11.0"/>
      </rPr>
      <t>처리</t>
    </r>
    <r>
      <rPr>
        <rFont val="MS Mincho"/>
        <color theme="1"/>
        <sz val="11.0"/>
      </rPr>
      <t> </t>
    </r>
    <r>
      <rPr>
        <rFont val="맑은 고딕"/>
        <color theme="1"/>
        <sz val="11.0"/>
      </rPr>
      <t>가이드라인</t>
    </r>
    <r>
      <rPr>
        <rFont val="MS Mincho"/>
        <color theme="1"/>
        <sz val="11.0"/>
      </rPr>
      <t>(2024.2)</t>
    </r>
  </si>
  <si>
    <t>기대답변:
 가명정보 처리 시 개인정보 주체의 동의 필요 여부
 1. 동의가 필요하지 않은 경우
  - 법적 근거: 개인정보처리자는 통계작성, 과학적 연구, 공익적 기록보존 등을 위하여 정보주체의 동의 없이 가명정보를 이용, 제공, 결합 등 처리할 수 있습니다. (보호법 제28조의2 제1항, 제28조의3 제1항)
  - 적용 범위: 위의 목적에 해당하는 경우, 정보주체의 동의 없이도 가명정보 처리가 가능합니다.
 2. 주의사항
  - 처리 목적 설정: 가명정보 처리는 반드시 통계작성, 과학적 연구, 공익적 기록보존 등의 목적에 한정됩니다. 처리 목적이 설정되지 않은 상황에서 개인정보를 가명처리하여 보관하는 것은 허용되지 않습니다.
  - 불특정 제3자에게 제공 시: 불특정 제3자에게 제공하는 경우(공개 등)에는 익명정보로 처리하는 것을 원칙으로 합니다.
 3. 결론
  - 동의 불필요: 통계작성, 과학적 연구, 공익적 기록보존 등의 목적에 해당하는 가명정보 처리 시에는 정보주체의 동의가 반드시 필요하지 않습니다.
  - 목적 한정: 처리 목적이 설정되지 않은 상황에서 개인정보를 가명처리하여 보관하는 것은 허용되지 않습니다.
 이러한 규정에 따라 가명정보 처리를 통해 개인정보 보호와 데이터 활용의 균형을 유지할 수 있습니다.</t>
  </si>
  <si>
    <r>
      <rPr>
        <rFont val="맑은 고딕"/>
        <b/>
        <color theme="1"/>
        <sz val="11.0"/>
      </rPr>
      <t>150_2402_빅데이터과_기타_개인정보보호위원회_가명정보_처리_가이드라인.pdf[11]</t>
    </r>
    <r>
      <rPr>
        <rFont val="맑은 고딕"/>
        <color theme="1"/>
        <sz val="11.0"/>
      </rPr>
      <t xml:space="preserve">
-----
가명정보 처리 가이드라인 제2장. 가명처리 및 가명정보의 처리 2 제 장 가명처리 및 가명정보의 처리 1 개요 &lt;table border="1" class="table table-striped table-hover"&gt;&lt;thead&gt;&lt;tr&gt;&lt;th&gt;개인정보살아있는 개인에 관한정보로 성명, 주민등록번호,영상 등 개인을 알아볼 수있는 정보성명 홍길동나이 32세전화번호 010-1234-5678주소 서울 종로구 한글길 12&lt;/th&gt;&lt;th&gt;가명정보개인정보의 일부 또는 전부를삭제·대체하는 등 가명처리를통해 추가정보 없이는 특정개인을 알아볼 수 없는 정보성명 홍○○나이 30대 초반전화번호 010-**** -****주소 서울특별시&lt;/th&gt;&lt;/tr&gt;&lt;/thead&gt;&lt;tbody&gt;&lt;/tbody&gt;&lt;/table&gt; 시간·비용·기술 등을 합리적 으로 고려할 때 다른 정보를 사용하여도 더 이상 개인을 알아볼 수 없는 정보 알아볼 수 없는 정보 성명 (삭제) 나이 30대 전화번호 (삭제) 주소 대한민국 개 인정보처리자는 통계작성, 과학적 연구, 공익적 기록보존 등을 위하여 정보주체의 동의 없이</t>
    </r>
    <r>
      <rPr>
        <rFont val="맑은 고딕"/>
        <color rgb="FFFF0000"/>
        <sz val="11.0"/>
      </rPr>
      <t xml:space="preserve"> 개 인정보처리자는 통계작성, 과학적 연구, 공익적 기록보존 등을 위하여 정보주체의 동의 없 가명정보를 이용, 제공, 결합 등 처리 할 수 있음</t>
    </r>
    <r>
      <rPr>
        <rFont val="맑은 고딕"/>
        <color theme="1"/>
        <sz val="11.0"/>
      </rPr>
      <t>(보호법 제28조의2 제1항, 제28조의3 제1항) 가명정보를 이용, 제공, 결합 등 처리 할 수 있음(보호법 제28조의2 제1항, 제28조의3 제1항) ※ ( 주의「) 가명정보 처리에 관한 특례」에 따라 정보주체의 동의 없이 처리가 가능한 가명정보는 통계작성, ( 주의「) 가명정보 처리에 관한 특례」에 따라 정보주체의 동의 없이 처리가 가능한 가명정보는 통계작 과학적 연구, 공익적 기록보존 등 목적에 한정되므로 처리 목적이 설정되지 않은 상황에서 보유하고 과학적 연구, 공익적 기록보존 등 목적에 한정되므로 처리 목적이 설정되지 않은 상황에서 보유하고 있는 개인정보를 가명처리하여 보관하는 것은「 가명정보 처리에 관한 특례」에 근거한 처리로 볼 수 없음 있는 개인정보를 가명처리하여 보관하는 것은「 가명정보 처리에 관한 특례」에 근거 ※ 불특정 제3자에게 제공하는 경우(공개 등) 익명정보로 처리하는 것을 원칙으로 함 제28조의2(가명정보의 처리 등) 1 개인정보처리자는 통계작성, 과학적 연구, 공익적 기록보존 제28조의2(가명정보의 처리 등) 1 개인정보처리자는 통계작성 등을 위하여 정보주체의 동의 없이 가명정보를 처리할 수 있다. 등을 위하여 정보주체의 동의 없이 가명정보를 처리할 수 있다. 제28조의3(가명정보의 결합 제한) 1 제28조의2에도 불구하고 통계작성, 과학적 연구, 공익적 제28조의3(가명정보의 결합 제한) 1 제28조의2에도 불구하고 통계작성, 과학적 연구, 공익적 기록보존 등을 위한 서로 다른 개인정보처리자 간의 가명정보의 결합은 보호위원회 또는 관계 기록보존 등을 위한 서로 다른 개인정보처리자 간의 가 중앙행정기관의 장이 지정하는 전문기관이 수행한다. 9</t>
    </r>
  </si>
  <si>
    <r>
      <rPr>
        <rFont val="맑은 고딕"/>
        <b/>
        <color theme="1"/>
        <sz val="11.0"/>
      </rPr>
      <t>150_2402_빅데이터과_기타_개인정보보호위원회_가명정보_처리_가이드라인.pdf[39]</t>
    </r>
    <r>
      <rPr>
        <rFont val="맑은 고딕"/>
        <color theme="1"/>
        <sz val="11.0"/>
      </rPr>
      <t xml:space="preserve">
-----
제2장. 가명처리 및 가명정보의 처리 6 안전한 관리 5단계 적 정성 검토 이후 생성된 가명정보는 법에 따라 기술적·관리적·물리적 안전조치 등 사후관리를 적 정성 검토 이후 생성된 가명정보 이행하여야 함(보호법 제28조의4) 제28조의4(가명정보에 대한 안전조치의무 등) 1 개인정보처리자는 제28조의2 또는 제28조의 제28조의4(가명정보에 대한 안전조치의무 등) 1 개인정보처리자는 제28조의2 또는 제28조의 3에 따라 가명정보를 처리하는 경우에는 원래의 상태로 복원하기 위한 추가 정보를 별도로 분리 3에 따라 가명정보를 처리하는 경우에는 원래의 상태로 복원하기 위한 추가 정보를 별도로 분리 하여 보관·관리하는 등 해당 정보가 분실·도난·유출·위조·변조 또는 훼손되지 않도록 대통령령 하여 보관·관리하는 등 해당 정보가 분실·도난·유출·위조·변조 또는 훼손되지 않도록 대통령 으로 정하는 바에 따라 안전성 확보에 필요한 기술적·관리적 및 물리적 조치를 하여야 한다. 으로 정하는 바에 따라 안전성 확보에 필요한 기술적·관리적 및 물리적 조치를 하여야 한다. 2 개인정보처리자는 제28조의2 또는 제28조의3에 따라 가명정보를 처리하는 경우 처리목적 2 개인정보처리자는 제28조의2 또는 제28조의3에 따라 가 등을 고려하여 가명정보의 처리 기간을 별도로 정할 수 있다. 등을 고려하여 가명정보의 처리 기간을 별도로 정할 수 있다. 3 개인정보처리자는 제28조의2 또는 제28조의3에 따라 가명정보를 처리하고자 하는 경우에 3 개인정보처리자는 제28조의2 또는 제28조의3에 따라 가명정보를 처리하고자 하는 경우에 는 가명정보의 처리목적, 제3자 제공 시 제공받는 자, 가명정보의 처리 기간(제2항에 따라 처리 는 가명정보의 처리목적, 제3자 제공 시 제공받는 자, 가명정보의 처리 기간(제2항에 따라 처리 기간을 별도로 정한 경우에 한한다) 등 가명정보의 처리 내용을 관리하기 위하여 대통령령으로 기간을 별도로 정한 경우에 한한다) 등 가명정보의 처리 내용을 관리하기 위하여 대통령령으로 정하는 사항에 대한 관련 기록을 작성하여 보관하여야 하며, 가명정보를 파기한 경우에는 파기한 정하는 사항에 대한 관련 기록을 작 날부터 3년 이상 보관하여야 한다. ※ 구체적 내용은 [제4장 안전성 확보 조치] (77p) 참고 1. 재식별 금지 및 재식별 가능성 모니터링 식별 금지 및 재식별 가능성 모니터링 제 28조의2 또는 제28조의3에 따라 가명정보를 처리하는 자는 특정 개인을 알아보기 위한 목적으로 제 28조의2 또는 제28조의3에 따라 가명정보를 처리하는 자는 특정 개인을 알아보기 위한 목적으로 가명정보를 처리해서는 아니 되며(보호법 제28조의5 제1항), 가명정보 처리 과정에서 우연히 특정 가명정보를 처리해서는 아니 되며(보호법 제28조의5 제1항), 가명정보 처리 과정에서 우연히 특정 개인이 식별되는 경우 처리중지, 회수, 파기 등과 같이 위험을 제거하기 위한 적절한 조치를 즉시 개인이 식별되는 경우 처리중지, 회수, 파기 수행하여야 함(보호법 제28조의5 제2항) 제28조의5(가명정보 처리 시 금지의무 등) 1 제28조의2 또는 제28조의3에 따라 가명정보를 제28조의5(가명정보 처리 시 금지의무 등) 1 제28조의2 또는 제28조의3에 따라 가명정 처리하는 자는 특정 개인을 알아보기 위한 목적으로 가명정보를 처리해서는 아니 된다. 처리하는 자는 특정 개인을 알아보기 위한 목적으로 가명정보를 처리해서는 아니 된다. 2 개인정보처리자는 제28조의2 또는 제28조의3에 따라 가명정보를 처리하는 과정에서 특정 2 개인정보처리자는 제28조의2 또는 제28조의3에 따라 가명정보를 처리하는 과정에서 특정 개인을 알아볼 수 있는 정보가 생성된 경우에는 즉시 해당 정보의 처리를 중지하고, 지체 없이 개인을 알아볼 수 있는 정 회수·파기하여야 한다. 또 한, 개인정보처리자는 가명정보 처리 과정에서 특정 개인이 식별될 위험이 있는지 여부를 또 한, 개인정보처리자는 가명정보 처리 과정에서 특정 개인이 식별 지속적으로 모니터링 하는 등 가명정보를 안전하게 처리하여야 함 지속적으로 모니터링 하는 등 가명정보를 안전하게 처리하여야 함 ※ 가 명처리 기술의 취약점으로 인한 재식별 가능성 및 다른 정보와 결합 시 재식별가능성이 있는 새로운 가 명처리 기술의 취약점으 공개데이터의 발생 여부 37</t>
    </r>
  </si>
  <si>
    <r>
      <rPr>
        <rFont val="맑은 고딕"/>
        <b/>
        <color theme="1"/>
        <sz val="11.0"/>
      </rPr>
      <t>150_2402_빅데이터과_기타_개인정보보호위원회_가명정보_처리_가이드라인.pdf[239]</t>
    </r>
    <r>
      <rPr>
        <rFont val="맑은 고딕"/>
        <color theme="1"/>
        <sz val="11.0"/>
      </rPr>
      <t xml:space="preserve">
-----
부록4 Q 가명정보의 유상 판매가 허용되는지 여부 가명정보의 유상 판매가 허용되는지 여부 A 가 명정보를 과학적 연구 등 법에서 허용하는 목적 범위로 제공하면서 대가를 받는 것은 가능하나, 가 명정보를 과학적 연구 등 법에서 허용하는 목적 범위로 제공하면서 대가를 받는 것 법에서 정한 목적 범위를 벗어나 판매할 목적으로 가명처리하는 것은 허용되지 않음 Q ‘ 과학적 연구’가 순수 ‘과학(Science)’과 관련한 협의의 개념인 것인지, 아니면 인간사회의 여러 현상을 연구하는 ‘사회과학(Social Science)’ 등도 포함하는 광의의 개념인 것인지 여부 현상을 연구하는 ‘사회과학(Social Science)’ 등도 포함하는 광의의 개념인 것인지 여부 A 보 호법 제2조제8호에서 규정한 ‘과학적 연구’는 순수과학 뿐만 아니라 사회과학 등 도 포함하는 보 호법 제2조제 광의의 개념임 광의의 개념임 ‘직장 내 성희롱·괴롭힘’ 등과 같은 사회의 여러 현상·사례를 체계적으로 분석하여 어떠한 결과를 ‘직장 내 성희롱·괴롭힘’ 등과 같은 사회의 여러 현상·사례를 체계적으로 분 도출하는 연구를 ‘사회과학’에 관한 연구로 보아 과학적 연구로 볼 수 있음 도출하는 연구를 ‘사회과학’에 관한 연구로 보아 과학적 연구로 볼 수 있음 과학적 방법을 적용하는 연구와 관련하여 사례분석, 설문조사 등을 통해 어떠한 결과를 도출하는 과학적 방법을 적용하는 연 것도 ‘과학적 방법’에 해당 것도 ‘과학적 방법’에 해당 사회과학은 사회의 여러 현상·사례를 체계적으로 분석하여 결과를 도출하는 연구를 말하며 ‘직장 사회과학은 사회의 여러 현상·사례를 체계적으로 분석하여 결과를 도출하는 연구를 내 성희롱·괴롭힘’ 이라는 사례를 분석·연구하고자 하는 경우도 사회과학으로 해석 Q A부서에서 수집한 개인정보를 B부서에서 익명처리하여 수집 목적 외로 처리할 수 있는지 여부 A부서에서 수집한 개인정보를 B부서에서 익명처리하여 수집 목적 외로 처리할 수 있는지 여부 A B 부서가 A부서에서 수집한 개인정보에 대한 접근 권한이 있으며, 처리한 정보가 익명정보에 B 부서가 A부서에서 수집한 개인정보에 대한 접근 권한이 있으며, 처리한 정보가 익명정 해당한다면 개인정보 보호법 제58조의2에 따라 개인정보 보호법의 적용을 받지 않음. 해당한다면 개인정보 보호법 제58조의2에 따라 개인정보 보호법의 적용을 받지 않음. 개인정보 보호법의 적용이 제외되는 범위는 제58조의2에 따른 정보를 처리하는 경우 뿐 아니라, </t>
    </r>
    <r>
      <rPr>
        <rFont val="맑은 고딕"/>
        <color rgb="FFFF0000"/>
        <sz val="11.0"/>
      </rPr>
      <t>개인정보 보호법의 적용이 제외되는 범위는 제58조의2에 따른 정보를 처리하는 경우 뿐 아니라, 개인정보를 다른 정보를 사용하여도 더 이상 개인을 알아볼 수 없도록 처리하는 경우까지 포함. 개인정보를 다른 정보를 사용하여도 더 이상 개인을 알아볼 수 없도록 처리하는 경우까지 포함. 따라서 개인정보처리자가 이러한 정보 생성을 위해 개인정보를 처리하는 경우에는 정보주체의 따라서 개인정보처리자가 동의를 받을 필요가 없음</t>
    </r>
    <r>
      <rPr>
        <rFont val="맑은 고딕"/>
        <color theme="1"/>
        <sz val="11.0"/>
      </rPr>
      <t xml:space="preserve"> 동의를 받을 필요가 없음 다만 해당 정보가 시간·비용·기술 등을 합리적으로 고려할 때 다른 정보를 사용하여도 더 이상 다만 해당 정보가 시간·비용·기술 등을 합리적으로 고려할 때 다른 정보를 사용하여도 더 이상 개인을 알아볼 수 없는 정보에 해당하는지는 제공받는 자의 처리목적, 이용 또는 제공환경, 정보의 개인을 알아볼 수 없는 정보에 해당하는지는 제 특성 등을 종합적으로 고려하여 판단하여야 함 Q 가명정보에서 추가정보를 삭제할 경우 익명정보로 볼 수 있는지 여부 가명정보에서 추가정보를 삭제할 경우 익명정보로 볼 수 있는지 여부 A 추 가정보가 삭제된 가명정보가 그 자체만으로 개인을 알아볼 수 없는 정보라고 하더라도 추 가정보가 삭제된 가명정보가 그 자체만으로 개인을 알아볼 수 없는 정보라고 하더라도 익명정보인지 여부는 시간·비용·기술 등을 합리적으로 고려하여 별도로 판단하여야 함 237</t>
    </r>
  </si>
  <si>
    <r>
      <rPr>
        <rFont val="맑은 고딕"/>
        <color rgb="FF000000"/>
        <sz val="11.0"/>
      </rPr>
      <t>가명정보를</t>
    </r>
    <r>
      <rPr>
        <rFont val="MS Mincho"/>
        <color rgb="FF000000"/>
        <sz val="11.0"/>
      </rPr>
      <t> </t>
    </r>
    <r>
      <rPr>
        <rFont val="맑은 고딕"/>
        <color rgb="FF000000"/>
        <sz val="11.0"/>
      </rPr>
      <t>제</t>
    </r>
    <r>
      <rPr>
        <rFont val="MS Mincho"/>
        <color rgb="FF000000"/>
        <sz val="11.0"/>
      </rPr>
      <t>3</t>
    </r>
    <r>
      <rPr>
        <rFont val="맑은 고딕"/>
        <color rgb="FF000000"/>
        <sz val="11.0"/>
      </rPr>
      <t>자에게</t>
    </r>
    <r>
      <rPr>
        <rFont val="MS Mincho"/>
        <color rgb="FF000000"/>
        <sz val="11.0"/>
      </rPr>
      <t> </t>
    </r>
    <r>
      <rPr>
        <rFont val="맑은 고딕"/>
        <color rgb="FF000000"/>
        <sz val="11.0"/>
      </rPr>
      <t>제공할</t>
    </r>
    <r>
      <rPr>
        <rFont val="MS Mincho"/>
        <color rgb="FF000000"/>
        <sz val="11.0"/>
      </rPr>
      <t> </t>
    </r>
    <r>
      <rPr>
        <rFont val="맑은 고딕"/>
        <color rgb="FF000000"/>
        <sz val="11.0"/>
      </rPr>
      <t>때</t>
    </r>
    <r>
      <rPr>
        <rFont val="MS Mincho"/>
        <color rgb="FF000000"/>
        <sz val="11.0"/>
      </rPr>
      <t> </t>
    </r>
    <r>
      <rPr>
        <rFont val="맑은 고딕"/>
        <color rgb="FF000000"/>
        <sz val="11.0"/>
      </rPr>
      <t>특별한</t>
    </r>
    <r>
      <rPr>
        <rFont val="MS Mincho"/>
        <color rgb="FF000000"/>
        <sz val="11.0"/>
      </rPr>
      <t> </t>
    </r>
    <r>
      <rPr>
        <rFont val="맑은 고딕"/>
        <color rgb="FF000000"/>
        <sz val="11.0"/>
      </rPr>
      <t>조치가</t>
    </r>
    <r>
      <rPr>
        <rFont val="MS Mincho"/>
        <color rgb="FF000000"/>
        <sz val="11.0"/>
      </rPr>
      <t> </t>
    </r>
    <r>
      <rPr>
        <rFont val="맑은 고딕"/>
        <color rgb="FF000000"/>
        <sz val="11.0"/>
      </rPr>
      <t>필요한가요</t>
    </r>
    <r>
      <rPr>
        <rFont val="MS Mincho"/>
        <color rgb="FF000000"/>
        <sz val="11.0"/>
      </rPr>
      <t>?</t>
    </r>
  </si>
  <si>
    <t>개인정보를 가명정보로 처리한 후 제3자에게 제공할 때, 관련 법령과 내부 지침에서 요구하는 안전조치, 계약 체결, 관리·감독 절차 등 특별한 조치는 무엇인가요?</t>
  </si>
  <si>
    <r>
      <rPr>
        <rFont val="맑은 고딕"/>
        <color theme="1"/>
        <sz val="11.0"/>
      </rPr>
      <t>가명정보를</t>
    </r>
    <r>
      <rPr>
        <rFont val="Calibri"/>
        <color theme="1"/>
        <sz val="11.0"/>
      </rPr>
      <t xml:space="preserve"> </t>
    </r>
    <r>
      <rPr>
        <rFont val="맑은 고딕"/>
        <color theme="1"/>
        <sz val="11.0"/>
      </rPr>
      <t>제</t>
    </r>
    <r>
      <rPr>
        <rFont val="Calibri"/>
        <color theme="1"/>
        <sz val="11.0"/>
      </rPr>
      <t>3</t>
    </r>
    <r>
      <rPr>
        <rFont val="맑은 고딕"/>
        <color theme="1"/>
        <sz val="11.0"/>
      </rPr>
      <t>자에게</t>
    </r>
    <r>
      <rPr>
        <rFont val="Calibri"/>
        <color theme="1"/>
        <sz val="11.0"/>
      </rPr>
      <t xml:space="preserve"> </t>
    </r>
    <r>
      <rPr>
        <rFont val="맑은 고딕"/>
        <color theme="1"/>
        <sz val="11.0"/>
      </rPr>
      <t>제공할</t>
    </r>
    <r>
      <rPr>
        <rFont val="Calibri"/>
        <color theme="1"/>
        <sz val="11.0"/>
      </rPr>
      <t xml:space="preserve"> </t>
    </r>
    <r>
      <rPr>
        <rFont val="맑은 고딕"/>
        <color theme="1"/>
        <sz val="11.0"/>
      </rPr>
      <t>때는</t>
    </r>
    <r>
      <rPr>
        <rFont val="Calibri"/>
        <color theme="1"/>
        <sz val="11.0"/>
      </rPr>
      <t xml:space="preserve"> </t>
    </r>
    <r>
      <rPr>
        <rFont val="맑은 고딕"/>
        <color theme="1"/>
        <sz val="11.0"/>
      </rPr>
      <t>가명정보의</t>
    </r>
    <r>
      <rPr>
        <rFont val="Calibri"/>
        <color theme="1"/>
        <sz val="11.0"/>
      </rPr>
      <t xml:space="preserve"> </t>
    </r>
    <r>
      <rPr>
        <rFont val="맑은 고딕"/>
        <color theme="1"/>
        <sz val="11.0"/>
      </rPr>
      <t>안전성</t>
    </r>
    <r>
      <rPr>
        <rFont val="Calibri"/>
        <color theme="1"/>
        <sz val="11.0"/>
      </rPr>
      <t xml:space="preserve"> </t>
    </r>
    <r>
      <rPr>
        <rFont val="맑은 고딕"/>
        <color theme="1"/>
        <sz val="11.0"/>
      </rPr>
      <t>확보</t>
    </r>
    <r>
      <rPr>
        <rFont val="Calibri"/>
        <color theme="1"/>
        <sz val="11.0"/>
      </rPr>
      <t xml:space="preserve"> </t>
    </r>
    <r>
      <rPr>
        <rFont val="맑은 고딕"/>
        <color theme="1"/>
        <sz val="11.0"/>
      </rPr>
      <t>조치</t>
    </r>
    <r>
      <rPr>
        <rFont val="Calibri"/>
        <color theme="1"/>
        <sz val="11.0"/>
      </rPr>
      <t xml:space="preserve">, </t>
    </r>
    <r>
      <rPr>
        <rFont val="맑은 고딕"/>
        <color theme="1"/>
        <sz val="11.0"/>
      </rPr>
      <t>재식별</t>
    </r>
    <r>
      <rPr>
        <rFont val="Calibri"/>
        <color theme="1"/>
        <sz val="11.0"/>
      </rPr>
      <t xml:space="preserve"> </t>
    </r>
    <r>
      <rPr>
        <rFont val="맑은 고딕"/>
        <color theme="1"/>
        <sz val="11.0"/>
      </rPr>
      <t>금지</t>
    </r>
    <r>
      <rPr>
        <rFont val="Calibri"/>
        <color theme="1"/>
        <sz val="11.0"/>
      </rPr>
      <t xml:space="preserve">, </t>
    </r>
    <r>
      <rPr>
        <rFont val="맑은 고딕"/>
        <color theme="1"/>
        <sz val="11.0"/>
      </rPr>
      <t>계약서</t>
    </r>
    <r>
      <rPr>
        <rFont val="Calibri"/>
        <color theme="1"/>
        <sz val="11.0"/>
      </rPr>
      <t xml:space="preserve"> </t>
    </r>
    <r>
      <rPr>
        <rFont val="맑은 고딕"/>
        <color theme="1"/>
        <sz val="11.0"/>
      </rPr>
      <t>작성</t>
    </r>
    <r>
      <rPr>
        <rFont val="Calibri"/>
        <color theme="1"/>
        <sz val="11.0"/>
      </rPr>
      <t xml:space="preserve">, </t>
    </r>
    <r>
      <rPr>
        <rFont val="맑은 고딕"/>
        <color theme="1"/>
        <sz val="11.0"/>
      </rPr>
      <t>위탁</t>
    </r>
    <r>
      <rPr>
        <rFont val="Calibri"/>
        <color theme="1"/>
        <sz val="11.0"/>
      </rPr>
      <t xml:space="preserve"> </t>
    </r>
    <r>
      <rPr>
        <rFont val="맑은 고딕"/>
        <color theme="1"/>
        <sz val="11.0"/>
      </rPr>
      <t>관련</t>
    </r>
    <r>
      <rPr>
        <rFont val="Calibri"/>
        <color theme="1"/>
        <sz val="11.0"/>
      </rPr>
      <t xml:space="preserve"> </t>
    </r>
    <r>
      <rPr>
        <rFont val="맑은 고딕"/>
        <color theme="1"/>
        <sz val="11.0"/>
      </rPr>
      <t>문서</t>
    </r>
    <r>
      <rPr>
        <rFont val="Calibri"/>
        <color theme="1"/>
        <sz val="11.0"/>
      </rPr>
      <t xml:space="preserve"> </t>
    </r>
    <r>
      <rPr>
        <rFont val="맑은 고딕"/>
        <color theme="1"/>
        <sz val="11.0"/>
      </rPr>
      <t>작성</t>
    </r>
    <r>
      <rPr>
        <rFont val="Calibri"/>
        <color theme="1"/>
        <sz val="11.0"/>
      </rPr>
      <t xml:space="preserve">, </t>
    </r>
    <r>
      <rPr>
        <rFont val="맑은 고딕"/>
        <color theme="1"/>
        <sz val="11.0"/>
      </rPr>
      <t>관리</t>
    </r>
    <r>
      <rPr>
        <rFont val="Calibri"/>
        <color theme="1"/>
        <sz val="11.0"/>
      </rPr>
      <t>·</t>
    </r>
    <r>
      <rPr>
        <rFont val="맑은 고딕"/>
        <color theme="1"/>
        <sz val="11.0"/>
      </rPr>
      <t>감독</t>
    </r>
    <r>
      <rPr>
        <rFont val="Calibri"/>
        <color theme="1"/>
        <sz val="11.0"/>
      </rPr>
      <t xml:space="preserve">, </t>
    </r>
    <r>
      <rPr>
        <rFont val="맑은 고딕"/>
        <color theme="1"/>
        <sz val="11.0"/>
      </rPr>
      <t>내부</t>
    </r>
    <r>
      <rPr>
        <rFont val="Calibri"/>
        <color theme="1"/>
        <sz val="11.0"/>
      </rPr>
      <t xml:space="preserve"> </t>
    </r>
    <r>
      <rPr>
        <rFont val="맑은 고딕"/>
        <color theme="1"/>
        <sz val="11.0"/>
      </rPr>
      <t>승인</t>
    </r>
    <r>
      <rPr>
        <rFont val="Calibri"/>
        <color theme="1"/>
        <sz val="11.0"/>
      </rPr>
      <t xml:space="preserve"> </t>
    </r>
    <r>
      <rPr>
        <rFont val="맑은 고딕"/>
        <color theme="1"/>
        <sz val="11.0"/>
      </rPr>
      <t>절차</t>
    </r>
    <r>
      <rPr>
        <rFont val="Calibri"/>
        <color theme="1"/>
        <sz val="11.0"/>
      </rPr>
      <t xml:space="preserve"> </t>
    </r>
    <r>
      <rPr>
        <rFont val="맑은 고딕"/>
        <color theme="1"/>
        <sz val="11.0"/>
      </rPr>
      <t>등의</t>
    </r>
    <r>
      <rPr>
        <rFont val="Calibri"/>
        <color theme="1"/>
        <sz val="11.0"/>
      </rPr>
      <t xml:space="preserve"> </t>
    </r>
    <r>
      <rPr>
        <rFont val="맑은 고딕"/>
        <color theme="1"/>
        <sz val="11.0"/>
      </rPr>
      <t>조치가</t>
    </r>
    <r>
      <rPr>
        <rFont val="Calibri"/>
        <color theme="1"/>
        <sz val="11.0"/>
      </rPr>
      <t xml:space="preserve"> </t>
    </r>
    <r>
      <rPr>
        <rFont val="맑은 고딕"/>
        <color theme="1"/>
        <sz val="11.0"/>
      </rPr>
      <t>필요합니다</t>
    </r>
    <r>
      <rPr>
        <rFont val="Calibri"/>
        <color theme="1"/>
        <sz val="11.0"/>
      </rPr>
      <t xml:space="preserve">.
</t>
    </r>
    <r>
      <rPr>
        <rFont val="맑은 고딕"/>
        <color theme="1"/>
        <sz val="11.0"/>
      </rPr>
      <t>관련내용은</t>
    </r>
    <r>
      <rPr>
        <rFont val="Calibri"/>
        <color theme="1"/>
        <sz val="11.0"/>
      </rPr>
      <t xml:space="preserve"> </t>
    </r>
    <r>
      <rPr>
        <rFont val="맑은 고딕"/>
        <color theme="1"/>
        <sz val="11.0"/>
      </rPr>
      <t>다음과</t>
    </r>
    <r>
      <rPr>
        <rFont val="Calibri"/>
        <color theme="1"/>
        <sz val="11.0"/>
      </rPr>
      <t xml:space="preserve"> </t>
    </r>
    <r>
      <rPr>
        <rFont val="맑은 고딕"/>
        <color theme="1"/>
        <sz val="11.0"/>
      </rPr>
      <t>같습니다</t>
    </r>
    <r>
      <rPr>
        <rFont val="Calibri"/>
        <color theme="1"/>
        <sz val="11.0"/>
      </rPr>
      <t xml:space="preserve">.
</t>
    </r>
    <r>
      <rPr>
        <rFont val="맑은 고딕"/>
        <color theme="1"/>
        <sz val="11.0"/>
      </rPr>
      <t>가명정보의</t>
    </r>
    <r>
      <rPr>
        <rFont val="Calibri"/>
        <color theme="1"/>
        <sz val="11.0"/>
      </rPr>
      <t xml:space="preserve"> </t>
    </r>
    <r>
      <rPr>
        <rFont val="맑은 고딕"/>
        <color theme="1"/>
        <sz val="11.0"/>
      </rPr>
      <t>안전성</t>
    </r>
    <r>
      <rPr>
        <rFont val="Calibri"/>
        <color theme="1"/>
        <sz val="11.0"/>
      </rPr>
      <t xml:space="preserve"> </t>
    </r>
    <r>
      <rPr>
        <rFont val="맑은 고딕"/>
        <color theme="1"/>
        <sz val="11.0"/>
      </rPr>
      <t>확보</t>
    </r>
    <r>
      <rPr>
        <rFont val="Calibri"/>
        <color theme="1"/>
        <sz val="11.0"/>
      </rPr>
      <t xml:space="preserve"> </t>
    </r>
    <r>
      <rPr>
        <rFont val="맑은 고딕"/>
        <color theme="1"/>
        <sz val="11.0"/>
      </rPr>
      <t>조치</t>
    </r>
    <r>
      <rPr>
        <rFont val="Calibri"/>
        <color theme="1"/>
        <sz val="11.0"/>
      </rPr>
      <t xml:space="preserve">: </t>
    </r>
    <r>
      <rPr>
        <rFont val="맑은 고딕"/>
        <color theme="1"/>
        <sz val="11.0"/>
      </rPr>
      <t>가명정보를</t>
    </r>
    <r>
      <rPr>
        <rFont val="Calibri"/>
        <color theme="1"/>
        <sz val="11.0"/>
      </rPr>
      <t xml:space="preserve"> </t>
    </r>
    <r>
      <rPr>
        <rFont val="맑은 고딕"/>
        <color theme="1"/>
        <sz val="11.0"/>
      </rPr>
      <t>처리하거나</t>
    </r>
    <r>
      <rPr>
        <rFont val="Calibri"/>
        <color theme="1"/>
        <sz val="11.0"/>
      </rPr>
      <t xml:space="preserve"> </t>
    </r>
    <r>
      <rPr>
        <rFont val="맑은 고딕"/>
        <color theme="1"/>
        <sz val="11.0"/>
      </rPr>
      <t>제공할</t>
    </r>
    <r>
      <rPr>
        <rFont val="Calibri"/>
        <color theme="1"/>
        <sz val="11.0"/>
      </rPr>
      <t xml:space="preserve"> </t>
    </r>
    <r>
      <rPr>
        <rFont val="맑은 고딕"/>
        <color theme="1"/>
        <sz val="11.0"/>
      </rPr>
      <t>때는</t>
    </r>
    <r>
      <rPr>
        <rFont val="Calibri"/>
        <color theme="1"/>
        <sz val="11.0"/>
      </rPr>
      <t xml:space="preserve"> </t>
    </r>
    <r>
      <rPr>
        <rFont val="맑은 고딕"/>
        <color theme="1"/>
        <sz val="11.0"/>
      </rPr>
      <t>법</t>
    </r>
    <r>
      <rPr>
        <rFont val="Calibri"/>
        <color theme="1"/>
        <sz val="11.0"/>
      </rPr>
      <t xml:space="preserve"> </t>
    </r>
    <r>
      <rPr>
        <rFont val="맑은 고딕"/>
        <color theme="1"/>
        <sz val="11.0"/>
      </rPr>
      <t>시행령</t>
    </r>
    <r>
      <rPr>
        <rFont val="Calibri"/>
        <color theme="1"/>
        <sz val="11.0"/>
      </rPr>
      <t xml:space="preserve"> </t>
    </r>
    <r>
      <rPr>
        <rFont val="맑은 고딕"/>
        <color theme="1"/>
        <sz val="11.0"/>
      </rPr>
      <t>제</t>
    </r>
    <r>
      <rPr>
        <rFont val="Calibri"/>
        <color theme="1"/>
        <sz val="11.0"/>
      </rPr>
      <t>30</t>
    </r>
    <r>
      <rPr>
        <rFont val="맑은 고딕"/>
        <color theme="1"/>
        <sz val="11.0"/>
      </rPr>
      <t>조에</t>
    </r>
    <r>
      <rPr>
        <rFont val="Calibri"/>
        <color theme="1"/>
        <sz val="11.0"/>
      </rPr>
      <t xml:space="preserve"> </t>
    </r>
    <r>
      <rPr>
        <rFont val="맑은 고딕"/>
        <color theme="1"/>
        <sz val="11.0"/>
      </rPr>
      <t>따른</t>
    </r>
    <r>
      <rPr>
        <rFont val="Calibri"/>
        <color theme="1"/>
        <sz val="11.0"/>
      </rPr>
      <t xml:space="preserve"> </t>
    </r>
    <r>
      <rPr>
        <rFont val="맑은 고딕"/>
        <color theme="1"/>
        <sz val="11.0"/>
      </rPr>
      <t>안전성</t>
    </r>
    <r>
      <rPr>
        <rFont val="Calibri"/>
        <color theme="1"/>
        <sz val="11.0"/>
      </rPr>
      <t xml:space="preserve"> </t>
    </r>
    <r>
      <rPr>
        <rFont val="맑은 고딕"/>
        <color theme="1"/>
        <sz val="11.0"/>
      </rPr>
      <t>확보</t>
    </r>
    <r>
      <rPr>
        <rFont val="Calibri"/>
        <color theme="1"/>
        <sz val="11.0"/>
      </rPr>
      <t xml:space="preserve"> </t>
    </r>
    <r>
      <rPr>
        <rFont val="맑은 고딕"/>
        <color theme="1"/>
        <sz val="11.0"/>
      </rPr>
      <t>조치를</t>
    </r>
    <r>
      <rPr>
        <rFont val="Calibri"/>
        <color theme="1"/>
        <sz val="11.0"/>
      </rPr>
      <t xml:space="preserve"> </t>
    </r>
    <r>
      <rPr>
        <rFont val="맑은 고딕"/>
        <color theme="1"/>
        <sz val="11.0"/>
      </rPr>
      <t>해야</t>
    </r>
    <r>
      <rPr>
        <rFont val="Calibri"/>
        <color theme="1"/>
        <sz val="11.0"/>
      </rPr>
      <t xml:space="preserve"> </t>
    </r>
    <r>
      <rPr>
        <rFont val="맑은 고딕"/>
        <color theme="1"/>
        <sz val="11.0"/>
      </rPr>
      <t>합니다</t>
    </r>
    <r>
      <rPr>
        <rFont val="Calibri"/>
        <color theme="1"/>
        <sz val="11.0"/>
      </rPr>
      <t xml:space="preserve">.
</t>
    </r>
    <r>
      <rPr>
        <rFont val="맑은 고딕"/>
        <color theme="1"/>
        <sz val="11.0"/>
      </rPr>
      <t>재식별</t>
    </r>
    <r>
      <rPr>
        <rFont val="Calibri"/>
        <color theme="1"/>
        <sz val="11.0"/>
      </rPr>
      <t xml:space="preserve"> </t>
    </r>
    <r>
      <rPr>
        <rFont val="맑은 고딕"/>
        <color theme="1"/>
        <sz val="11.0"/>
      </rPr>
      <t>금지</t>
    </r>
    <r>
      <rPr>
        <rFont val="Calibri"/>
        <color theme="1"/>
        <sz val="11.0"/>
      </rPr>
      <t xml:space="preserve">: </t>
    </r>
    <r>
      <rPr>
        <rFont val="맑은 고딕"/>
        <color theme="1"/>
        <sz val="11.0"/>
      </rPr>
      <t>가명정보를</t>
    </r>
    <r>
      <rPr>
        <rFont val="Calibri"/>
        <color theme="1"/>
        <sz val="11.0"/>
      </rPr>
      <t xml:space="preserve"> </t>
    </r>
    <r>
      <rPr>
        <rFont val="맑은 고딕"/>
        <color theme="1"/>
        <sz val="11.0"/>
      </rPr>
      <t>제</t>
    </r>
    <r>
      <rPr>
        <rFont val="Calibri"/>
        <color theme="1"/>
        <sz val="11.0"/>
      </rPr>
      <t>3</t>
    </r>
    <r>
      <rPr>
        <rFont val="맑은 고딕"/>
        <color theme="1"/>
        <sz val="11.0"/>
      </rPr>
      <t>자에게</t>
    </r>
    <r>
      <rPr>
        <rFont val="Calibri"/>
        <color theme="1"/>
        <sz val="11.0"/>
      </rPr>
      <t xml:space="preserve"> </t>
    </r>
    <r>
      <rPr>
        <rFont val="맑은 고딕"/>
        <color theme="1"/>
        <sz val="11.0"/>
      </rPr>
      <t>제공할</t>
    </r>
    <r>
      <rPr>
        <rFont val="Calibri"/>
        <color theme="1"/>
        <sz val="11.0"/>
      </rPr>
      <t xml:space="preserve"> </t>
    </r>
    <r>
      <rPr>
        <rFont val="맑은 고딕"/>
        <color theme="1"/>
        <sz val="11.0"/>
      </rPr>
      <t>때는</t>
    </r>
    <r>
      <rPr>
        <rFont val="Calibri"/>
        <color theme="1"/>
        <sz val="11.0"/>
      </rPr>
      <t xml:space="preserve"> </t>
    </r>
    <r>
      <rPr>
        <rFont val="맑은 고딕"/>
        <color theme="1"/>
        <sz val="11.0"/>
      </rPr>
      <t>특정</t>
    </r>
    <r>
      <rPr>
        <rFont val="Calibri"/>
        <color theme="1"/>
        <sz val="11.0"/>
      </rPr>
      <t xml:space="preserve"> </t>
    </r>
    <r>
      <rPr>
        <rFont val="맑은 고딕"/>
        <color theme="1"/>
        <sz val="11.0"/>
      </rPr>
      <t>개인을</t>
    </r>
    <r>
      <rPr>
        <rFont val="Calibri"/>
        <color theme="1"/>
        <sz val="11.0"/>
      </rPr>
      <t xml:space="preserve"> </t>
    </r>
    <r>
      <rPr>
        <rFont val="맑은 고딕"/>
        <color theme="1"/>
        <sz val="11.0"/>
      </rPr>
      <t>알아볼</t>
    </r>
    <r>
      <rPr>
        <rFont val="Calibri"/>
        <color theme="1"/>
        <sz val="11.0"/>
      </rPr>
      <t xml:space="preserve"> </t>
    </r>
    <r>
      <rPr>
        <rFont val="맑은 고딕"/>
        <color theme="1"/>
        <sz val="11.0"/>
      </rPr>
      <t>수</t>
    </r>
    <r>
      <rPr>
        <rFont val="Calibri"/>
        <color theme="1"/>
        <sz val="11.0"/>
      </rPr>
      <t xml:space="preserve"> </t>
    </r>
    <r>
      <rPr>
        <rFont val="맑은 고딕"/>
        <color theme="1"/>
        <sz val="11.0"/>
      </rPr>
      <t>있는</t>
    </r>
    <r>
      <rPr>
        <rFont val="Calibri"/>
        <color theme="1"/>
        <sz val="11.0"/>
      </rPr>
      <t xml:space="preserve"> </t>
    </r>
    <r>
      <rPr>
        <rFont val="맑은 고딕"/>
        <color theme="1"/>
        <sz val="11.0"/>
      </rPr>
      <t>정보를</t>
    </r>
    <r>
      <rPr>
        <rFont val="Calibri"/>
        <color theme="1"/>
        <sz val="11.0"/>
      </rPr>
      <t xml:space="preserve"> </t>
    </r>
    <r>
      <rPr>
        <rFont val="맑은 고딕"/>
        <color theme="1"/>
        <sz val="11.0"/>
      </rPr>
      <t>포함해서는</t>
    </r>
    <r>
      <rPr>
        <rFont val="Calibri"/>
        <color theme="1"/>
        <sz val="11.0"/>
      </rPr>
      <t xml:space="preserve"> </t>
    </r>
    <r>
      <rPr>
        <rFont val="맑은 고딕"/>
        <color theme="1"/>
        <sz val="11.0"/>
      </rPr>
      <t>안</t>
    </r>
    <r>
      <rPr>
        <rFont val="Calibri"/>
        <color theme="1"/>
        <sz val="11.0"/>
      </rPr>
      <t xml:space="preserve"> </t>
    </r>
    <r>
      <rPr>
        <rFont val="맑은 고딕"/>
        <color theme="1"/>
        <sz val="11.0"/>
      </rPr>
      <t>됩니다</t>
    </r>
    <r>
      <rPr>
        <rFont val="Calibri"/>
        <color theme="1"/>
        <sz val="11.0"/>
      </rPr>
      <t xml:space="preserve">.
</t>
    </r>
    <r>
      <rPr>
        <rFont val="맑은 고딕"/>
        <color theme="1"/>
        <sz val="11.0"/>
      </rPr>
      <t>계약서</t>
    </r>
    <r>
      <rPr>
        <rFont val="Calibri"/>
        <color theme="1"/>
        <sz val="11.0"/>
      </rPr>
      <t xml:space="preserve"> </t>
    </r>
    <r>
      <rPr>
        <rFont val="맑은 고딕"/>
        <color theme="1"/>
        <sz val="11.0"/>
      </rPr>
      <t>작성</t>
    </r>
    <r>
      <rPr>
        <rFont val="Calibri"/>
        <color theme="1"/>
        <sz val="11.0"/>
      </rPr>
      <t xml:space="preserve">: </t>
    </r>
    <r>
      <rPr>
        <rFont val="맑은 고딕"/>
        <color theme="1"/>
        <sz val="11.0"/>
      </rPr>
      <t>필요에</t>
    </r>
    <r>
      <rPr>
        <rFont val="Calibri"/>
        <color theme="1"/>
        <sz val="11.0"/>
      </rPr>
      <t xml:space="preserve"> </t>
    </r>
    <r>
      <rPr>
        <rFont val="맑은 고딕"/>
        <color theme="1"/>
        <sz val="11.0"/>
      </rPr>
      <t>따라</t>
    </r>
    <r>
      <rPr>
        <rFont val="Calibri"/>
        <color theme="1"/>
        <sz val="11.0"/>
      </rPr>
      <t xml:space="preserve"> </t>
    </r>
    <r>
      <rPr>
        <rFont val="맑은 고딕"/>
        <color theme="1"/>
        <sz val="11.0"/>
      </rPr>
      <t>재식별</t>
    </r>
    <r>
      <rPr>
        <rFont val="Calibri"/>
        <color theme="1"/>
        <sz val="11.0"/>
      </rPr>
      <t xml:space="preserve"> </t>
    </r>
    <r>
      <rPr>
        <rFont val="맑은 고딕"/>
        <color theme="1"/>
        <sz val="11.0"/>
      </rPr>
      <t>금지</t>
    </r>
    <r>
      <rPr>
        <rFont val="Calibri"/>
        <color theme="1"/>
        <sz val="11.0"/>
      </rPr>
      <t xml:space="preserve">, </t>
    </r>
    <r>
      <rPr>
        <rFont val="맑은 고딕"/>
        <color theme="1"/>
        <sz val="11.0"/>
      </rPr>
      <t>가명정보의</t>
    </r>
    <r>
      <rPr>
        <rFont val="Calibri"/>
        <color theme="1"/>
        <sz val="11.0"/>
      </rPr>
      <t xml:space="preserve"> </t>
    </r>
    <r>
      <rPr>
        <rFont val="맑은 고딕"/>
        <color theme="1"/>
        <sz val="11.0"/>
      </rPr>
      <t>안전성</t>
    </r>
    <r>
      <rPr>
        <rFont val="Calibri"/>
        <color theme="1"/>
        <sz val="11.0"/>
      </rPr>
      <t xml:space="preserve"> </t>
    </r>
    <r>
      <rPr>
        <rFont val="맑은 고딕"/>
        <color theme="1"/>
        <sz val="11.0"/>
      </rPr>
      <t>확보</t>
    </r>
    <r>
      <rPr>
        <rFont val="Calibri"/>
        <color theme="1"/>
        <sz val="11.0"/>
      </rPr>
      <t xml:space="preserve"> </t>
    </r>
    <r>
      <rPr>
        <rFont val="맑은 고딕"/>
        <color theme="1"/>
        <sz val="11.0"/>
      </rPr>
      <t>조치</t>
    </r>
    <r>
      <rPr>
        <rFont val="Calibri"/>
        <color theme="1"/>
        <sz val="11.0"/>
      </rPr>
      <t xml:space="preserve">, </t>
    </r>
    <r>
      <rPr>
        <rFont val="맑은 고딕"/>
        <color theme="1"/>
        <sz val="11.0"/>
      </rPr>
      <t>처리</t>
    </r>
    <r>
      <rPr>
        <rFont val="Calibri"/>
        <color theme="1"/>
        <sz val="11.0"/>
      </rPr>
      <t xml:space="preserve"> </t>
    </r>
    <r>
      <rPr>
        <rFont val="맑은 고딕"/>
        <color theme="1"/>
        <sz val="11.0"/>
      </rPr>
      <t>기록</t>
    </r>
    <r>
      <rPr>
        <rFont val="Calibri"/>
        <color theme="1"/>
        <sz val="11.0"/>
      </rPr>
      <t xml:space="preserve"> </t>
    </r>
    <r>
      <rPr>
        <rFont val="맑은 고딕"/>
        <color theme="1"/>
        <sz val="11.0"/>
      </rPr>
      <t>작성</t>
    </r>
    <r>
      <rPr>
        <rFont val="Calibri"/>
        <color theme="1"/>
        <sz val="11.0"/>
      </rPr>
      <t xml:space="preserve"> </t>
    </r>
    <r>
      <rPr>
        <rFont val="맑은 고딕"/>
        <color theme="1"/>
        <sz val="11.0"/>
      </rPr>
      <t>및</t>
    </r>
    <r>
      <rPr>
        <rFont val="Calibri"/>
        <color theme="1"/>
        <sz val="11.0"/>
      </rPr>
      <t xml:space="preserve"> </t>
    </r>
    <r>
      <rPr>
        <rFont val="맑은 고딕"/>
        <color theme="1"/>
        <sz val="11.0"/>
      </rPr>
      <t>보관</t>
    </r>
    <r>
      <rPr>
        <rFont val="Calibri"/>
        <color theme="1"/>
        <sz val="11.0"/>
      </rPr>
      <t xml:space="preserve">, </t>
    </r>
    <r>
      <rPr>
        <rFont val="맑은 고딕"/>
        <color theme="1"/>
        <sz val="11.0"/>
      </rPr>
      <t>파기</t>
    </r>
    <r>
      <rPr>
        <rFont val="Calibri"/>
        <color theme="1"/>
        <sz val="11.0"/>
      </rPr>
      <t xml:space="preserve">, </t>
    </r>
    <r>
      <rPr>
        <rFont val="맑은 고딕"/>
        <color theme="1"/>
        <sz val="11.0"/>
      </rPr>
      <t>재식별</t>
    </r>
    <r>
      <rPr>
        <rFont val="Calibri"/>
        <color theme="1"/>
        <sz val="11.0"/>
      </rPr>
      <t xml:space="preserve"> </t>
    </r>
    <r>
      <rPr>
        <rFont val="맑은 고딕"/>
        <color theme="1"/>
        <sz val="11.0"/>
      </rPr>
      <t>시</t>
    </r>
    <r>
      <rPr>
        <rFont val="Calibri"/>
        <color theme="1"/>
        <sz val="11.0"/>
      </rPr>
      <t xml:space="preserve"> </t>
    </r>
    <r>
      <rPr>
        <rFont val="맑은 고딕"/>
        <color theme="1"/>
        <sz val="11.0"/>
      </rPr>
      <t>책임</t>
    </r>
    <r>
      <rPr>
        <rFont val="Calibri"/>
        <color theme="1"/>
        <sz val="11.0"/>
      </rPr>
      <t xml:space="preserve"> </t>
    </r>
    <r>
      <rPr>
        <rFont val="맑은 고딕"/>
        <color theme="1"/>
        <sz val="11.0"/>
      </rPr>
      <t>및</t>
    </r>
    <r>
      <rPr>
        <rFont val="Calibri"/>
        <color theme="1"/>
        <sz val="11.0"/>
      </rPr>
      <t xml:space="preserve"> </t>
    </r>
    <r>
      <rPr>
        <rFont val="맑은 고딕"/>
        <color theme="1"/>
        <sz val="11.0"/>
      </rPr>
      <t>손해배상</t>
    </r>
    <r>
      <rPr>
        <rFont val="Calibri"/>
        <color theme="1"/>
        <sz val="11.0"/>
      </rPr>
      <t xml:space="preserve"> </t>
    </r>
    <r>
      <rPr>
        <rFont val="맑은 고딕"/>
        <color theme="1"/>
        <sz val="11.0"/>
      </rPr>
      <t>등을</t>
    </r>
    <r>
      <rPr>
        <rFont val="Calibri"/>
        <color theme="1"/>
        <sz val="11.0"/>
      </rPr>
      <t xml:space="preserve"> </t>
    </r>
    <r>
      <rPr>
        <rFont val="맑은 고딕"/>
        <color theme="1"/>
        <sz val="11.0"/>
      </rPr>
      <t>포함한</t>
    </r>
    <r>
      <rPr>
        <rFont val="Calibri"/>
        <color theme="1"/>
        <sz val="11.0"/>
      </rPr>
      <t xml:space="preserve"> </t>
    </r>
    <r>
      <rPr>
        <rFont val="맑은 고딕"/>
        <color theme="1"/>
        <sz val="11.0"/>
      </rPr>
      <t>계약서를</t>
    </r>
    <r>
      <rPr>
        <rFont val="Calibri"/>
        <color theme="1"/>
        <sz val="11.0"/>
      </rPr>
      <t xml:space="preserve"> </t>
    </r>
    <r>
      <rPr>
        <rFont val="맑은 고딕"/>
        <color theme="1"/>
        <sz val="11.0"/>
      </rPr>
      <t>작성할</t>
    </r>
    <r>
      <rPr>
        <rFont val="Calibri"/>
        <color theme="1"/>
        <sz val="11.0"/>
      </rPr>
      <t xml:space="preserve"> </t>
    </r>
    <r>
      <rPr>
        <rFont val="맑은 고딕"/>
        <color theme="1"/>
        <sz val="11.0"/>
      </rPr>
      <t>수</t>
    </r>
    <r>
      <rPr>
        <rFont val="Calibri"/>
        <color theme="1"/>
        <sz val="11.0"/>
      </rPr>
      <t xml:space="preserve"> </t>
    </r>
    <r>
      <rPr>
        <rFont val="맑은 고딕"/>
        <color theme="1"/>
        <sz val="11.0"/>
      </rPr>
      <t>있습니다</t>
    </r>
    <r>
      <rPr>
        <rFont val="Calibri"/>
        <color theme="1"/>
        <sz val="11.0"/>
      </rPr>
      <t xml:space="preserve">.
</t>
    </r>
    <r>
      <rPr>
        <rFont val="맑은 고딕"/>
        <color theme="1"/>
        <sz val="11.0"/>
      </rPr>
      <t>위탁</t>
    </r>
    <r>
      <rPr>
        <rFont val="Calibri"/>
        <color theme="1"/>
        <sz val="11.0"/>
      </rPr>
      <t xml:space="preserve"> </t>
    </r>
    <r>
      <rPr>
        <rFont val="맑은 고딕"/>
        <color theme="1"/>
        <sz val="11.0"/>
      </rPr>
      <t>관련</t>
    </r>
    <r>
      <rPr>
        <rFont val="Calibri"/>
        <color theme="1"/>
        <sz val="11.0"/>
      </rPr>
      <t xml:space="preserve"> </t>
    </r>
    <r>
      <rPr>
        <rFont val="맑은 고딕"/>
        <color theme="1"/>
        <sz val="11.0"/>
      </rPr>
      <t>문서</t>
    </r>
    <r>
      <rPr>
        <rFont val="Calibri"/>
        <color theme="1"/>
        <sz val="11.0"/>
      </rPr>
      <t xml:space="preserve"> </t>
    </r>
    <r>
      <rPr>
        <rFont val="맑은 고딕"/>
        <color theme="1"/>
        <sz val="11.0"/>
      </rPr>
      <t>작성</t>
    </r>
    <r>
      <rPr>
        <rFont val="Calibri"/>
        <color theme="1"/>
        <sz val="11.0"/>
      </rPr>
      <t xml:space="preserve">: </t>
    </r>
    <r>
      <rPr>
        <rFont val="맑은 고딕"/>
        <color theme="1"/>
        <sz val="11.0"/>
      </rPr>
      <t>가명정보</t>
    </r>
    <r>
      <rPr>
        <rFont val="Calibri"/>
        <color theme="1"/>
        <sz val="11.0"/>
      </rPr>
      <t xml:space="preserve"> </t>
    </r>
    <r>
      <rPr>
        <rFont val="맑은 고딕"/>
        <color theme="1"/>
        <sz val="11.0"/>
      </rPr>
      <t>처리를</t>
    </r>
    <r>
      <rPr>
        <rFont val="Calibri"/>
        <color theme="1"/>
        <sz val="11.0"/>
      </rPr>
      <t xml:space="preserve"> </t>
    </r>
    <r>
      <rPr>
        <rFont val="맑은 고딕"/>
        <color theme="1"/>
        <sz val="11.0"/>
      </rPr>
      <t>위탁하는</t>
    </r>
    <r>
      <rPr>
        <rFont val="Calibri"/>
        <color theme="1"/>
        <sz val="11.0"/>
      </rPr>
      <t xml:space="preserve"> </t>
    </r>
    <r>
      <rPr>
        <rFont val="맑은 고딕"/>
        <color theme="1"/>
        <sz val="11.0"/>
      </rPr>
      <t>경우</t>
    </r>
    <r>
      <rPr>
        <rFont val="Calibri"/>
        <color theme="1"/>
        <sz val="11.0"/>
      </rPr>
      <t xml:space="preserve">, </t>
    </r>
    <r>
      <rPr>
        <rFont val="맑은 고딕"/>
        <color theme="1"/>
        <sz val="11.0"/>
      </rPr>
      <t>위탁</t>
    </r>
    <r>
      <rPr>
        <rFont val="Calibri"/>
        <color theme="1"/>
        <sz val="11.0"/>
      </rPr>
      <t xml:space="preserve"> </t>
    </r>
    <r>
      <rPr>
        <rFont val="맑은 고딕"/>
        <color theme="1"/>
        <sz val="11.0"/>
      </rPr>
      <t>관련</t>
    </r>
    <r>
      <rPr>
        <rFont val="Calibri"/>
        <color theme="1"/>
        <sz val="11.0"/>
      </rPr>
      <t xml:space="preserve"> </t>
    </r>
    <r>
      <rPr>
        <rFont val="맑은 고딕"/>
        <color theme="1"/>
        <sz val="11.0"/>
      </rPr>
      <t>문서</t>
    </r>
    <r>
      <rPr>
        <rFont val="Calibri"/>
        <color theme="1"/>
        <sz val="11.0"/>
      </rPr>
      <t xml:space="preserve"> </t>
    </r>
    <r>
      <rPr>
        <rFont val="맑은 고딕"/>
        <color theme="1"/>
        <sz val="11.0"/>
      </rPr>
      <t>작성</t>
    </r>
    <r>
      <rPr>
        <rFont val="Calibri"/>
        <color theme="1"/>
        <sz val="11.0"/>
      </rPr>
      <t xml:space="preserve">, </t>
    </r>
    <r>
      <rPr>
        <rFont val="맑은 고딕"/>
        <color theme="1"/>
        <sz val="11.0"/>
      </rPr>
      <t>위탁</t>
    </r>
    <r>
      <rPr>
        <rFont val="Calibri"/>
        <color theme="1"/>
        <sz val="11.0"/>
      </rPr>
      <t xml:space="preserve"> </t>
    </r>
    <r>
      <rPr>
        <rFont val="맑은 고딕"/>
        <color theme="1"/>
        <sz val="11.0"/>
      </rPr>
      <t>업무</t>
    </r>
    <r>
      <rPr>
        <rFont val="Calibri"/>
        <color theme="1"/>
        <sz val="11.0"/>
      </rPr>
      <t xml:space="preserve"> </t>
    </r>
    <r>
      <rPr>
        <rFont val="맑은 고딕"/>
        <color theme="1"/>
        <sz val="11.0"/>
      </rPr>
      <t>공개</t>
    </r>
    <r>
      <rPr>
        <rFont val="Calibri"/>
        <color theme="1"/>
        <sz val="11.0"/>
      </rPr>
      <t xml:space="preserve">, </t>
    </r>
    <r>
      <rPr>
        <rFont val="맑은 고딕"/>
        <color theme="1"/>
        <sz val="11.0"/>
      </rPr>
      <t>수탁사에</t>
    </r>
    <r>
      <rPr>
        <rFont val="Calibri"/>
        <color theme="1"/>
        <sz val="11.0"/>
      </rPr>
      <t xml:space="preserve"> </t>
    </r>
    <r>
      <rPr>
        <rFont val="맑은 고딕"/>
        <color theme="1"/>
        <sz val="11.0"/>
      </rPr>
      <t>대한</t>
    </r>
    <r>
      <rPr>
        <rFont val="Calibri"/>
        <color theme="1"/>
        <sz val="11.0"/>
      </rPr>
      <t xml:space="preserve"> </t>
    </r>
    <r>
      <rPr>
        <rFont val="맑은 고딕"/>
        <color theme="1"/>
        <sz val="11.0"/>
      </rPr>
      <t>관리</t>
    </r>
    <r>
      <rPr>
        <rFont val="Calibri"/>
        <color theme="1"/>
        <sz val="11.0"/>
      </rPr>
      <t>·</t>
    </r>
    <r>
      <rPr>
        <rFont val="맑은 고딕"/>
        <color theme="1"/>
        <sz val="11.0"/>
      </rPr>
      <t>감독에</t>
    </r>
    <r>
      <rPr>
        <rFont val="Calibri"/>
        <color theme="1"/>
        <sz val="11.0"/>
      </rPr>
      <t xml:space="preserve"> </t>
    </r>
    <r>
      <rPr>
        <rFont val="맑은 고딕"/>
        <color theme="1"/>
        <sz val="11.0"/>
      </rPr>
      <t>관한</t>
    </r>
    <r>
      <rPr>
        <rFont val="Calibri"/>
        <color theme="1"/>
        <sz val="11.0"/>
      </rPr>
      <t xml:space="preserve"> </t>
    </r>
    <r>
      <rPr>
        <rFont val="맑은 고딕"/>
        <color theme="1"/>
        <sz val="11.0"/>
      </rPr>
      <t>사항</t>
    </r>
    <r>
      <rPr>
        <rFont val="Calibri"/>
        <color theme="1"/>
        <sz val="11.0"/>
      </rPr>
      <t xml:space="preserve"> </t>
    </r>
    <r>
      <rPr>
        <rFont val="맑은 고딕"/>
        <color theme="1"/>
        <sz val="11.0"/>
      </rPr>
      <t>등을</t>
    </r>
    <r>
      <rPr>
        <rFont val="Calibri"/>
        <color theme="1"/>
        <sz val="11.0"/>
      </rPr>
      <t xml:space="preserve"> </t>
    </r>
    <r>
      <rPr>
        <rFont val="맑은 고딕"/>
        <color theme="1"/>
        <sz val="11.0"/>
      </rPr>
      <t>확인하여야</t>
    </r>
    <r>
      <rPr>
        <rFont val="Calibri"/>
        <color theme="1"/>
        <sz val="11.0"/>
      </rPr>
      <t xml:space="preserve"> </t>
    </r>
    <r>
      <rPr>
        <rFont val="맑은 고딕"/>
        <color theme="1"/>
        <sz val="11.0"/>
      </rPr>
      <t>합니다</t>
    </r>
    <r>
      <rPr>
        <rFont val="Calibri"/>
        <color theme="1"/>
        <sz val="11.0"/>
      </rPr>
      <t xml:space="preserve">.
</t>
    </r>
    <r>
      <rPr>
        <rFont val="맑은 고딕"/>
        <color theme="1"/>
        <sz val="11.0"/>
      </rPr>
      <t>내부</t>
    </r>
    <r>
      <rPr>
        <rFont val="Calibri"/>
        <color theme="1"/>
        <sz val="11.0"/>
      </rPr>
      <t xml:space="preserve"> </t>
    </r>
    <r>
      <rPr>
        <rFont val="맑은 고딕"/>
        <color theme="1"/>
        <sz val="11.0"/>
      </rPr>
      <t>승인</t>
    </r>
    <r>
      <rPr>
        <rFont val="Calibri"/>
        <color theme="1"/>
        <sz val="11.0"/>
      </rPr>
      <t xml:space="preserve"> </t>
    </r>
    <r>
      <rPr>
        <rFont val="맑은 고딕"/>
        <color theme="1"/>
        <sz val="11.0"/>
      </rPr>
      <t>절차</t>
    </r>
    <r>
      <rPr>
        <rFont val="Calibri"/>
        <color theme="1"/>
        <sz val="11.0"/>
      </rPr>
      <t xml:space="preserve">: </t>
    </r>
    <r>
      <rPr>
        <rFont val="맑은 고딕"/>
        <color theme="1"/>
        <sz val="11.0"/>
      </rPr>
      <t>개인정보</t>
    </r>
    <r>
      <rPr>
        <rFont val="Calibri"/>
        <color theme="1"/>
        <sz val="11.0"/>
      </rPr>
      <t xml:space="preserve"> </t>
    </r>
    <r>
      <rPr>
        <rFont val="맑은 고딕"/>
        <color theme="1"/>
        <sz val="11.0"/>
      </rPr>
      <t>활용</t>
    </r>
    <r>
      <rPr>
        <rFont val="Calibri"/>
        <color theme="1"/>
        <sz val="11.0"/>
      </rPr>
      <t xml:space="preserve"> </t>
    </r>
    <r>
      <rPr>
        <rFont val="맑은 고딕"/>
        <color theme="1"/>
        <sz val="11.0"/>
      </rPr>
      <t>및</t>
    </r>
    <r>
      <rPr>
        <rFont val="Calibri"/>
        <color theme="1"/>
        <sz val="11.0"/>
      </rPr>
      <t xml:space="preserve"> </t>
    </r>
    <r>
      <rPr>
        <rFont val="맑은 고딕"/>
        <color theme="1"/>
        <sz val="11.0"/>
      </rPr>
      <t>가명처리</t>
    </r>
    <r>
      <rPr>
        <rFont val="Calibri"/>
        <color theme="1"/>
        <sz val="11.0"/>
      </rPr>
      <t xml:space="preserve"> </t>
    </r>
    <r>
      <rPr>
        <rFont val="맑은 고딕"/>
        <color theme="1"/>
        <sz val="11.0"/>
      </rPr>
      <t>등에</t>
    </r>
    <r>
      <rPr>
        <rFont val="Calibri"/>
        <color theme="1"/>
        <sz val="11.0"/>
      </rPr>
      <t xml:space="preserve"> </t>
    </r>
    <r>
      <rPr>
        <rFont val="맑은 고딕"/>
        <color theme="1"/>
        <sz val="11.0"/>
      </rPr>
      <t>대해</t>
    </r>
    <r>
      <rPr>
        <rFont val="Calibri"/>
        <color theme="1"/>
        <sz val="11.0"/>
      </rPr>
      <t xml:space="preserve"> </t>
    </r>
    <r>
      <rPr>
        <rFont val="맑은 고딕"/>
        <color theme="1"/>
        <sz val="11.0"/>
      </rPr>
      <t>내부</t>
    </r>
    <r>
      <rPr>
        <rFont val="Calibri"/>
        <color theme="1"/>
        <sz val="11.0"/>
      </rPr>
      <t xml:space="preserve"> </t>
    </r>
    <r>
      <rPr>
        <rFont val="맑은 고딕"/>
        <color theme="1"/>
        <sz val="11.0"/>
      </rPr>
      <t>승인</t>
    </r>
    <r>
      <rPr>
        <rFont val="Calibri"/>
        <color theme="1"/>
        <sz val="11.0"/>
      </rPr>
      <t xml:space="preserve"> </t>
    </r>
    <r>
      <rPr>
        <rFont val="맑은 고딕"/>
        <color theme="1"/>
        <sz val="11.0"/>
      </rPr>
      <t>절차를</t>
    </r>
    <r>
      <rPr>
        <rFont val="Calibri"/>
        <color theme="1"/>
        <sz val="11.0"/>
      </rPr>
      <t xml:space="preserve"> </t>
    </r>
    <r>
      <rPr>
        <rFont val="맑은 고딕"/>
        <color theme="1"/>
        <sz val="11.0"/>
      </rPr>
      <t>별도로</t>
    </r>
    <r>
      <rPr>
        <rFont val="Calibri"/>
        <color theme="1"/>
        <sz val="11.0"/>
      </rPr>
      <t xml:space="preserve"> </t>
    </r>
    <r>
      <rPr>
        <rFont val="맑은 고딕"/>
        <color theme="1"/>
        <sz val="11.0"/>
      </rPr>
      <t>두고</t>
    </r>
    <r>
      <rPr>
        <rFont val="Calibri"/>
        <color theme="1"/>
        <sz val="11.0"/>
      </rPr>
      <t xml:space="preserve"> </t>
    </r>
    <r>
      <rPr>
        <rFont val="맑은 고딕"/>
        <color theme="1"/>
        <sz val="11.0"/>
      </rPr>
      <t>있는</t>
    </r>
    <r>
      <rPr>
        <rFont val="Calibri"/>
        <color theme="1"/>
        <sz val="11.0"/>
      </rPr>
      <t xml:space="preserve"> </t>
    </r>
    <r>
      <rPr>
        <rFont val="맑은 고딕"/>
        <color theme="1"/>
        <sz val="11.0"/>
      </rPr>
      <t>경우</t>
    </r>
    <r>
      <rPr>
        <rFont val="Calibri"/>
        <color theme="1"/>
        <sz val="11.0"/>
      </rPr>
      <t xml:space="preserve">, </t>
    </r>
    <r>
      <rPr>
        <rFont val="맑은 고딕"/>
        <color theme="1"/>
        <sz val="11.0"/>
      </rPr>
      <t>해당</t>
    </r>
    <r>
      <rPr>
        <rFont val="Calibri"/>
        <color theme="1"/>
        <sz val="11.0"/>
      </rPr>
      <t xml:space="preserve"> </t>
    </r>
    <r>
      <rPr>
        <rFont val="맑은 고딕"/>
        <color theme="1"/>
        <sz val="11.0"/>
      </rPr>
      <t>절차를</t>
    </r>
    <r>
      <rPr>
        <rFont val="Calibri"/>
        <color theme="1"/>
        <sz val="11.0"/>
      </rPr>
      <t xml:space="preserve"> </t>
    </r>
    <r>
      <rPr>
        <rFont val="맑은 고딕"/>
        <color theme="1"/>
        <sz val="11.0"/>
      </rPr>
      <t>진행하여야</t>
    </r>
    <r>
      <rPr>
        <rFont val="Calibri"/>
        <color theme="1"/>
        <sz val="11.0"/>
      </rPr>
      <t xml:space="preserve"> </t>
    </r>
    <r>
      <rPr>
        <rFont val="맑은 고딕"/>
        <color theme="1"/>
        <sz val="11.0"/>
      </rPr>
      <t>합니다</t>
    </r>
    <r>
      <rPr>
        <rFont val="Calibri"/>
        <color theme="1"/>
        <sz val="11.0"/>
      </rPr>
      <t>.</t>
    </r>
  </si>
  <si>
    <r>
      <rPr>
        <rFont val="맑은 고딕"/>
        <color theme="1"/>
        <sz val="11.0"/>
      </rPr>
      <t>기대답변
가명정보를</t>
    </r>
    <r>
      <rPr>
        <rFont val="MS Mincho"/>
        <color theme="1"/>
        <sz val="11.0"/>
      </rPr>
      <t> </t>
    </r>
    <r>
      <rPr>
        <rFont val="맑은 고딕"/>
        <color theme="1"/>
        <sz val="11.0"/>
      </rPr>
      <t>제</t>
    </r>
    <r>
      <rPr>
        <rFont val="MS Mincho"/>
        <color theme="1"/>
        <sz val="11.0"/>
      </rPr>
      <t>3</t>
    </r>
    <r>
      <rPr>
        <rFont val="맑은 고딕"/>
        <color theme="1"/>
        <sz val="11.0"/>
      </rPr>
      <t>자에게</t>
    </r>
    <r>
      <rPr>
        <rFont val="MS Mincho"/>
        <color theme="1"/>
        <sz val="11.0"/>
      </rPr>
      <t> </t>
    </r>
    <r>
      <rPr>
        <rFont val="맑은 고딕"/>
        <color theme="1"/>
        <sz val="11.0"/>
      </rPr>
      <t>제공할</t>
    </r>
    <r>
      <rPr>
        <rFont val="MS Mincho"/>
        <color theme="1"/>
        <sz val="11.0"/>
      </rPr>
      <t> </t>
    </r>
    <r>
      <rPr>
        <rFont val="맑은 고딕"/>
        <color theme="1"/>
        <sz val="11.0"/>
      </rPr>
      <t>때는</t>
    </r>
    <r>
      <rPr>
        <rFont val="MS Mincho"/>
        <color theme="1"/>
        <sz val="11.0"/>
      </rPr>
      <t> </t>
    </r>
    <r>
      <rPr>
        <rFont val="맑은 고딕"/>
        <color theme="1"/>
        <sz val="11.0"/>
      </rPr>
      <t>추가적인</t>
    </r>
    <r>
      <rPr>
        <rFont val="MS Mincho"/>
        <color theme="1"/>
        <sz val="11.0"/>
      </rPr>
      <t> </t>
    </r>
    <r>
      <rPr>
        <rFont val="맑은 고딕"/>
        <color theme="1"/>
        <sz val="11.0"/>
      </rPr>
      <t>가명처리를</t>
    </r>
    <r>
      <rPr>
        <rFont val="MS Mincho"/>
        <color theme="1"/>
        <sz val="11.0"/>
      </rPr>
      <t> </t>
    </r>
    <r>
      <rPr>
        <rFont val="맑은 고딕"/>
        <color theme="1"/>
        <sz val="11.0"/>
      </rPr>
      <t>통해</t>
    </r>
    <r>
      <rPr>
        <rFont val="MS Mincho"/>
        <color theme="1"/>
        <sz val="11.0"/>
      </rPr>
      <t> </t>
    </r>
    <r>
      <rPr>
        <rFont val="맑은 고딕"/>
        <color theme="1"/>
        <sz val="11.0"/>
      </rPr>
      <t>데이터에서</t>
    </r>
    <r>
      <rPr>
        <rFont val="MS Mincho"/>
        <color theme="1"/>
        <sz val="11.0"/>
      </rPr>
      <t> </t>
    </r>
    <r>
      <rPr>
        <rFont val="맑은 고딕"/>
        <color theme="1"/>
        <sz val="11.0"/>
      </rPr>
      <t>특정</t>
    </r>
    <r>
      <rPr>
        <rFont val="MS Mincho"/>
        <color theme="1"/>
        <sz val="11.0"/>
      </rPr>
      <t> </t>
    </r>
    <r>
      <rPr>
        <rFont val="맑은 고딕"/>
        <color theme="1"/>
        <sz val="11.0"/>
      </rPr>
      <t>개인을</t>
    </r>
    <r>
      <rPr>
        <rFont val="MS Mincho"/>
        <color theme="1"/>
        <sz val="11.0"/>
      </rPr>
      <t> </t>
    </r>
    <r>
      <rPr>
        <rFont val="맑은 고딕"/>
        <color theme="1"/>
        <sz val="11.0"/>
      </rPr>
      <t>식별할</t>
    </r>
    <r>
      <rPr>
        <rFont val="MS Mincho"/>
        <color theme="1"/>
        <sz val="11.0"/>
      </rPr>
      <t> </t>
    </r>
    <r>
      <rPr>
        <rFont val="맑은 고딕"/>
        <color theme="1"/>
        <sz val="11.0"/>
      </rPr>
      <t>가능성을</t>
    </r>
    <r>
      <rPr>
        <rFont val="MS Mincho"/>
        <color theme="1"/>
        <sz val="11.0"/>
      </rPr>
      <t> </t>
    </r>
    <r>
      <rPr>
        <rFont val="맑은 고딕"/>
        <color theme="1"/>
        <sz val="11.0"/>
      </rPr>
      <t>최소화하는</t>
    </r>
    <r>
      <rPr>
        <rFont val="MS Mincho"/>
        <color theme="1"/>
        <sz val="11.0"/>
      </rPr>
      <t> </t>
    </r>
    <r>
      <rPr>
        <rFont val="맑은 고딕"/>
        <color theme="1"/>
        <sz val="11.0"/>
      </rPr>
      <t>절차가</t>
    </r>
    <r>
      <rPr>
        <rFont val="MS Mincho"/>
        <color theme="1"/>
        <sz val="11.0"/>
      </rPr>
      <t> </t>
    </r>
    <r>
      <rPr>
        <rFont val="맑은 고딕"/>
        <color theme="1"/>
        <sz val="11.0"/>
      </rPr>
      <t>반드시</t>
    </r>
    <r>
      <rPr>
        <rFont val="MS Mincho"/>
        <color theme="1"/>
        <sz val="11.0"/>
      </rPr>
      <t> </t>
    </r>
    <r>
      <rPr>
        <rFont val="맑은 고딕"/>
        <color theme="1"/>
        <sz val="11.0"/>
      </rPr>
      <t>이루어져야</t>
    </r>
    <r>
      <rPr>
        <rFont val="MS Mincho"/>
        <color theme="1"/>
        <sz val="11.0"/>
      </rPr>
      <t> </t>
    </r>
    <r>
      <rPr>
        <rFont val="맑은 고딕"/>
        <color theme="1"/>
        <sz val="11.0"/>
      </rPr>
      <t>합니다</t>
    </r>
    <r>
      <rPr>
        <rFont val="MS Mincho"/>
        <color theme="1"/>
        <sz val="11.0"/>
      </rPr>
      <t>. </t>
    </r>
    <r>
      <rPr>
        <rFont val="맑은 고딕"/>
        <color theme="1"/>
        <sz val="11.0"/>
      </rPr>
      <t>이와</t>
    </r>
    <r>
      <rPr>
        <rFont val="MS Mincho"/>
        <color theme="1"/>
        <sz val="11.0"/>
      </rPr>
      <t> </t>
    </r>
    <r>
      <rPr>
        <rFont val="맑은 고딕"/>
        <color theme="1"/>
        <sz val="11.0"/>
      </rPr>
      <t>함께</t>
    </r>
    <r>
      <rPr>
        <rFont val="MS Mincho"/>
        <color theme="1"/>
        <sz val="11.0"/>
      </rPr>
      <t> </t>
    </r>
    <r>
      <rPr>
        <rFont val="맑은 고딕"/>
        <color theme="1"/>
        <sz val="11.0"/>
      </rPr>
      <t>가명정보의</t>
    </r>
    <r>
      <rPr>
        <rFont val="MS Mincho"/>
        <color theme="1"/>
        <sz val="11.0"/>
      </rPr>
      <t> </t>
    </r>
    <r>
      <rPr>
        <rFont val="맑은 고딕"/>
        <color theme="1"/>
        <sz val="11.0"/>
      </rPr>
      <t>제공</t>
    </r>
    <r>
      <rPr>
        <rFont val="MS Mincho"/>
        <color theme="1"/>
        <sz val="11.0"/>
      </rPr>
      <t> </t>
    </r>
    <r>
      <rPr>
        <rFont val="맑은 고딕"/>
        <color theme="1"/>
        <sz val="11.0"/>
      </rPr>
      <t>목적</t>
    </r>
    <r>
      <rPr>
        <rFont val="MS Mincho"/>
        <color theme="1"/>
        <sz val="11.0"/>
      </rPr>
      <t>, </t>
    </r>
    <r>
      <rPr>
        <rFont val="맑은 고딕"/>
        <color theme="1"/>
        <sz val="11.0"/>
      </rPr>
      <t>제공받는</t>
    </r>
    <r>
      <rPr>
        <rFont val="MS Mincho"/>
        <color theme="1"/>
        <sz val="11.0"/>
      </rPr>
      <t> </t>
    </r>
    <r>
      <rPr>
        <rFont val="맑은 고딕"/>
        <color theme="1"/>
        <sz val="11.0"/>
      </rPr>
      <t>자의</t>
    </r>
    <r>
      <rPr>
        <rFont val="MS Mincho"/>
        <color theme="1"/>
        <sz val="11.0"/>
      </rPr>
      <t> </t>
    </r>
    <r>
      <rPr>
        <rFont val="맑은 고딕"/>
        <color theme="1"/>
        <sz val="11.0"/>
      </rPr>
      <t>안전</t>
    </r>
    <r>
      <rPr>
        <rFont val="MS Mincho"/>
        <color theme="1"/>
        <sz val="11.0"/>
      </rPr>
      <t> </t>
    </r>
    <r>
      <rPr>
        <rFont val="맑은 고딕"/>
        <color theme="1"/>
        <sz val="11.0"/>
      </rPr>
      <t>관리</t>
    </r>
    <r>
      <rPr>
        <rFont val="MS Mincho"/>
        <color theme="1"/>
        <sz val="11.0"/>
      </rPr>
      <t> </t>
    </r>
    <r>
      <rPr>
        <rFont val="맑은 고딕"/>
        <color theme="1"/>
        <sz val="11.0"/>
      </rPr>
      <t>능력</t>
    </r>
    <r>
      <rPr>
        <rFont val="MS Mincho"/>
        <color theme="1"/>
        <sz val="11.0"/>
      </rPr>
      <t> </t>
    </r>
    <r>
      <rPr>
        <rFont val="맑은 고딕"/>
        <color theme="1"/>
        <sz val="11.0"/>
      </rPr>
      <t>확인</t>
    </r>
    <r>
      <rPr>
        <rFont val="MS Mincho"/>
        <color theme="1"/>
        <sz val="11.0"/>
      </rPr>
      <t>, </t>
    </r>
    <r>
      <rPr>
        <rFont val="맑은 고딕"/>
        <color theme="1"/>
        <sz val="11.0"/>
      </rPr>
      <t>추가적인</t>
    </r>
    <r>
      <rPr>
        <rFont val="MS Mincho"/>
        <color theme="1"/>
        <sz val="11.0"/>
      </rPr>
      <t> </t>
    </r>
    <r>
      <rPr>
        <rFont val="맑은 고딕"/>
        <color theme="1"/>
        <sz val="11.0"/>
      </rPr>
      <t>안전성</t>
    </r>
    <r>
      <rPr>
        <rFont val="MS Mincho"/>
        <color theme="1"/>
        <sz val="11.0"/>
      </rPr>
      <t> </t>
    </r>
    <r>
      <rPr>
        <rFont val="맑은 고딕"/>
        <color theme="1"/>
        <sz val="11.0"/>
      </rPr>
      <t>확보</t>
    </r>
    <r>
      <rPr>
        <rFont val="MS Mincho"/>
        <color theme="1"/>
        <sz val="11.0"/>
      </rPr>
      <t> </t>
    </r>
    <r>
      <rPr>
        <rFont val="맑은 고딕"/>
        <color theme="1"/>
        <sz val="11.0"/>
      </rPr>
      <t>조치</t>
    </r>
    <r>
      <rPr>
        <rFont val="MS Mincho"/>
        <color theme="1"/>
        <sz val="11.0"/>
      </rPr>
      <t>(</t>
    </r>
    <r>
      <rPr>
        <rFont val="맑은 고딕"/>
        <color theme="1"/>
        <sz val="11.0"/>
      </rPr>
      <t>암호화</t>
    </r>
    <r>
      <rPr>
        <rFont val="MS Mincho"/>
        <color theme="1"/>
        <sz val="11.0"/>
      </rPr>
      <t>, </t>
    </r>
    <r>
      <rPr>
        <rFont val="맑은 고딕"/>
        <color theme="1"/>
        <sz val="11.0"/>
      </rPr>
      <t>접근</t>
    </r>
    <r>
      <rPr>
        <rFont val="MS Mincho"/>
        <color theme="1"/>
        <sz val="11.0"/>
      </rPr>
      <t> </t>
    </r>
    <r>
      <rPr>
        <rFont val="맑은 고딕"/>
        <color theme="1"/>
        <sz val="11.0"/>
      </rPr>
      <t>제한</t>
    </r>
    <r>
      <rPr>
        <rFont val="MS Mincho"/>
        <color theme="1"/>
        <sz val="11.0"/>
      </rPr>
      <t>, </t>
    </r>
    <r>
      <rPr>
        <rFont val="맑은 고딕"/>
        <color theme="1"/>
        <sz val="11.0"/>
      </rPr>
      <t>관리적</t>
    </r>
    <r>
      <rPr>
        <rFont val="MS Mincho"/>
        <color theme="1"/>
        <sz val="11.0"/>
      </rPr>
      <t> </t>
    </r>
    <r>
      <rPr>
        <rFont val="맑은 고딕"/>
        <color theme="1"/>
        <sz val="11.0"/>
      </rPr>
      <t>통제</t>
    </r>
    <r>
      <rPr>
        <rFont val="MS Mincho"/>
        <color theme="1"/>
        <sz val="11.0"/>
      </rPr>
      <t> </t>
    </r>
    <r>
      <rPr>
        <rFont val="맑은 고딕"/>
        <color theme="1"/>
        <sz val="11.0"/>
      </rPr>
      <t>등</t>
    </r>
    <r>
      <rPr>
        <rFont val="MS Mincho"/>
        <color theme="1"/>
        <sz val="11.0"/>
      </rPr>
      <t>)</t>
    </r>
    <r>
      <rPr>
        <rFont val="맑은 고딕"/>
        <color theme="1"/>
        <sz val="11.0"/>
      </rPr>
      <t>를</t>
    </r>
    <r>
      <rPr>
        <rFont val="MS Mincho"/>
        <color theme="1"/>
        <sz val="11.0"/>
      </rPr>
      <t> </t>
    </r>
    <r>
      <rPr>
        <rFont val="맑은 고딕"/>
        <color theme="1"/>
        <sz val="11.0"/>
      </rPr>
      <t>반드시</t>
    </r>
    <r>
      <rPr>
        <rFont val="MS Mincho"/>
        <color theme="1"/>
        <sz val="11.0"/>
      </rPr>
      <t> </t>
    </r>
    <r>
      <rPr>
        <rFont val="맑은 고딕"/>
        <color theme="1"/>
        <sz val="11.0"/>
      </rPr>
      <t>이행해야</t>
    </r>
    <r>
      <rPr>
        <rFont val="MS Mincho"/>
        <color theme="1"/>
        <sz val="11.0"/>
      </rPr>
      <t> </t>
    </r>
    <r>
      <rPr>
        <rFont val="맑은 고딕"/>
        <color theme="1"/>
        <sz val="11.0"/>
      </rPr>
      <t>합니다</t>
    </r>
    <r>
      <rPr>
        <rFont val="MS Mincho"/>
        <color theme="1"/>
        <sz val="11.0"/>
      </rPr>
      <t>. </t>
    </r>
    <r>
      <rPr>
        <rFont val="맑은 고딕"/>
        <color theme="1"/>
        <sz val="11.0"/>
      </rPr>
      <t>이를</t>
    </r>
    <r>
      <rPr>
        <rFont val="MS Mincho"/>
        <color theme="1"/>
        <sz val="11.0"/>
      </rPr>
      <t> </t>
    </r>
    <r>
      <rPr>
        <rFont val="맑은 고딕"/>
        <color theme="1"/>
        <sz val="11.0"/>
      </rPr>
      <t>통해</t>
    </r>
    <r>
      <rPr>
        <rFont val="MS Mincho"/>
        <color theme="1"/>
        <sz val="11.0"/>
      </rPr>
      <t> </t>
    </r>
    <r>
      <rPr>
        <rFont val="맑은 고딕"/>
        <color theme="1"/>
        <sz val="11.0"/>
      </rPr>
      <t>데이터의</t>
    </r>
    <r>
      <rPr>
        <rFont val="MS Mincho"/>
        <color theme="1"/>
        <sz val="11.0"/>
      </rPr>
      <t> </t>
    </r>
    <r>
      <rPr>
        <rFont val="맑은 고딕"/>
        <color theme="1"/>
        <sz val="11.0"/>
      </rPr>
      <t>안전성을</t>
    </r>
    <r>
      <rPr>
        <rFont val="MS Mincho"/>
        <color theme="1"/>
        <sz val="11.0"/>
      </rPr>
      <t> </t>
    </r>
    <r>
      <rPr>
        <rFont val="맑은 고딕"/>
        <color theme="1"/>
        <sz val="11.0"/>
      </rPr>
      <t>보장하고</t>
    </r>
    <r>
      <rPr>
        <rFont val="MS Mincho"/>
        <color theme="1"/>
        <sz val="11.0"/>
      </rPr>
      <t> </t>
    </r>
    <r>
      <rPr>
        <rFont val="맑은 고딕"/>
        <color theme="1"/>
        <sz val="11.0"/>
      </rPr>
      <t>개인정보</t>
    </r>
    <r>
      <rPr>
        <rFont val="MS Mincho"/>
        <color theme="1"/>
        <sz val="11.0"/>
      </rPr>
      <t> </t>
    </r>
    <r>
      <rPr>
        <rFont val="맑은 고딕"/>
        <color theme="1"/>
        <sz val="11.0"/>
      </rPr>
      <t>유출</t>
    </r>
    <r>
      <rPr>
        <rFont val="MS Mincho"/>
        <color theme="1"/>
        <sz val="11.0"/>
      </rPr>
      <t> </t>
    </r>
    <r>
      <rPr>
        <rFont val="맑은 고딕"/>
        <color theme="1"/>
        <sz val="11.0"/>
      </rPr>
      <t>및</t>
    </r>
    <r>
      <rPr>
        <rFont val="MS Mincho"/>
        <color theme="1"/>
        <sz val="11.0"/>
      </rPr>
      <t> </t>
    </r>
    <r>
      <rPr>
        <rFont val="맑은 고딕"/>
        <color theme="1"/>
        <sz val="11.0"/>
      </rPr>
      <t>재식별의</t>
    </r>
    <r>
      <rPr>
        <rFont val="MS Mincho"/>
        <color theme="1"/>
        <sz val="11.0"/>
      </rPr>
      <t> </t>
    </r>
    <r>
      <rPr>
        <rFont val="맑은 고딕"/>
        <color theme="1"/>
        <sz val="11.0"/>
      </rPr>
      <t>위험을</t>
    </r>
    <r>
      <rPr>
        <rFont val="MS Mincho"/>
        <color theme="1"/>
        <sz val="11.0"/>
      </rPr>
      <t> </t>
    </r>
    <r>
      <rPr>
        <rFont val="맑은 고딕"/>
        <color theme="1"/>
        <sz val="11.0"/>
      </rPr>
      <t>효과적으로</t>
    </r>
    <r>
      <rPr>
        <rFont val="MS Mincho"/>
        <color theme="1"/>
        <sz val="11.0"/>
      </rPr>
      <t> </t>
    </r>
    <r>
      <rPr>
        <rFont val="맑은 고딕"/>
        <color theme="1"/>
        <sz val="11.0"/>
      </rPr>
      <t>방지할</t>
    </r>
    <r>
      <rPr>
        <rFont val="MS Mincho"/>
        <color theme="1"/>
        <sz val="11.0"/>
      </rPr>
      <t> </t>
    </r>
    <r>
      <rPr>
        <rFont val="맑은 고딕"/>
        <color theme="1"/>
        <sz val="11.0"/>
      </rPr>
      <t>수</t>
    </r>
    <r>
      <rPr>
        <rFont val="MS Mincho"/>
        <color theme="1"/>
        <sz val="11.0"/>
      </rPr>
      <t> </t>
    </r>
    <r>
      <rPr>
        <rFont val="맑은 고딕"/>
        <color theme="1"/>
        <sz val="11.0"/>
      </rPr>
      <t>있습니다</t>
    </r>
    <r>
      <rPr>
        <rFont val="MS Mincho"/>
        <color theme="1"/>
        <sz val="11.0"/>
      </rPr>
      <t xml:space="preserve">.
</t>
    </r>
    <r>
      <rPr>
        <rFont val="돋움"/>
        <color theme="1"/>
        <sz val="11.0"/>
      </rPr>
      <t>링크 : 가명정보</t>
    </r>
    <r>
      <rPr>
        <rFont val="Calibri"/>
        <color theme="1"/>
        <sz val="11.0"/>
      </rPr>
      <t> </t>
    </r>
    <r>
      <rPr>
        <rFont val="돋움"/>
        <color theme="1"/>
        <sz val="11.0"/>
      </rPr>
      <t>처리</t>
    </r>
    <r>
      <rPr>
        <rFont val="Calibri"/>
        <color theme="1"/>
        <sz val="11.0"/>
      </rPr>
      <t> </t>
    </r>
    <r>
      <rPr>
        <rFont val="돋움"/>
        <color theme="1"/>
        <sz val="11.0"/>
      </rPr>
      <t>가이드라인</t>
    </r>
    <r>
      <rPr>
        <rFont val="Calibri"/>
        <color theme="1"/>
        <sz val="11.0"/>
      </rPr>
      <t>(2024.2)</t>
    </r>
  </si>
  <si>
    <t>기대답변 :
 1. 재식별 위험 최소화 의무
  - 제3자의 개인정보 보호수준과 신뢰도를 고려하여, 재식별 가능성을 최소화하는 수준으로 가명처리를 해야 한다.
  - 보호수준이 낮은 기관이라면 더 강한 수준의 가명처리를 적용해야 한다.
 2. 추가정보 제공 금지
  - 제공하는 가명정보에는 특정 개인을 알아볼 수 있는 정보(추가정보 등)를 포함해서는 안 된다.(법 제28조의2 제2항)
 3. 제3자가 이미 보유한 정보 고려
  - 제3자가 사전에 보유·접근 가능한 정보나, 제공받는 다른 정보와의 연계 가능성을 반드시 검토해야 한다.
  - 이를 파악하기 위해 제공받는 측에 관련 개인정보 목록 등을 요청하는 것도 가능하다.
 4. 계약 단계에서 이용환경 확인
  - 사전 계약서에 데이터 이용환경 제한이 기재되어 있다면(예: 폐쇄망 활용), 이를 고려하여 제공 여부와 수준을 판단해야 한다.</t>
  </si>
  <si>
    <t>나. 다른 개인정보처리자 제공(제3자 제공)
 개인정보처리자가 보유한 개인정보를 가명처리하여 특정 제3자에게 제공하는 경우를 의미함- 제3자의 개인정보 보호수준 및 신뢰도를 고려하여 제공하는 가명정보로 발생할 수 있는 재식별 
 위험을 최소화하기 위하여 노력하여야 함*
  * 보호수준이 낮은 기관에는 상대적으로 높은 수준의 가명처리 수준을 적용하는 방법 등 - 가명정보를 제3자에게 제공하는 경우 추가정보 등 특정 개인을 알아보기 위하여 사용될 수 있는 
 정보를 제공하여서는 아니됨(보호법 제28조의2 제2항)
 제28조의2(가명정보의 처리 등) ② 개인정보처리자는 제1항에 따라 가명정보를 제3자에게 
 제공하는 경우에는 특정 개인을 알아보기 위하여 사용될 수 있는 정보를 포함해서는 아니 된다.- 또한 개인정보처리자는 제3자가 사전에 보유하고 있는(접근 가능한) 정보, 처리 시점을 기준으로 
 제공받는 다른(개인)정보 등을 고려하여야 하고, 이를 파악하기 위해 관련 정보*를 요청하는 것도 
 가능함
 * 제3자가 관리하고 있는 개인정보 중 제공받는 가명정보와 연계 또는 조합 가능성이 있는 개인정보 목록 등- 사전 준비 단계의 계약서에 데이터의 이용환경에 대한 제한 등에 대하여 명시한 사항*이 있다면 
 이를 고려할 수 있음 
 * 다른 정보의 접근이 제한된 폐쇄망 환경에서 이용하겠다는 사항 등</t>
  </si>
  <si>
    <t>개인정보 가명정보 처리 및 제3자 제공에 대해 관련 법령(안전조치, 계약체결, 관라감독 절차 등 필요한 특별 조치) 안내</t>
  </si>
  <si>
    <r>
      <rPr>
        <rFont val="맑은 고딕"/>
        <b/>
        <color theme="1"/>
        <sz val="11.0"/>
      </rPr>
      <t>150_2402_빅데이터과_기타_개인정보보호위원회_가명정보_처리_가이드라인.pdf[16]</t>
    </r>
    <r>
      <rPr>
        <rFont val="맑은 고딕"/>
        <color theme="1"/>
        <sz val="11.0"/>
      </rPr>
      <t xml:space="preserve">
-----
가명정보 처리 가이드라인 가 명정보 처리를 위한 안전조치 이행 : 개인정보 처리방침 수립·공개(보호법 제30조), 내부 관리계획 가 명정보 처리를 위한 안전조치 이행 : 개인정보 처리방침 수립·공개(보호법 제30조), 내부 관리계획 수립·시행(개인정보의 안전성 확보조치 기준 제4조) 등 가명정보 처리에 앞서 이행하여야 할 사항을 수립·시행(개 준비해야 함 준비해야 함 - 가 명정보 처리에 관한 내부 관리계획이 없는 경우 수립이 필요함 가 명정보 처리에 관한 내부 관리계획이 ([제4장 안전성 확보 조치] (77p) 참고) </t>
    </r>
    <r>
      <rPr>
        <rFont val="맑은 고딕"/>
        <color rgb="FFFF0000"/>
        <sz val="11.0"/>
      </rPr>
      <t>필 요서류 작성 : 가명정보의 처리 또는 가명처리를 위탁(보호법 제26조에 따라 수행)하거나 필 요서류 작성 : 가명정보의 처리 또는 가명처리를 위탁(보호법 제26조에 따라 수행)하거나 가명정보를 제3자에게 제공하는 경우 필요에 따라 재식별 금지에 관한 사항, 기타 처리에 있어 가명정보를 제3자에게 제공하는 경우 필요에 따라 재식별 유의해야 할 사항* 등을 포함한 계약서를 작성할 수 있음 유의해야 할 사항* 등을 포함한 계약서를 작성할 수 있음 * ( 예시) 가명정보의 재제공 금지, 가명정보 재식별 금지, 가명정보의 안전성 확보조치, 가명정보의 처리기록 ( 예시) 가명정보의 재제공 금지, 가명정보 재식별 금지, 가명정보 작성 및 보관, 가명정보의 파기, 재식별 시 책임 및 손해배상 등 작성 및 보관, 가명정보의 파기, 재식별 시 책임 및 손해배상 등 - 또 한, 가명정보 처리 또는 가명처리 위탁 시 위탁 관련 문서 작성, 위탁 업무 공개, 수탁사에 대한 또 한, 가명정보 처리 또는 가명처리 위탁 시 위탁 관련 문서 작성, 위탁 업무 공개 관리·감독에 관한 사항 등 위탁 처리 시 준수하여야 할 사항들을 확인하여야 함</t>
    </r>
    <r>
      <rPr>
        <rFont val="맑은 고딕"/>
        <color theme="1"/>
        <sz val="11.0"/>
      </rPr>
      <t xml:space="preserve"> 기 타 : 개인정보 활용 및 가명처리 등에 대해 내부 승인 절차를 별도로 두고 있는 개인정보처리자는 기 타 : 개인정보 활용 및 가명처리 등에 대 이 단계에서 해당 절차를 진행하여야 함 ( 적절하지 않은 예시) 신제품 개발을 위한 과학적 연구 수행 ( 적절하지 않은 예시) 신제품 개발을 위한 과학적 연 ※ 목적이 구체적으로 명시되지 않아 적절하지 않음 ※ 목적이 구체적으로 명시되지 않아 적절하지 않음 ( 적절한 예시) ○○제품의 성능 개선을 위해 개인별 ○○○특성에 대한 설문조사를 토대로 ( 적절한 예시) ○○제품의 성능 개선을 위해 개인별 ○○○특 개인별 특성과 성능 요인의 연관성에 대한 과학적 연구 수행 기타 참고사항 ▶ 민 감정보와 고유식별정보의 처리 민 감정보와 고유식별정보의 처리 - 민 감정보(보호법 제23조) 또는 고유식별정보(보호법 제24조)도 가명정보 처리 특례에 따라 민 감정보(보호법 제23조) 또는 고유식별정보(보호법 제24조)도 가명정보 처리 특례에 따라 가명처리하여 활용하는 것이 가능하지만, 개인정보 보호 원칙(보호법 제3조)을 준수하여 처리 가명처리하여 활용하는 것이 가능하지만, 개인정보 보호 원칙(보호법 목적에 필요하지 않은 민감정보 또는 고유식별정보는 삭제하여야 함 목적에 필요하지 않은 민감정보 또는 고유식별정보는 삭제하여야 함 - 다 만 주민등록번호는 법령에 주민등록번호를 처리할 수 있는 근거가 없는 경우 가명정보 처리 다 만 주민등록번호는 법령에 주민등록번호를 처리할 수 있는 특례에 따른 가명처리는 허용되지 않음(보호법 제24조의2) 특례에 따른 가명처리는 허용되지 않음(보호법 제24조의2) ※ 가 명정보 처리의 목적이 적합한지에 대한 입증 책임은 개인정보처리자에게 있으므로 개인정보 가 명정보 처리의 목적이 적합한지에 대한 입증 책임은 개인정보처리자에게 있으므로 개인정 처리자는 향후 처리 목적에 대한 증빙을 위해 연구계획서 등 목적설명서를 작성할 수 있음 처리자는 향후 처리 목적에 대한 증빙을 위해 연구계획서 등 목적설명 ([참고자료] 참고5. 가명처리 및 결합 목적 증빙 자료 예시 (119p) 참고) 14</t>
    </r>
  </si>
  <si>
    <r>
      <rPr>
        <rFont val="맑은 고딕"/>
        <b/>
        <color theme="1"/>
        <sz val="11.0"/>
      </rPr>
      <t>150_2402_빅데이터과_기타_개인정보보호위원회_가명정보_처리_가이드라인.pdf[24]</t>
    </r>
    <r>
      <rPr>
        <rFont val="맑은 고딕"/>
        <color theme="1"/>
        <sz val="11.0"/>
      </rPr>
      <t xml:space="preserve">
-----
가명정보 처리 가이드라인 나. 다른 개인정보처리자 제공(제3자 제공) 른 개인정보처리자 제공(제3자 제공) 개 인정보처리자가 보유한 개인정보를 가명처리하여 특정 제3자에게 제공하는 경우를 의미함 개 인정보처리자가 보유한 개인정보를 가명처리하여 특정 제3자에게 제공하는 경우를 의미함 - 제 3자의 개인정보 보호수준 및 신뢰도를 고려하여 제공하는 가명정보로 발생할 수 있는 재식별 제 3자의 개인정보 보호수준 및 신뢰도를 고 위험을 최소화하기 위하여 노력하여야 함* 위험을 최소화하기 위하여 노력하여야 함* * 보호수준이 낮은 기관에는 상대적으로 높은 수준의 가명처리 수준을 적용하는 방법 등 * 보호수준이 낮은 기관에는 상대적으로 높은 수준의 가명처리 수준을 적용하는 방법 등 - 가 명정보를 제3자에게 제공하는 경우 추가정보 등 특정 개인을 알아보기 위하여 사용될 수 있는 가 명정보를 제3자에게 제공하는 경우 추가정보 등 특정 정보를 제공하여서는 아니됨(보호법 제28조의2 제2항) 제28조의2(가명정보의 처리 등) 2 개인정보처리자는 제1항에 따라 가명정보를 제3자에게 제28조의2(가명정보의 처리 등) 2 개인정보처리자는 제1항에 따라 가명정보를 제3자에게 제공하는 경우에는 특정 개인을 알아보기 위하여 사용될 수 있는 정보를 포함해서는 아니 된다. - 또 한 개인정보처리자는 제3자가 사전에 보유하고 있는(접근 가능한) 정보, 처리 시점을 기준으로 또 한 개인정보처리자는 제3자가 사전에 보유하고 있는(접근 가능한) 정보, 처리 시점을 기준으로 제공받는 다른(개인)정보 등을 고려하여야 하고, 이를 파악하기 위해 관련 정보*를 요청하는 것도 제공받는 가능함 가능함 * 제 3자가 관리하고 있는 개인정보 중 제공받는 가명정보와 연계 또는 조합 가능성이 있는 개인정보 목록 등 * 제 3자가 관리하고 있는 개인정보 중 제공받는 가명정보와 연계 또는 조합 가능성이 있는 개인정보 목록 등 - 사 전 준비 단계의 계약서에 데이터의 이용환경에 대한 제한 등에 대하여 명시한 사항*이 있다면 사 전 준비 단계의 계약 이를 고려할 수 있음 이를 고려할 수 있음 * 다른 정보의 접근이 제한된 폐쇄망 환경에서 이용하겠다는 사항 등 (참고) 가명정보 제공시 법적책임 범위 ▶ 개 인정보를 보호법에서 정한 처리 목적에 따라 가명처리하고 관련 안전조치 등 법률에서 개 인정보를 보호법에서 정한 처리 목적에 따라 가명처 정한 사항을 모두 준수하여 가명정보를 제공한 경우, 정한 사항을 모두 준수하여 가명정보를 제공한 경우, - 가 명정보를 제공받은 자가 가명정보 이용 과정에서 의도치 않게 특정 개인을 알아볼 수 가 명정보를 제공받은 자가 가명정보 이용 과정에서 의도치 않게 특정 개인을 알아볼 수 있는 정보가 생성되었다는 사실만으로는 가명정보를 제공한 자에 대해 개인정보 보호법상 있는 정보가 생성되었다는 행정처분을 하지 아니함 행정처분을 하지 아니함 ※ 단, 제공받은 자는 위 생성된 정보의 처리를 즉시 중지하고, 지체없이 회수·파기하여야 함 ※ 단, 제공받은 자는 위 생성된 정보의 처리를 즉시 중지하고, 지체없이 회수·파기하여야 함 ▶ 가 명정보를 제공받은 자가 안전조치 미이행 등으로 가명정보를 유출하였거나 고의로 재식별 가 명정보를 제공받은 자가 안전조치 미이 행위를 하는 경우, 해당 행위자만 제재함 22</t>
    </r>
  </si>
  <si>
    <r>
      <rPr>
        <rFont val="Arial"/>
        <color rgb="FF000000"/>
        <sz val="11.0"/>
      </rPr>
      <t>비정형</t>
    </r>
    <r>
      <rPr>
        <rFont val="MS Mincho"/>
        <color rgb="FF000000"/>
        <sz val="11.0"/>
      </rPr>
      <t> </t>
    </r>
    <r>
      <rPr>
        <rFont val="Arial"/>
        <color rgb="FF000000"/>
        <sz val="11.0"/>
      </rPr>
      <t>데이터의</t>
    </r>
    <r>
      <rPr>
        <rFont val="MS Mincho"/>
        <color rgb="FF000000"/>
        <sz val="11.0"/>
      </rPr>
      <t> </t>
    </r>
    <r>
      <rPr>
        <rFont val="Arial"/>
        <color rgb="FF000000"/>
        <sz val="11.0"/>
      </rPr>
      <t>가명처리</t>
    </r>
    <r>
      <rPr>
        <rFont val="MS Mincho"/>
        <color rgb="FF000000"/>
        <sz val="11.0"/>
      </rPr>
      <t> </t>
    </r>
    <r>
      <rPr>
        <rFont val="Arial"/>
        <color rgb="FF000000"/>
        <sz val="11.0"/>
      </rPr>
      <t>시</t>
    </r>
    <r>
      <rPr>
        <rFont val="MS Mincho"/>
        <color rgb="FF000000"/>
        <sz val="11.0"/>
      </rPr>
      <t> </t>
    </r>
    <r>
      <rPr>
        <rFont val="Arial"/>
        <color rgb="FF000000"/>
        <sz val="11.0"/>
      </rPr>
      <t>유의할</t>
    </r>
    <r>
      <rPr>
        <rFont val="MS Mincho"/>
        <color rgb="FF000000"/>
        <sz val="11.0"/>
      </rPr>
      <t> </t>
    </r>
    <r>
      <rPr>
        <rFont val="Arial"/>
        <color rgb="FF000000"/>
        <sz val="11.0"/>
      </rPr>
      <t>사항은</t>
    </r>
    <r>
      <rPr>
        <rFont val="MS Mincho"/>
        <color rgb="FF000000"/>
        <sz val="11.0"/>
      </rPr>
      <t> </t>
    </r>
    <r>
      <rPr>
        <rFont val="Arial"/>
        <color rgb="FF000000"/>
        <sz val="11.0"/>
      </rPr>
      <t>무엇인가요</t>
    </r>
    <r>
      <rPr>
        <rFont val="MS Mincho"/>
        <color rgb="FF000000"/>
        <sz val="11.0"/>
      </rPr>
      <t>?</t>
    </r>
  </si>
  <si>
    <t>비정형 데이터(문서, 이미지, 로그 등)를 가명정보로 처리할 때, 관련 법령과 내부 지침상 유의해야 할 사항과 안전조치 기준은 무엇인가요?</t>
  </si>
  <si>
    <r>
      <rPr>
        <rFont val="맑은 고딕"/>
        <color theme="1"/>
        <sz val="11.0"/>
      </rPr>
      <t>비정형</t>
    </r>
    <r>
      <rPr>
        <rFont val="Calibri"/>
        <color theme="1"/>
        <sz val="11.0"/>
      </rPr>
      <t xml:space="preserve"> </t>
    </r>
    <r>
      <rPr>
        <rFont val="맑은 고딕"/>
        <color theme="1"/>
        <sz val="11.0"/>
      </rPr>
      <t>데이터의</t>
    </r>
    <r>
      <rPr>
        <rFont val="Calibri"/>
        <color theme="1"/>
        <sz val="11.0"/>
      </rPr>
      <t xml:space="preserve"> </t>
    </r>
    <r>
      <rPr>
        <rFont val="맑은 고딕"/>
        <color theme="1"/>
        <sz val="11.0"/>
      </rPr>
      <t>가명처리</t>
    </r>
    <r>
      <rPr>
        <rFont val="Calibri"/>
        <color theme="1"/>
        <sz val="11.0"/>
      </rPr>
      <t xml:space="preserve"> </t>
    </r>
    <r>
      <rPr>
        <rFont val="맑은 고딕"/>
        <color theme="1"/>
        <sz val="11.0"/>
      </rPr>
      <t>시</t>
    </r>
    <r>
      <rPr>
        <rFont val="Calibri"/>
        <color theme="1"/>
        <sz val="11.0"/>
      </rPr>
      <t xml:space="preserve"> </t>
    </r>
    <r>
      <rPr>
        <rFont val="맑은 고딕"/>
        <color theme="1"/>
        <sz val="11.0"/>
      </rPr>
      <t>유의할</t>
    </r>
    <r>
      <rPr>
        <rFont val="Calibri"/>
        <color theme="1"/>
        <sz val="11.0"/>
      </rPr>
      <t xml:space="preserve"> </t>
    </r>
    <r>
      <rPr>
        <rFont val="맑은 고딕"/>
        <color theme="1"/>
        <sz val="11.0"/>
      </rPr>
      <t>사항은</t>
    </r>
    <r>
      <rPr>
        <rFont val="Calibri"/>
        <color theme="1"/>
        <sz val="11.0"/>
      </rPr>
      <t xml:space="preserve"> </t>
    </r>
    <r>
      <rPr>
        <rFont val="맑은 고딕"/>
        <color theme="1"/>
        <sz val="11.0"/>
      </rPr>
      <t>특수성</t>
    </r>
    <r>
      <rPr>
        <rFont val="Calibri"/>
        <color theme="1"/>
        <sz val="11.0"/>
      </rPr>
      <t xml:space="preserve"> </t>
    </r>
    <r>
      <rPr>
        <rFont val="맑은 고딕"/>
        <color theme="1"/>
        <sz val="11.0"/>
      </rPr>
      <t>및</t>
    </r>
    <r>
      <rPr>
        <rFont val="Calibri"/>
        <color theme="1"/>
        <sz val="11.0"/>
      </rPr>
      <t xml:space="preserve"> </t>
    </r>
    <r>
      <rPr>
        <rFont val="맑은 고딕"/>
        <color theme="1"/>
        <sz val="11.0"/>
      </rPr>
      <t>고려사항</t>
    </r>
    <r>
      <rPr>
        <rFont val="Calibri"/>
        <color theme="1"/>
        <sz val="11.0"/>
      </rPr>
      <t xml:space="preserve">, </t>
    </r>
    <r>
      <rPr>
        <rFont val="맑은 고딕"/>
        <color theme="1"/>
        <sz val="11.0"/>
      </rPr>
      <t>기본</t>
    </r>
    <r>
      <rPr>
        <rFont val="Calibri"/>
        <color theme="1"/>
        <sz val="11.0"/>
      </rPr>
      <t xml:space="preserve"> </t>
    </r>
    <r>
      <rPr>
        <rFont val="맑은 고딕"/>
        <color theme="1"/>
        <sz val="11.0"/>
      </rPr>
      <t>원칙</t>
    </r>
    <r>
      <rPr>
        <rFont val="Calibri"/>
        <color theme="1"/>
        <sz val="11.0"/>
      </rPr>
      <t xml:space="preserve">, </t>
    </r>
    <r>
      <rPr>
        <rFont val="맑은 고딕"/>
        <color theme="1"/>
        <sz val="11.0"/>
      </rPr>
      <t>단계별</t>
    </r>
    <r>
      <rPr>
        <rFont val="Calibri"/>
        <color theme="1"/>
        <sz val="11.0"/>
      </rPr>
      <t xml:space="preserve"> </t>
    </r>
    <r>
      <rPr>
        <rFont val="맑은 고딕"/>
        <color theme="1"/>
        <sz val="11.0"/>
      </rPr>
      <t>고려사항입니다</t>
    </r>
    <r>
      <rPr>
        <rFont val="Calibri"/>
        <color theme="1"/>
        <sz val="11.0"/>
      </rPr>
      <t xml:space="preserve">.
</t>
    </r>
    <r>
      <rPr>
        <rFont val="맑은 고딕"/>
        <color theme="1"/>
        <sz val="11.0"/>
      </rPr>
      <t>관련내용은</t>
    </r>
    <r>
      <rPr>
        <rFont val="Calibri"/>
        <color theme="1"/>
        <sz val="11.0"/>
      </rPr>
      <t xml:space="preserve"> </t>
    </r>
    <r>
      <rPr>
        <rFont val="맑은 고딕"/>
        <color theme="1"/>
        <sz val="11.0"/>
      </rPr>
      <t>다음과</t>
    </r>
    <r>
      <rPr>
        <rFont val="Calibri"/>
        <color theme="1"/>
        <sz val="11.0"/>
      </rPr>
      <t xml:space="preserve"> </t>
    </r>
    <r>
      <rPr>
        <rFont val="맑은 고딕"/>
        <color theme="1"/>
        <sz val="11.0"/>
      </rPr>
      <t>같습니다</t>
    </r>
    <r>
      <rPr>
        <rFont val="Calibri"/>
        <color theme="1"/>
        <sz val="11.0"/>
      </rPr>
      <t xml:space="preserve">.
</t>
    </r>
    <r>
      <rPr>
        <rFont val="맑은 고딕"/>
        <color theme="1"/>
        <sz val="11.0"/>
      </rPr>
      <t>특수성</t>
    </r>
    <r>
      <rPr>
        <rFont val="Calibri"/>
        <color theme="1"/>
        <sz val="11.0"/>
      </rPr>
      <t xml:space="preserve"> </t>
    </r>
    <r>
      <rPr>
        <rFont val="맑은 고딕"/>
        <color theme="1"/>
        <sz val="11.0"/>
      </rPr>
      <t>및</t>
    </r>
    <r>
      <rPr>
        <rFont val="Calibri"/>
        <color theme="1"/>
        <sz val="11.0"/>
      </rPr>
      <t xml:space="preserve"> </t>
    </r>
    <r>
      <rPr>
        <rFont val="맑은 고딕"/>
        <color theme="1"/>
        <sz val="11.0"/>
      </rPr>
      <t>고려사항</t>
    </r>
    <r>
      <rPr>
        <rFont val="Calibri"/>
        <color theme="1"/>
        <sz val="11.0"/>
      </rPr>
      <t xml:space="preserve">: </t>
    </r>
    <r>
      <rPr>
        <rFont val="맑은 고딕"/>
        <color theme="1"/>
        <sz val="11.0"/>
      </rPr>
      <t>비정형</t>
    </r>
    <r>
      <rPr>
        <rFont val="Calibri"/>
        <color theme="1"/>
        <sz val="11.0"/>
      </rPr>
      <t xml:space="preserve"> </t>
    </r>
    <r>
      <rPr>
        <rFont val="맑은 고딕"/>
        <color theme="1"/>
        <sz val="11.0"/>
      </rPr>
      <t>데이터는</t>
    </r>
    <r>
      <rPr>
        <rFont val="Calibri"/>
        <color theme="1"/>
        <sz val="11.0"/>
      </rPr>
      <t xml:space="preserve"> </t>
    </r>
    <r>
      <rPr>
        <rFont val="맑은 고딕"/>
        <color theme="1"/>
        <sz val="11.0"/>
      </rPr>
      <t>텍스트</t>
    </r>
    <r>
      <rPr>
        <rFont val="Calibri"/>
        <color theme="1"/>
        <sz val="11.0"/>
      </rPr>
      <t xml:space="preserve">, </t>
    </r>
    <r>
      <rPr>
        <rFont val="맑은 고딕"/>
        <color theme="1"/>
        <sz val="11.0"/>
      </rPr>
      <t>이미지</t>
    </r>
    <r>
      <rPr>
        <rFont val="Calibri"/>
        <color theme="1"/>
        <sz val="11.0"/>
      </rPr>
      <t xml:space="preserve">, </t>
    </r>
    <r>
      <rPr>
        <rFont val="맑은 고딕"/>
        <color theme="1"/>
        <sz val="11.0"/>
      </rPr>
      <t>오디오</t>
    </r>
    <r>
      <rPr>
        <rFont val="Calibri"/>
        <color theme="1"/>
        <sz val="11.0"/>
      </rPr>
      <t xml:space="preserve">, </t>
    </r>
    <r>
      <rPr>
        <rFont val="맑은 고딕"/>
        <color theme="1"/>
        <sz val="11.0"/>
      </rPr>
      <t>비디오</t>
    </r>
    <r>
      <rPr>
        <rFont val="Calibri"/>
        <color theme="1"/>
        <sz val="11.0"/>
      </rPr>
      <t xml:space="preserve"> </t>
    </r>
    <r>
      <rPr>
        <rFont val="맑은 고딕"/>
        <color theme="1"/>
        <sz val="11.0"/>
      </rPr>
      <t>등</t>
    </r>
    <r>
      <rPr>
        <rFont val="Calibri"/>
        <color theme="1"/>
        <sz val="11.0"/>
      </rPr>
      <t xml:space="preserve"> </t>
    </r>
    <r>
      <rPr>
        <rFont val="맑은 고딕"/>
        <color theme="1"/>
        <sz val="11.0"/>
      </rPr>
      <t>다양한</t>
    </r>
    <r>
      <rPr>
        <rFont val="Calibri"/>
        <color theme="1"/>
        <sz val="11.0"/>
      </rPr>
      <t xml:space="preserve"> </t>
    </r>
    <r>
      <rPr>
        <rFont val="맑은 고딕"/>
        <color theme="1"/>
        <sz val="11.0"/>
      </rPr>
      <t>형태로</t>
    </r>
    <r>
      <rPr>
        <rFont val="Calibri"/>
        <color theme="1"/>
        <sz val="11.0"/>
      </rPr>
      <t xml:space="preserve"> </t>
    </r>
    <r>
      <rPr>
        <rFont val="맑은 고딕"/>
        <color theme="1"/>
        <sz val="11.0"/>
      </rPr>
      <t>존재하며</t>
    </r>
    <r>
      <rPr>
        <rFont val="Calibri"/>
        <color theme="1"/>
        <sz val="11.0"/>
      </rPr>
      <t xml:space="preserve">, </t>
    </r>
    <r>
      <rPr>
        <rFont val="맑은 고딕"/>
        <color theme="1"/>
        <sz val="11.0"/>
      </rPr>
      <t>각</t>
    </r>
    <r>
      <rPr>
        <rFont val="Calibri"/>
        <color theme="1"/>
        <sz val="11.0"/>
      </rPr>
      <t xml:space="preserve"> </t>
    </r>
    <r>
      <rPr>
        <rFont val="맑은 고딕"/>
        <color theme="1"/>
        <sz val="11.0"/>
      </rPr>
      <t>형태에</t>
    </r>
    <r>
      <rPr>
        <rFont val="Calibri"/>
        <color theme="1"/>
        <sz val="11.0"/>
      </rPr>
      <t xml:space="preserve"> </t>
    </r>
    <r>
      <rPr>
        <rFont val="맑은 고딕"/>
        <color theme="1"/>
        <sz val="11.0"/>
      </rPr>
      <t>따라</t>
    </r>
    <r>
      <rPr>
        <rFont val="Calibri"/>
        <color theme="1"/>
        <sz val="11.0"/>
      </rPr>
      <t xml:space="preserve"> </t>
    </r>
    <r>
      <rPr>
        <rFont val="맑은 고딕"/>
        <color theme="1"/>
        <sz val="11.0"/>
      </rPr>
      <t>가명처리</t>
    </r>
    <r>
      <rPr>
        <rFont val="Calibri"/>
        <color theme="1"/>
        <sz val="11.0"/>
      </rPr>
      <t xml:space="preserve"> </t>
    </r>
    <r>
      <rPr>
        <rFont val="맑은 고딕"/>
        <color theme="1"/>
        <sz val="11.0"/>
      </rPr>
      <t>방법이</t>
    </r>
    <r>
      <rPr>
        <rFont val="Calibri"/>
        <color theme="1"/>
        <sz val="11.0"/>
      </rPr>
      <t xml:space="preserve"> </t>
    </r>
    <r>
      <rPr>
        <rFont val="맑은 고딕"/>
        <color theme="1"/>
        <sz val="11.0"/>
      </rPr>
      <t>달라질</t>
    </r>
    <r>
      <rPr>
        <rFont val="Calibri"/>
        <color theme="1"/>
        <sz val="11.0"/>
      </rPr>
      <t xml:space="preserve"> </t>
    </r>
    <r>
      <rPr>
        <rFont val="맑은 고딕"/>
        <color theme="1"/>
        <sz val="11.0"/>
      </rPr>
      <t>수</t>
    </r>
    <r>
      <rPr>
        <rFont val="Calibri"/>
        <color theme="1"/>
        <sz val="11.0"/>
      </rPr>
      <t xml:space="preserve"> </t>
    </r>
    <r>
      <rPr>
        <rFont val="맑은 고딕"/>
        <color theme="1"/>
        <sz val="11.0"/>
      </rPr>
      <t>있습니다</t>
    </r>
    <r>
      <rPr>
        <rFont val="Calibri"/>
        <color theme="1"/>
        <sz val="11.0"/>
      </rPr>
      <t xml:space="preserve">. </t>
    </r>
    <r>
      <rPr>
        <rFont val="맑은 고딕"/>
        <color theme="1"/>
        <sz val="11.0"/>
      </rPr>
      <t>따라서</t>
    </r>
    <r>
      <rPr>
        <rFont val="Calibri"/>
        <color theme="1"/>
        <sz val="11.0"/>
      </rPr>
      <t xml:space="preserve"> </t>
    </r>
    <r>
      <rPr>
        <rFont val="맑은 고딕"/>
        <color theme="1"/>
        <sz val="11.0"/>
      </rPr>
      <t>데이터의</t>
    </r>
    <r>
      <rPr>
        <rFont val="Calibri"/>
        <color theme="1"/>
        <sz val="11.0"/>
      </rPr>
      <t xml:space="preserve"> </t>
    </r>
    <r>
      <rPr>
        <rFont val="맑은 고딕"/>
        <color theme="1"/>
        <sz val="11.0"/>
      </rPr>
      <t>특성에</t>
    </r>
    <r>
      <rPr>
        <rFont val="Calibri"/>
        <color theme="1"/>
        <sz val="11.0"/>
      </rPr>
      <t xml:space="preserve"> </t>
    </r>
    <r>
      <rPr>
        <rFont val="맑은 고딕"/>
        <color theme="1"/>
        <sz val="11.0"/>
      </rPr>
      <t>맞는</t>
    </r>
    <r>
      <rPr>
        <rFont val="Calibri"/>
        <color theme="1"/>
        <sz val="11.0"/>
      </rPr>
      <t xml:space="preserve"> </t>
    </r>
    <r>
      <rPr>
        <rFont val="맑은 고딕"/>
        <color theme="1"/>
        <sz val="11.0"/>
      </rPr>
      <t>가명처리</t>
    </r>
    <r>
      <rPr>
        <rFont val="Calibri"/>
        <color theme="1"/>
        <sz val="11.0"/>
      </rPr>
      <t xml:space="preserve"> </t>
    </r>
    <r>
      <rPr>
        <rFont val="맑은 고딕"/>
        <color theme="1"/>
        <sz val="11.0"/>
      </rPr>
      <t>방법을</t>
    </r>
    <r>
      <rPr>
        <rFont val="Calibri"/>
        <color theme="1"/>
        <sz val="11.0"/>
      </rPr>
      <t xml:space="preserve"> </t>
    </r>
    <r>
      <rPr>
        <rFont val="맑은 고딕"/>
        <color theme="1"/>
        <sz val="11.0"/>
      </rPr>
      <t>선택해야</t>
    </r>
    <r>
      <rPr>
        <rFont val="Calibri"/>
        <color theme="1"/>
        <sz val="11.0"/>
      </rPr>
      <t xml:space="preserve"> </t>
    </r>
    <r>
      <rPr>
        <rFont val="맑은 고딕"/>
        <color theme="1"/>
        <sz val="11.0"/>
      </rPr>
      <t>합니다</t>
    </r>
    <r>
      <rPr>
        <rFont val="Calibri"/>
        <color theme="1"/>
        <sz val="11.0"/>
      </rPr>
      <t xml:space="preserve">.
</t>
    </r>
    <r>
      <rPr>
        <rFont val="맑은 고딕"/>
        <color theme="1"/>
        <sz val="11.0"/>
      </rPr>
      <t>기본</t>
    </r>
    <r>
      <rPr>
        <rFont val="Calibri"/>
        <color theme="1"/>
        <sz val="11.0"/>
      </rPr>
      <t xml:space="preserve"> </t>
    </r>
    <r>
      <rPr>
        <rFont val="맑은 고딕"/>
        <color theme="1"/>
        <sz val="11.0"/>
      </rPr>
      <t>원칙</t>
    </r>
    <r>
      <rPr>
        <rFont val="Calibri"/>
        <color theme="1"/>
        <sz val="11.0"/>
      </rPr>
      <t xml:space="preserve">: </t>
    </r>
    <r>
      <rPr>
        <rFont val="맑은 고딕"/>
        <color theme="1"/>
        <sz val="11.0"/>
      </rPr>
      <t>비정형</t>
    </r>
    <r>
      <rPr>
        <rFont val="Calibri"/>
        <color theme="1"/>
        <sz val="11.0"/>
      </rPr>
      <t xml:space="preserve"> </t>
    </r>
    <r>
      <rPr>
        <rFont val="맑은 고딕"/>
        <color theme="1"/>
        <sz val="11.0"/>
      </rPr>
      <t>데이터의</t>
    </r>
    <r>
      <rPr>
        <rFont val="Calibri"/>
        <color theme="1"/>
        <sz val="11.0"/>
      </rPr>
      <t xml:space="preserve"> </t>
    </r>
    <r>
      <rPr>
        <rFont val="맑은 고딕"/>
        <color theme="1"/>
        <sz val="11.0"/>
      </rPr>
      <t>가명처리는</t>
    </r>
    <r>
      <rPr>
        <rFont val="Calibri"/>
        <color theme="1"/>
        <sz val="11.0"/>
      </rPr>
      <t xml:space="preserve"> </t>
    </r>
    <r>
      <rPr>
        <rFont val="맑은 고딕"/>
        <color theme="1"/>
        <sz val="11.0"/>
      </rPr>
      <t>데이터의</t>
    </r>
    <r>
      <rPr>
        <rFont val="Calibri"/>
        <color theme="1"/>
        <sz val="11.0"/>
      </rPr>
      <t xml:space="preserve"> </t>
    </r>
    <r>
      <rPr>
        <rFont val="맑은 고딕"/>
        <color theme="1"/>
        <sz val="11.0"/>
      </rPr>
      <t>무결성</t>
    </r>
    <r>
      <rPr>
        <rFont val="Calibri"/>
        <color theme="1"/>
        <sz val="11.0"/>
      </rPr>
      <t xml:space="preserve">, integrity, </t>
    </r>
    <r>
      <rPr>
        <rFont val="맑은 고딕"/>
        <color theme="1"/>
        <sz val="11.0"/>
      </rPr>
      <t>가용성</t>
    </r>
    <r>
      <rPr>
        <rFont val="Calibri"/>
        <color theme="1"/>
        <sz val="11.0"/>
      </rPr>
      <t xml:space="preserve">, availability, </t>
    </r>
    <r>
      <rPr>
        <rFont val="맑은 고딕"/>
        <color theme="1"/>
        <sz val="11.0"/>
      </rPr>
      <t>보안성</t>
    </r>
    <r>
      <rPr>
        <rFont val="Calibri"/>
        <color theme="1"/>
        <sz val="11.0"/>
      </rPr>
      <t>, security</t>
    </r>
    <r>
      <rPr>
        <rFont val="맑은 고딕"/>
        <color theme="1"/>
        <sz val="11.0"/>
      </rPr>
      <t>을</t>
    </r>
    <r>
      <rPr>
        <rFont val="Calibri"/>
        <color theme="1"/>
        <sz val="11.0"/>
      </rPr>
      <t xml:space="preserve"> </t>
    </r>
    <r>
      <rPr>
        <rFont val="맑은 고딕"/>
        <color theme="1"/>
        <sz val="11.0"/>
      </rPr>
      <t>유지하면서</t>
    </r>
    <r>
      <rPr>
        <rFont val="Calibri"/>
        <color theme="1"/>
        <sz val="11.0"/>
      </rPr>
      <t xml:space="preserve"> </t>
    </r>
    <r>
      <rPr>
        <rFont val="맑은 고딕"/>
        <color theme="1"/>
        <sz val="11.0"/>
      </rPr>
      <t>수행해야</t>
    </r>
    <r>
      <rPr>
        <rFont val="Calibri"/>
        <color theme="1"/>
        <sz val="11.0"/>
      </rPr>
      <t xml:space="preserve"> </t>
    </r>
    <r>
      <rPr>
        <rFont val="맑은 고딕"/>
        <color theme="1"/>
        <sz val="11.0"/>
      </rPr>
      <t>합니다</t>
    </r>
    <r>
      <rPr>
        <rFont val="Calibri"/>
        <color theme="1"/>
        <sz val="11.0"/>
      </rPr>
      <t xml:space="preserve">.
</t>
    </r>
    <r>
      <rPr>
        <rFont val="맑은 고딕"/>
        <color theme="1"/>
        <sz val="11.0"/>
      </rPr>
      <t>단계별</t>
    </r>
    <r>
      <rPr>
        <rFont val="Calibri"/>
        <color theme="1"/>
        <sz val="11.0"/>
      </rPr>
      <t xml:space="preserve"> </t>
    </r>
    <r>
      <rPr>
        <rFont val="맑은 고딕"/>
        <color theme="1"/>
        <sz val="11.0"/>
      </rPr>
      <t>고려사항</t>
    </r>
    <r>
      <rPr>
        <rFont val="Calibri"/>
        <color theme="1"/>
        <sz val="11.0"/>
      </rPr>
      <t xml:space="preserve">: </t>
    </r>
    <r>
      <rPr>
        <rFont val="맑은 고딕"/>
        <color theme="1"/>
        <sz val="11.0"/>
      </rPr>
      <t>비정형</t>
    </r>
    <r>
      <rPr>
        <rFont val="Calibri"/>
        <color theme="1"/>
        <sz val="11.0"/>
      </rPr>
      <t xml:space="preserve"> </t>
    </r>
    <r>
      <rPr>
        <rFont val="맑은 고딕"/>
        <color theme="1"/>
        <sz val="11.0"/>
      </rPr>
      <t>데이터의</t>
    </r>
    <r>
      <rPr>
        <rFont val="Calibri"/>
        <color theme="1"/>
        <sz val="11.0"/>
      </rPr>
      <t xml:space="preserve"> </t>
    </r>
    <r>
      <rPr>
        <rFont val="맑은 고딕"/>
        <color theme="1"/>
        <sz val="11.0"/>
      </rPr>
      <t>가명처리</t>
    </r>
    <r>
      <rPr>
        <rFont val="Calibri"/>
        <color theme="1"/>
        <sz val="11.0"/>
      </rPr>
      <t xml:space="preserve"> </t>
    </r>
    <r>
      <rPr>
        <rFont val="맑은 고딕"/>
        <color theme="1"/>
        <sz val="11.0"/>
      </rPr>
      <t>단계에서는</t>
    </r>
    <r>
      <rPr>
        <rFont val="Calibri"/>
        <color theme="1"/>
        <sz val="11.0"/>
      </rPr>
      <t xml:space="preserve"> </t>
    </r>
    <r>
      <rPr>
        <rFont val="맑은 고딕"/>
        <color theme="1"/>
        <sz val="11.0"/>
      </rPr>
      <t>데이터의</t>
    </r>
    <r>
      <rPr>
        <rFont val="Calibri"/>
        <color theme="1"/>
        <sz val="11.0"/>
      </rPr>
      <t xml:space="preserve"> </t>
    </r>
    <r>
      <rPr>
        <rFont val="맑은 고딕"/>
        <color theme="1"/>
        <sz val="11.0"/>
      </rPr>
      <t>특성을</t>
    </r>
    <r>
      <rPr>
        <rFont val="Calibri"/>
        <color theme="1"/>
        <sz val="11.0"/>
      </rPr>
      <t xml:space="preserve"> </t>
    </r>
    <r>
      <rPr>
        <rFont val="맑은 고딕"/>
        <color theme="1"/>
        <sz val="11.0"/>
      </rPr>
      <t>고려한</t>
    </r>
    <r>
      <rPr>
        <rFont val="Calibri"/>
        <color theme="1"/>
        <sz val="11.0"/>
      </rPr>
      <t xml:space="preserve"> </t>
    </r>
    <r>
      <rPr>
        <rFont val="맑은 고딕"/>
        <color theme="1"/>
        <sz val="11.0"/>
      </rPr>
      <t>가명화</t>
    </r>
    <r>
      <rPr>
        <rFont val="Calibri"/>
        <color theme="1"/>
        <sz val="11.0"/>
      </rPr>
      <t xml:space="preserve"> </t>
    </r>
    <r>
      <rPr>
        <rFont val="맑은 고딕"/>
        <color theme="1"/>
        <sz val="11.0"/>
      </rPr>
      <t>방법</t>
    </r>
    <r>
      <rPr>
        <rFont val="Calibri"/>
        <color theme="1"/>
        <sz val="11.0"/>
      </rPr>
      <t xml:space="preserve"> </t>
    </r>
    <r>
      <rPr>
        <rFont val="맑은 고딕"/>
        <color theme="1"/>
        <sz val="11.0"/>
      </rPr>
      <t>선택</t>
    </r>
    <r>
      <rPr>
        <rFont val="Calibri"/>
        <color theme="1"/>
        <sz val="11.0"/>
      </rPr>
      <t xml:space="preserve">, </t>
    </r>
    <r>
      <rPr>
        <rFont val="맑은 고딕"/>
        <color theme="1"/>
        <sz val="11.0"/>
      </rPr>
      <t>가명정보의</t>
    </r>
    <r>
      <rPr>
        <rFont val="Calibri"/>
        <color theme="1"/>
        <sz val="11.0"/>
      </rPr>
      <t xml:space="preserve"> </t>
    </r>
    <r>
      <rPr>
        <rFont val="맑은 고딕"/>
        <color theme="1"/>
        <sz val="11.0"/>
      </rPr>
      <t>안전한</t>
    </r>
    <r>
      <rPr>
        <rFont val="Calibri"/>
        <color theme="1"/>
        <sz val="11.0"/>
      </rPr>
      <t xml:space="preserve"> </t>
    </r>
    <r>
      <rPr>
        <rFont val="맑은 고딕"/>
        <color theme="1"/>
        <sz val="11.0"/>
      </rPr>
      <t>저장</t>
    </r>
    <r>
      <rPr>
        <rFont val="Calibri"/>
        <color theme="1"/>
        <sz val="11.0"/>
      </rPr>
      <t xml:space="preserve"> </t>
    </r>
    <r>
      <rPr>
        <rFont val="맑은 고딕"/>
        <color theme="1"/>
        <sz val="11.0"/>
      </rPr>
      <t>및</t>
    </r>
    <r>
      <rPr>
        <rFont val="Calibri"/>
        <color theme="1"/>
        <sz val="11.0"/>
      </rPr>
      <t xml:space="preserve"> </t>
    </r>
    <r>
      <rPr>
        <rFont val="맑은 고딕"/>
        <color theme="1"/>
        <sz val="11.0"/>
      </rPr>
      <t>관리</t>
    </r>
    <r>
      <rPr>
        <rFont val="Calibri"/>
        <color theme="1"/>
        <sz val="11.0"/>
      </rPr>
      <t xml:space="preserve">, </t>
    </r>
    <r>
      <rPr>
        <rFont val="맑은 고딕"/>
        <color theme="1"/>
        <sz val="11.0"/>
      </rPr>
      <t>접근</t>
    </r>
    <r>
      <rPr>
        <rFont val="Calibri"/>
        <color theme="1"/>
        <sz val="11.0"/>
      </rPr>
      <t xml:space="preserve"> </t>
    </r>
    <r>
      <rPr>
        <rFont val="맑은 고딕"/>
        <color theme="1"/>
        <sz val="11.0"/>
      </rPr>
      <t>권한</t>
    </r>
    <r>
      <rPr>
        <rFont val="Calibri"/>
        <color theme="1"/>
        <sz val="11.0"/>
      </rPr>
      <t xml:space="preserve"> </t>
    </r>
    <r>
      <rPr>
        <rFont val="맑은 고딕"/>
        <color theme="1"/>
        <sz val="11.0"/>
      </rPr>
      <t>관리</t>
    </r>
    <r>
      <rPr>
        <rFont val="Calibri"/>
        <color theme="1"/>
        <sz val="11.0"/>
      </rPr>
      <t xml:space="preserve">, </t>
    </r>
    <r>
      <rPr>
        <rFont val="맑은 고딕"/>
        <color theme="1"/>
        <sz val="11.0"/>
      </rPr>
      <t>모니터링</t>
    </r>
    <r>
      <rPr>
        <rFont val="Calibri"/>
        <color theme="1"/>
        <sz val="11.0"/>
      </rPr>
      <t xml:space="preserve"> </t>
    </r>
    <r>
      <rPr>
        <rFont val="맑은 고딕"/>
        <color theme="1"/>
        <sz val="11.0"/>
      </rPr>
      <t>및</t>
    </r>
    <r>
      <rPr>
        <rFont val="Calibri"/>
        <color theme="1"/>
        <sz val="11.0"/>
      </rPr>
      <t xml:space="preserve"> audit log </t>
    </r>
    <r>
      <rPr>
        <rFont val="맑은 고딕"/>
        <color theme="1"/>
        <sz val="11.0"/>
      </rPr>
      <t>관리</t>
    </r>
    <r>
      <rPr>
        <rFont val="Calibri"/>
        <color theme="1"/>
        <sz val="11.0"/>
      </rPr>
      <t xml:space="preserve"> </t>
    </r>
    <r>
      <rPr>
        <rFont val="맑은 고딕"/>
        <color theme="1"/>
        <sz val="11.0"/>
      </rPr>
      <t>등이</t>
    </r>
    <r>
      <rPr>
        <rFont val="Calibri"/>
        <color theme="1"/>
        <sz val="11.0"/>
      </rPr>
      <t xml:space="preserve"> </t>
    </r>
    <r>
      <rPr>
        <rFont val="맑은 고딕"/>
        <color theme="1"/>
        <sz val="11.0"/>
      </rPr>
      <t>포함됩니다</t>
    </r>
    <r>
      <rPr>
        <rFont val="Calibri"/>
        <color theme="1"/>
        <sz val="11.0"/>
      </rPr>
      <t>.</t>
    </r>
  </si>
  <si>
    <r>
      <rPr>
        <rFont val="맑은 고딕"/>
        <color theme="1"/>
        <sz val="11.0"/>
      </rPr>
      <t>기대답변
비정형</t>
    </r>
    <r>
      <rPr>
        <rFont val="MS Mincho"/>
        <color theme="1"/>
        <sz val="11.0"/>
      </rPr>
      <t> </t>
    </r>
    <r>
      <rPr>
        <rFont val="맑은 고딕"/>
        <color theme="1"/>
        <sz val="11.0"/>
      </rPr>
      <t>데이터</t>
    </r>
    <r>
      <rPr>
        <rFont val="MS Mincho"/>
        <color theme="1"/>
        <sz val="11.0"/>
      </rPr>
      <t>(</t>
    </r>
    <r>
      <rPr>
        <rFont val="맑은 고딕"/>
        <color theme="1"/>
        <sz val="11.0"/>
      </rPr>
      <t>텍스트</t>
    </r>
    <r>
      <rPr>
        <rFont val="MS Mincho"/>
        <color theme="1"/>
        <sz val="11.0"/>
      </rPr>
      <t>, </t>
    </r>
    <r>
      <rPr>
        <rFont val="맑은 고딕"/>
        <color theme="1"/>
        <sz val="11.0"/>
      </rPr>
      <t>이미지</t>
    </r>
    <r>
      <rPr>
        <rFont val="MS Mincho"/>
        <color theme="1"/>
        <sz val="11.0"/>
      </rPr>
      <t>, </t>
    </r>
    <r>
      <rPr>
        <rFont val="맑은 고딕"/>
        <color theme="1"/>
        <sz val="11.0"/>
      </rPr>
      <t>음성</t>
    </r>
    <r>
      <rPr>
        <rFont val="MS Mincho"/>
        <color theme="1"/>
        <sz val="11.0"/>
      </rPr>
      <t> </t>
    </r>
    <r>
      <rPr>
        <rFont val="맑은 고딕"/>
        <color theme="1"/>
        <sz val="11.0"/>
      </rPr>
      <t>등</t>
    </r>
    <r>
      <rPr>
        <rFont val="MS Mincho"/>
        <color theme="1"/>
        <sz val="11.0"/>
      </rPr>
      <t>)</t>
    </r>
    <r>
      <rPr>
        <rFont val="맑은 고딕"/>
        <color theme="1"/>
        <sz val="11.0"/>
      </rPr>
      <t>는</t>
    </r>
    <r>
      <rPr>
        <rFont val="MS Mincho"/>
        <color theme="1"/>
        <sz val="11.0"/>
      </rPr>
      <t> </t>
    </r>
    <r>
      <rPr>
        <rFont val="맑은 고딕"/>
        <color theme="1"/>
        <sz val="11.0"/>
      </rPr>
      <t>정형</t>
    </r>
    <r>
      <rPr>
        <rFont val="MS Mincho"/>
        <color theme="1"/>
        <sz val="11.0"/>
      </rPr>
      <t> </t>
    </r>
    <r>
      <rPr>
        <rFont val="맑은 고딕"/>
        <color theme="1"/>
        <sz val="11.0"/>
      </rPr>
      <t>데이터와</t>
    </r>
    <r>
      <rPr>
        <rFont val="MS Mincho"/>
        <color theme="1"/>
        <sz val="11.0"/>
      </rPr>
      <t> </t>
    </r>
    <r>
      <rPr>
        <rFont val="맑은 고딕"/>
        <color theme="1"/>
        <sz val="11.0"/>
      </rPr>
      <t>달리</t>
    </r>
    <r>
      <rPr>
        <rFont val="MS Mincho"/>
        <color theme="1"/>
        <sz val="11.0"/>
      </rPr>
      <t> </t>
    </r>
    <r>
      <rPr>
        <rFont val="맑은 고딕"/>
        <color theme="1"/>
        <sz val="11.0"/>
      </rPr>
      <t>형식이</t>
    </r>
    <r>
      <rPr>
        <rFont val="MS Mincho"/>
        <color theme="1"/>
        <sz val="11.0"/>
      </rPr>
      <t> </t>
    </r>
    <r>
      <rPr>
        <rFont val="맑은 고딕"/>
        <color theme="1"/>
        <sz val="11.0"/>
      </rPr>
      <t>정해져</t>
    </r>
    <r>
      <rPr>
        <rFont val="MS Mincho"/>
        <color theme="1"/>
        <sz val="11.0"/>
      </rPr>
      <t> </t>
    </r>
    <r>
      <rPr>
        <rFont val="맑은 고딕"/>
        <color theme="1"/>
        <sz val="11.0"/>
      </rPr>
      <t>있지</t>
    </r>
    <r>
      <rPr>
        <rFont val="MS Mincho"/>
        <color theme="1"/>
        <sz val="11.0"/>
      </rPr>
      <t> </t>
    </r>
    <r>
      <rPr>
        <rFont val="맑은 고딕"/>
        <color theme="1"/>
        <sz val="11.0"/>
      </rPr>
      <t>않아</t>
    </r>
    <r>
      <rPr>
        <rFont val="MS Mincho"/>
        <color theme="1"/>
        <sz val="11.0"/>
      </rPr>
      <t> </t>
    </r>
    <r>
      <rPr>
        <rFont val="맑은 고딕"/>
        <color theme="1"/>
        <sz val="11.0"/>
      </rPr>
      <t>처리</t>
    </r>
    <r>
      <rPr>
        <rFont val="MS Mincho"/>
        <color theme="1"/>
        <sz val="11.0"/>
      </rPr>
      <t> </t>
    </r>
    <r>
      <rPr>
        <rFont val="맑은 고딕"/>
        <color theme="1"/>
        <sz val="11.0"/>
      </rPr>
      <t>과정에서</t>
    </r>
    <r>
      <rPr>
        <rFont val="MS Mincho"/>
        <color theme="1"/>
        <sz val="11.0"/>
      </rPr>
      <t> </t>
    </r>
    <r>
      <rPr>
        <rFont val="맑은 고딕"/>
        <color theme="1"/>
        <sz val="11.0"/>
      </rPr>
      <t>추가적인</t>
    </r>
    <r>
      <rPr>
        <rFont val="MS Mincho"/>
        <color theme="1"/>
        <sz val="11.0"/>
      </rPr>
      <t> </t>
    </r>
    <r>
      <rPr>
        <rFont val="맑은 고딕"/>
        <color theme="1"/>
        <sz val="11.0"/>
      </rPr>
      <t>주의가</t>
    </r>
    <r>
      <rPr>
        <rFont val="MS Mincho"/>
        <color theme="1"/>
        <sz val="11.0"/>
      </rPr>
      <t> </t>
    </r>
    <r>
      <rPr>
        <rFont val="맑은 고딕"/>
        <color theme="1"/>
        <sz val="11.0"/>
      </rPr>
      <t>필요합니다</t>
    </r>
    <r>
      <rPr>
        <rFont val="MS Mincho"/>
        <color theme="1"/>
        <sz val="11.0"/>
      </rPr>
      <t>. </t>
    </r>
    <r>
      <rPr>
        <rFont val="맑은 고딕"/>
        <color theme="1"/>
        <sz val="11.0"/>
      </rPr>
      <t>비정형</t>
    </r>
    <r>
      <rPr>
        <rFont val="MS Mincho"/>
        <color theme="1"/>
        <sz val="11.0"/>
      </rPr>
      <t> </t>
    </r>
    <r>
      <rPr>
        <rFont val="맑은 고딕"/>
        <color theme="1"/>
        <sz val="11.0"/>
      </rPr>
      <t>데이터를</t>
    </r>
    <r>
      <rPr>
        <rFont val="MS Mincho"/>
        <color theme="1"/>
        <sz val="11.0"/>
      </rPr>
      <t> </t>
    </r>
    <r>
      <rPr>
        <rFont val="맑은 고딕"/>
        <color theme="1"/>
        <sz val="11.0"/>
      </rPr>
      <t>가명처리할</t>
    </r>
    <r>
      <rPr>
        <rFont val="MS Mincho"/>
        <color theme="1"/>
        <sz val="11.0"/>
      </rPr>
      <t> </t>
    </r>
    <r>
      <rPr>
        <rFont val="맑은 고딕"/>
        <color theme="1"/>
        <sz val="11.0"/>
      </rPr>
      <t>때는</t>
    </r>
    <r>
      <rPr>
        <rFont val="MS Mincho"/>
        <color theme="1"/>
        <sz val="11.0"/>
      </rPr>
      <t> </t>
    </r>
    <r>
      <rPr>
        <rFont val="맑은 고딕"/>
        <color theme="1"/>
        <sz val="11.0"/>
      </rPr>
      <t>데이터의</t>
    </r>
    <r>
      <rPr>
        <rFont val="MS Mincho"/>
        <color theme="1"/>
        <sz val="11.0"/>
      </rPr>
      <t> </t>
    </r>
    <r>
      <rPr>
        <rFont val="맑은 고딕"/>
        <color theme="1"/>
        <sz val="11.0"/>
      </rPr>
      <t>특성과</t>
    </r>
    <r>
      <rPr>
        <rFont val="MS Mincho"/>
        <color theme="1"/>
        <sz val="11.0"/>
      </rPr>
      <t> </t>
    </r>
    <r>
      <rPr>
        <rFont val="맑은 고딕"/>
        <color theme="1"/>
        <sz val="11.0"/>
      </rPr>
      <t>처리</t>
    </r>
    <r>
      <rPr>
        <rFont val="MS Mincho"/>
        <color theme="1"/>
        <sz val="11.0"/>
      </rPr>
      <t> </t>
    </r>
    <r>
      <rPr>
        <rFont val="맑은 고딕"/>
        <color theme="1"/>
        <sz val="11.0"/>
      </rPr>
      <t>목적을</t>
    </r>
    <r>
      <rPr>
        <rFont val="MS Mincho"/>
        <color theme="1"/>
        <sz val="11.0"/>
      </rPr>
      <t> </t>
    </r>
    <r>
      <rPr>
        <rFont val="맑은 고딕"/>
        <color theme="1"/>
        <sz val="11.0"/>
      </rPr>
      <t>명확히</t>
    </r>
    <r>
      <rPr>
        <rFont val="MS Mincho"/>
        <color theme="1"/>
        <sz val="11.0"/>
      </rPr>
      <t> </t>
    </r>
    <r>
      <rPr>
        <rFont val="맑은 고딕"/>
        <color theme="1"/>
        <sz val="11.0"/>
      </rPr>
      <t>파악하고</t>
    </r>
    <r>
      <rPr>
        <rFont val="MS Mincho"/>
        <color theme="1"/>
        <sz val="11.0"/>
      </rPr>
      <t>, </t>
    </r>
    <r>
      <rPr>
        <rFont val="맑은 고딕"/>
        <color theme="1"/>
        <sz val="11.0"/>
      </rPr>
      <t>각</t>
    </r>
    <r>
      <rPr>
        <rFont val="MS Mincho"/>
        <color theme="1"/>
        <sz val="11.0"/>
      </rPr>
      <t> </t>
    </r>
    <r>
      <rPr>
        <rFont val="맑은 고딕"/>
        <color theme="1"/>
        <sz val="11.0"/>
      </rPr>
      <t>유형에</t>
    </r>
    <r>
      <rPr>
        <rFont val="MS Mincho"/>
        <color theme="1"/>
        <sz val="11.0"/>
      </rPr>
      <t> </t>
    </r>
    <r>
      <rPr>
        <rFont val="맑은 고딕"/>
        <color theme="1"/>
        <sz val="11.0"/>
      </rPr>
      <t>적합한</t>
    </r>
    <r>
      <rPr>
        <rFont val="MS Mincho"/>
        <color theme="1"/>
        <sz val="11.0"/>
      </rPr>
      <t> </t>
    </r>
    <r>
      <rPr>
        <rFont val="맑은 고딕"/>
        <color theme="1"/>
        <sz val="11.0"/>
      </rPr>
      <t>처리</t>
    </r>
    <r>
      <rPr>
        <rFont val="MS Mincho"/>
        <color theme="1"/>
        <sz val="11.0"/>
      </rPr>
      <t> </t>
    </r>
    <r>
      <rPr>
        <rFont val="맑은 고딕"/>
        <color theme="1"/>
        <sz val="11.0"/>
      </rPr>
      <t>기준과</t>
    </r>
    <r>
      <rPr>
        <rFont val="MS Mincho"/>
        <color theme="1"/>
        <sz val="11.0"/>
      </rPr>
      <t> </t>
    </r>
    <r>
      <rPr>
        <rFont val="맑은 고딕"/>
        <color theme="1"/>
        <sz val="11.0"/>
      </rPr>
      <t>방법을</t>
    </r>
    <r>
      <rPr>
        <rFont val="MS Mincho"/>
        <color theme="1"/>
        <sz val="11.0"/>
      </rPr>
      <t> </t>
    </r>
    <r>
      <rPr>
        <rFont val="맑은 고딕"/>
        <color theme="1"/>
        <sz val="11.0"/>
      </rPr>
      <t>개별적으로</t>
    </r>
    <r>
      <rPr>
        <rFont val="MS Mincho"/>
        <color theme="1"/>
        <sz val="11.0"/>
      </rPr>
      <t> </t>
    </r>
    <r>
      <rPr>
        <rFont val="맑은 고딕"/>
        <color theme="1"/>
        <sz val="11.0"/>
      </rPr>
      <t>수립해야</t>
    </r>
    <r>
      <rPr>
        <rFont val="MS Mincho"/>
        <color theme="1"/>
        <sz val="11.0"/>
      </rPr>
      <t> </t>
    </r>
    <r>
      <rPr>
        <rFont val="맑은 고딕"/>
        <color theme="1"/>
        <sz val="11.0"/>
      </rPr>
      <t>합니다</t>
    </r>
    <r>
      <rPr>
        <rFont val="MS Mincho"/>
        <color theme="1"/>
        <sz val="11.0"/>
      </rPr>
      <t>. </t>
    </r>
    <r>
      <rPr>
        <rFont val="맑은 고딕"/>
        <color theme="1"/>
        <sz val="11.0"/>
      </rPr>
      <t>특히</t>
    </r>
    <r>
      <rPr>
        <rFont val="MS Mincho"/>
        <color theme="1"/>
        <sz val="11.0"/>
      </rPr>
      <t>, </t>
    </r>
    <r>
      <rPr>
        <rFont val="맑은 고딕"/>
        <color theme="1"/>
        <sz val="11.0"/>
      </rPr>
      <t>처리</t>
    </r>
    <r>
      <rPr>
        <rFont val="MS Mincho"/>
        <color theme="1"/>
        <sz val="11.0"/>
      </rPr>
      <t> </t>
    </r>
    <r>
      <rPr>
        <rFont val="맑은 고딕"/>
        <color theme="1"/>
        <sz val="11.0"/>
      </rPr>
      <t>단계마다</t>
    </r>
    <r>
      <rPr>
        <rFont val="MS Mincho"/>
        <color theme="1"/>
        <sz val="11.0"/>
      </rPr>
      <t> </t>
    </r>
    <r>
      <rPr>
        <rFont val="맑은 고딕"/>
        <color theme="1"/>
        <sz val="11.0"/>
      </rPr>
      <t>재식별</t>
    </r>
    <r>
      <rPr>
        <rFont val="MS Mincho"/>
        <color theme="1"/>
        <sz val="11.0"/>
      </rPr>
      <t> </t>
    </r>
    <r>
      <rPr>
        <rFont val="맑은 고딕"/>
        <color theme="1"/>
        <sz val="11.0"/>
      </rPr>
      <t>가능성</t>
    </r>
    <r>
      <rPr>
        <rFont val="MS Mincho"/>
        <color theme="1"/>
        <sz val="11.0"/>
      </rPr>
      <t> </t>
    </r>
    <r>
      <rPr>
        <rFont val="맑은 고딕"/>
        <color theme="1"/>
        <sz val="11.0"/>
      </rPr>
      <t>평가를</t>
    </r>
    <r>
      <rPr>
        <rFont val="MS Mincho"/>
        <color theme="1"/>
        <sz val="11.0"/>
      </rPr>
      <t> </t>
    </r>
    <r>
      <rPr>
        <rFont val="맑은 고딕"/>
        <color theme="1"/>
        <sz val="11.0"/>
      </rPr>
      <t>실시하여</t>
    </r>
    <r>
      <rPr>
        <rFont val="MS Mincho"/>
        <color theme="1"/>
        <sz val="11.0"/>
      </rPr>
      <t> </t>
    </r>
    <r>
      <rPr>
        <rFont val="맑은 고딕"/>
        <color theme="1"/>
        <sz val="11.0"/>
      </rPr>
      <t>필요한</t>
    </r>
    <r>
      <rPr>
        <rFont val="MS Mincho"/>
        <color theme="1"/>
        <sz val="11.0"/>
      </rPr>
      <t> </t>
    </r>
    <r>
      <rPr>
        <rFont val="맑은 고딕"/>
        <color theme="1"/>
        <sz val="11.0"/>
      </rPr>
      <t>경우</t>
    </r>
    <r>
      <rPr>
        <rFont val="MS Mincho"/>
        <color theme="1"/>
        <sz val="11.0"/>
      </rPr>
      <t> </t>
    </r>
    <r>
      <rPr>
        <rFont val="맑은 고딕"/>
        <color theme="1"/>
        <sz val="11.0"/>
      </rPr>
      <t>추가적인</t>
    </r>
    <r>
      <rPr>
        <rFont val="MS Mincho"/>
        <color theme="1"/>
        <sz val="11.0"/>
      </rPr>
      <t> </t>
    </r>
    <r>
      <rPr>
        <rFont val="맑은 고딕"/>
        <color theme="1"/>
        <sz val="11.0"/>
      </rPr>
      <t>보호</t>
    </r>
    <r>
      <rPr>
        <rFont val="MS Mincho"/>
        <color theme="1"/>
        <sz val="11.0"/>
      </rPr>
      <t> </t>
    </r>
    <r>
      <rPr>
        <rFont val="맑은 고딕"/>
        <color theme="1"/>
        <sz val="11.0"/>
      </rPr>
      <t>조치를</t>
    </r>
    <r>
      <rPr>
        <rFont val="MS Mincho"/>
        <color theme="1"/>
        <sz val="11.0"/>
      </rPr>
      <t> </t>
    </r>
    <r>
      <rPr>
        <rFont val="맑은 고딕"/>
        <color theme="1"/>
        <sz val="11.0"/>
      </rPr>
      <t>적용해야</t>
    </r>
    <r>
      <rPr>
        <rFont val="MS Mincho"/>
        <color theme="1"/>
        <sz val="11.0"/>
      </rPr>
      <t> </t>
    </r>
    <r>
      <rPr>
        <rFont val="맑은 고딕"/>
        <color theme="1"/>
        <sz val="11.0"/>
      </rPr>
      <t>하며</t>
    </r>
    <r>
      <rPr>
        <rFont val="MS Mincho"/>
        <color theme="1"/>
        <sz val="11.0"/>
      </rPr>
      <t>, </t>
    </r>
    <r>
      <rPr>
        <rFont val="맑은 고딕"/>
        <color theme="1"/>
        <sz val="11.0"/>
      </rPr>
      <t>가명처리</t>
    </r>
    <r>
      <rPr>
        <rFont val="MS Mincho"/>
        <color theme="1"/>
        <sz val="11.0"/>
      </rPr>
      <t> </t>
    </r>
    <r>
      <rPr>
        <rFont val="맑은 고딕"/>
        <color theme="1"/>
        <sz val="11.0"/>
      </rPr>
      <t>이후에도</t>
    </r>
    <r>
      <rPr>
        <rFont val="MS Mincho"/>
        <color theme="1"/>
        <sz val="11.0"/>
      </rPr>
      <t> </t>
    </r>
    <r>
      <rPr>
        <rFont val="맑은 고딕"/>
        <color theme="1"/>
        <sz val="11.0"/>
      </rPr>
      <t>데이터</t>
    </r>
    <r>
      <rPr>
        <rFont val="MS Mincho"/>
        <color theme="1"/>
        <sz val="11.0"/>
      </rPr>
      <t> </t>
    </r>
    <r>
      <rPr>
        <rFont val="맑은 고딕"/>
        <color theme="1"/>
        <sz val="11.0"/>
      </rPr>
      <t>활용</t>
    </r>
    <r>
      <rPr>
        <rFont val="MS Mincho"/>
        <color theme="1"/>
        <sz val="11.0"/>
      </rPr>
      <t> </t>
    </r>
    <r>
      <rPr>
        <rFont val="맑은 고딕"/>
        <color theme="1"/>
        <sz val="11.0"/>
      </rPr>
      <t>과정</t>
    </r>
    <r>
      <rPr>
        <rFont val="MS Mincho"/>
        <color theme="1"/>
        <sz val="11.0"/>
      </rPr>
      <t> </t>
    </r>
    <r>
      <rPr>
        <rFont val="맑은 고딕"/>
        <color theme="1"/>
        <sz val="11.0"/>
      </rPr>
      <t>전반에</t>
    </r>
    <r>
      <rPr>
        <rFont val="MS Mincho"/>
        <color theme="1"/>
        <sz val="11.0"/>
      </rPr>
      <t> </t>
    </r>
    <r>
      <rPr>
        <rFont val="맑은 고딕"/>
        <color theme="1"/>
        <sz val="11.0"/>
      </rPr>
      <t>걸쳐</t>
    </r>
    <r>
      <rPr>
        <rFont val="MS Mincho"/>
        <color theme="1"/>
        <sz val="11.0"/>
      </rPr>
      <t> </t>
    </r>
    <r>
      <rPr>
        <rFont val="맑은 고딕"/>
        <color theme="1"/>
        <sz val="11.0"/>
      </rPr>
      <t>지속적인</t>
    </r>
    <r>
      <rPr>
        <rFont val="MS Mincho"/>
        <color theme="1"/>
        <sz val="11.0"/>
      </rPr>
      <t> </t>
    </r>
    <r>
      <rPr>
        <rFont val="맑은 고딕"/>
        <color theme="1"/>
        <sz val="11.0"/>
      </rPr>
      <t>관리와</t>
    </r>
    <r>
      <rPr>
        <rFont val="MS Mincho"/>
        <color theme="1"/>
        <sz val="11.0"/>
      </rPr>
      <t> </t>
    </r>
    <r>
      <rPr>
        <rFont val="맑은 고딕"/>
        <color theme="1"/>
        <sz val="11.0"/>
      </rPr>
      <t>모니터링이</t>
    </r>
    <r>
      <rPr>
        <rFont val="MS Mincho"/>
        <color theme="1"/>
        <sz val="11.0"/>
      </rPr>
      <t> </t>
    </r>
    <r>
      <rPr>
        <rFont val="맑은 고딕"/>
        <color theme="1"/>
        <sz val="11.0"/>
      </rPr>
      <t>필수입니다</t>
    </r>
    <r>
      <rPr>
        <rFont val="MS Mincho"/>
        <color theme="1"/>
        <sz val="11.0"/>
      </rPr>
      <t xml:space="preserve">.
</t>
    </r>
    <r>
      <rPr>
        <rFont val="맑은 고딕"/>
        <color theme="1"/>
        <sz val="11.0"/>
      </rPr>
      <t>링크 : 가명정보 처리 가이드라인(2024.2)</t>
    </r>
  </si>
  <si>
    <t>기대답변 :
 비정형 데이터의 가명처리 시 유의할 사항은 다음과 같습니다:
 1. 개인식별성 판단의 어려움
  - 개인식별 가능 정보와 그렇지 않은 정보의 구분이 상대적이며, 처리 목적·환경 등에 따라 다르게 판단될 수 있습니다.
  - 예: 얼굴 CT 사진 1장으로는 개인식별 위험성이 낮지만, 여러 위치·각도에서 촬영한 사진을 결합하면 개인식별 위험성이 증가합니다.
 2. 가명처리 기술의 불완전성
  - 비정형 데이터 내 개인식별 위험성이 있는 모든 항목을 완벽하게 탐지·처리할 수 있는 기술이 부재합니다.
  - 예: 이미지·영상 데이터의 경우, 해상도, 조명 각도, 객체 크기 등에 따라 얼굴 등을 탐지하지 못하는 경우가 존재합니다.
 3. 재식별 공격 위험
  - AI 및 데이터 복원기술 발달로, 다른 정보와의 연계·결합 없이도 개인 재식별 공격 위험성이 증가합니다.
  - 예: 음성변조 규칙을 몰라도 화자의 원본 목소리를 복원할 수 있는 기술이 존재합니다.
 4. 비정형 데이터 가명처리 기본원칙
  - 데이터 처리 목적·환경, 민감도 등을 종합적으로 고려하여 개인식별 위험성이 있는 정보를 판단하고, 합리적인 처리 방법·수준을 설정합니다.
  - 가명처리 기술의 한계 등을 보완하기 위해, 사전 준비단계부터 위험성을 충실히 검토하고 적절한 안전조치를 수행합니다.
  - 데이터 복원기술 발달 등에 대응하여, 가명처리된 비정형 데이터 활용 시 관련 시스템·SW의 접근·사용 제한 등 통제방안을 마련합니다.</t>
  </si>
  <si>
    <t>42, 43</t>
  </si>
  <si>
    <t>2
 비정형데이터 가명처리·활용의 특수성 및 고려사항
  (개인식별성 판단의 어려움) 개인식별 가능 정보와 그렇지 않은 정보의 구분이 상대적이며, 처리 
 목적·환경 등에 따라 다르게 판단될 수 있음
 예시
 ▪ 얼굴 CT 사진 1장으로는 개인식별 위험성이 낮지만, 여러 위치·각도에서 촬영한 얼굴 
 CT 사진을 여러장 결합하면 얼굴형상 재건이 가능하여 개인식별 위험성 증가 
 ▪ 눈·코·입을 알아볼 수 없는 거리에서 찍힌 CCTV 영상은 통상 개인식별 위험성이 낮지만, 
 흉터, 문신, 머리스타일 등 특이한 신체 특징이 있는 경우 개인식별 위험성이 높음
  (가명처리 기술의 불완전성) 비정형데이터 내 개인식별 위험성이 있는 모든 항목을 완벽하게 
 탐지·처리할 수 있는 기술이 부재
 예시
 ▪ 이미지·영상 데이터의 경우, 해상도, 조명 각도, 객체 크기 등에 따라 얼굴 등을 
 탐지하지 못하는 경우가 존재 → 최근 AI 기술의 객체 탐지 정확도는 90~98% 수준1)
  ▪ ‘신뢰역 1번출구 앞 파란건물 1층 1호가 우리집’ 텍스트를 주소로 인식하지 않아 처리 
 하지 않거나, ‘김신뢰 김밥’ 등 상호명을 개인정보(이름)로 인식해 불필요하게 삭제 
  (재식별 공격 위험) AI 및 데이터 복원기술 발달로, 다른 정보와의 연계·결합 없이도 개인 재식별 공격 
 위험성 증가
 예시
 ▪ 음성변조 규칙을 몰라도 화자의 원본 목소리를 복원할 수 있는 기술 존재2)
  ▪ 가명처리된 사진의 모자이크 패턴을 몰라도, AI를 통해 모자이크된 사진을 원본에 
 가깝게 복원해낼 수 있는 기술 연구 중3)
  ⇒ 비정형데이터 가명처리·활용 시 데이터 처리 맥락(context), 가명처리 기술의 한계, 재식별 
 공격 위험 등을 고려하여 개인식별 위험성을 낮춰야 함
 3
 비정형데이터 가명처리 기본원칙
 1 데이터 처리 목적·환경, 민감도 등을 종합적으로 고려하여 개인식별 위험성이 있는 정보를 
 판단하고, 합리적인 처리 방법·수준 설정
 ※ 비정형데이터 식별 위험성 체크리스트(52p), 항목별 조치 가이드(55p) 참고 가능
 연구목적에 맞춰 데이터 자체 훼손을 최소화하면서 관리적·환경적 통제 등 다양한 안전성 확보 
 방안 적용 가능- 연구목적 달성에 필수적인 정보항목을 남기는 대신 그 외 정보항목에 대한 가명처리 수준을 
 높이거나, 다른 정보 및 소프트웨어(SW) 반입제한 등 충분한 안전조치를 보완하여 활용
 2 가명처리 기술의 한계 등을 보완하기 위해, 사전 준비단계(연구 및 기술개발 기획 시)부터 위험성을 
 충실히 검토하고 적절한 안전조치를 수행
 가명처리 기술의 한계 보완을 위해 다음 조치를 이행할 것을 권고
 ❶ 가명처리 기술의 적절성·신뢰성을 확인할 수 있는 근거 작성·보관
 ❷ 가명처리 기술 적용 이후, 처리 결과에 대해 자체적인 검수 수행
 ❸ 가명처리 적정성 검토 과정에서 ❶, ❷를 포함하여 점검(외부전문가 과반 이상 참여 바람직)
 사전에 식별된 개인정보 침해 위험을 예방하기 위해서 가명정보 활용에 참여하는 각 기관의 
 내부통제 강화 노력이 병행될 필요
 가명정보의 처리목적을 달성하면 신속히 가명정보를 파기하여 사후적 위험 최소화
 3 데이터 복원기술 발달 등에 대응하여, 가명처리된 비정형데이터 활용 시 관련 시스템‧SW의 
 접근·사용 제한 등 통제방안 마련
 * 원본 복원에 활용될 수 있는 추가정보 분리보관, 복원 SW에 대한 접근권한 제한 등
 AI 개발·활용 상황에서 나타날 수 있는 다양한 위험을 사전에 완벽하게 제거하는 것은 
 불가능하므로, AI 서비스 제공과정에서도 개인식별 위험 등 정보주체 권익 침해 가능성을 지속 
 모니터링</t>
  </si>
  <si>
    <t>비정형 데이터 가명처리 시 유의사항 안내</t>
  </si>
  <si>
    <r>
      <rPr>
        <rFont val="맑은 고딕"/>
        <b/>
        <color theme="1"/>
        <sz val="11.0"/>
      </rPr>
      <t>150_2402_빅데이터과_기타_개인정보보호위원회_가명정보_처리_가이드라인.pdf[42]</t>
    </r>
    <r>
      <rPr>
        <rFont val="맑은 고딕"/>
        <color theme="1"/>
        <sz val="11.0"/>
      </rPr>
      <t xml:space="preserve">
-----
가명정보 처리 가이드라인 2 비정형데이터 가명처리·활용의 특수성 및 고려사항 ( 개인식별성 판단의 어려움) 개인식별 가능 정보와 그렇지 않은 정보의 구분이 상대적이며, 처리 ( 개인식별성 판단의 어려움) 개인식별 가능 정 목적·환경 등에 따라 다르게 판단될 수 있음 적·환 예시 </t>
    </r>
    <r>
      <rPr>
        <rFont val="Segoe UI Symbol"/>
        <color theme="1"/>
        <sz val="11.0"/>
      </rPr>
      <t>▪</t>
    </r>
    <r>
      <rPr>
        <rFont val="맑은 고딕"/>
        <color theme="1"/>
        <sz val="11.0"/>
      </rPr>
      <t xml:space="preserve"> 얼굴 CT 사진 1장으로는 개인식별 위험성이 낮지만, 여러 위치·각도에서 촬영한 얼굴 </t>
    </r>
    <r>
      <rPr>
        <rFont val="Segoe UI Symbol"/>
        <color theme="1"/>
        <sz val="11.0"/>
      </rPr>
      <t>▪</t>
    </r>
    <r>
      <rPr>
        <rFont val="맑은 고딕"/>
        <color theme="1"/>
        <sz val="11.0"/>
      </rPr>
      <t xml:space="preserve"> 얼굴 CT 사진 1장으로는 개인식별 위험성이 낮지만, 여러 위치·각도에서 촬영한 CT 사진을 여러장 결합하면 얼굴형상 재건이 가능하여 개인식별 위험성 증가 CT 사진을 여러장 결합하면 얼굴형상 재건이 가능하여 개인식별 위험성 증가 </t>
    </r>
    <r>
      <rPr>
        <rFont val="Segoe UI Symbol"/>
        <color theme="1"/>
        <sz val="11.0"/>
      </rPr>
      <t>▪</t>
    </r>
    <r>
      <rPr>
        <rFont val="맑은 고딕"/>
        <color theme="1"/>
        <sz val="11.0"/>
      </rPr>
      <t xml:space="preserve"> 눈·코·입을 알아볼 수 없는 거리에서 찍힌 CCTV 영상은 통상 개인식별 위험성이 낮지만, </t>
    </r>
    <r>
      <rPr>
        <rFont val="Segoe UI Symbol"/>
        <color theme="1"/>
        <sz val="11.0"/>
      </rPr>
      <t>▪</t>
    </r>
    <r>
      <rPr>
        <rFont val="맑은 고딕"/>
        <color theme="1"/>
        <sz val="11.0"/>
      </rPr>
      <t xml:space="preserve"> 눈·코·입을 알아볼 수 없는 거리에서 찍힌 CCTV 영상은 통상 개인식별 위험성이 낮지 흉터, 문신, 머리스타일 등 특이한 신체 특징이 있는 경우 개인식별 위험성이 높음 ( 가명처리 기술의 불완전성) 비정형데이터 내 개인식별 위험성이 있는 모든 항목을 완벽하게 ( 가명처리 기술의 불완전성) 비정형 탐지·처리할 수 있는 기술이 부재 지·처 예시 </t>
    </r>
    <r>
      <rPr>
        <rFont val="Segoe UI Symbol"/>
        <color theme="1"/>
        <sz val="11.0"/>
      </rPr>
      <t>▪</t>
    </r>
    <r>
      <rPr>
        <rFont val="맑은 고딕"/>
        <color theme="1"/>
        <sz val="11.0"/>
      </rPr>
      <t xml:space="preserve"> 이미지·영상 데이터의 경우, 해상도, 조명 각도, 객체 크기 등에 따라 얼굴 등을 </t>
    </r>
    <r>
      <rPr>
        <rFont val="Segoe UI Symbol"/>
        <color theme="1"/>
        <sz val="11.0"/>
      </rPr>
      <t>▪</t>
    </r>
    <r>
      <rPr>
        <rFont val="맑은 고딕"/>
        <color theme="1"/>
        <sz val="11.0"/>
      </rPr>
      <t xml:space="preserve"> 이미지·영상 데이터의 경우, 해상도, 조명 각도, 객체 크기 등에 따라 얼굴 등을 1) 탐지하지 못하는 경우가 존재 → 최근 AI 기술의 객체 탐지 정확도는 90~98% 수준 탐지하지 못하는 경우가 존재 → 최근 AI 기술의 객체 탐지 정확도는 90~98% 수준1) </t>
    </r>
    <r>
      <rPr>
        <rFont val="Segoe UI Symbol"/>
        <color theme="1"/>
        <sz val="11.0"/>
      </rPr>
      <t>▪</t>
    </r>
    <r>
      <rPr>
        <rFont val="맑은 고딕"/>
        <color theme="1"/>
        <sz val="11.0"/>
      </rPr>
      <t xml:space="preserve"> ‘신뢰역 1번출구 앞 파란건물 1층 1호가 우리집’ 텍스트를 주소로 인식하지 않아 처리 </t>
    </r>
    <r>
      <rPr>
        <rFont val="Segoe UI Symbol"/>
        <color theme="1"/>
        <sz val="11.0"/>
      </rPr>
      <t>▪</t>
    </r>
    <r>
      <rPr>
        <rFont val="맑은 고딕"/>
        <color theme="1"/>
        <sz val="11.0"/>
      </rPr>
      <t xml:space="preserve"> ‘신뢰역 1번출구 앞 파란건물 1층 1호가 우리집’ 텍스트를 주소로 인식하지 않아 처리 하지 않거나, ‘김신뢰 김밥’ 등 상호명을 개인정보(이름)로 인식해 불필요하게 삭제 ( 재식별 공격 위험) AI 및 데이터 복원기술 발달로, 다른 정보와의 연계·결</t>
    </r>
  </si>
  <si>
    <r>
      <rPr>
        <rFont val="맑은 고딕"/>
        <b/>
        <color theme="1"/>
        <sz val="11.0"/>
      </rPr>
      <t>150_2402_빅데이터과_기타_개인정보보호위원회_가명정보_처리_가이드라인.pdf[49</t>
    </r>
    <r>
      <rPr>
        <rFont val="맑은 고딕"/>
        <color theme="1"/>
        <sz val="11.0"/>
      </rPr>
      <t xml:space="preserve">]
-----
참고. 비정형데이터 가명처리 기준 4 비정형데이터 가명처리 단계별 고려사항 「 」 비 정형데이터의 가명처리와 관련하여서는 가명정보 처리 가이드라인 제2장의 가명처리 비 정형데이터의 가명처리와 관련하여서는 「가명정보 처리 가이드라인」 제2장의 가명처리 단계별 절차를 동일하게 따르되, 비정형데이터의 특수성을 반영한 개인식별 위험성 검토 및 단계별 절차를 동일하게 따르되, 비정형데이터의 특수성을 안전조치 사항을 추가적으로 고려하여 시행하는 것을 권고 개인정보의 가명처리 단계별 절차 정보의 가 1단계 별 절차 2단계 3단계 4단계 5단계 1단계 목적 설정 등 사전준비 2단계 위험성 검토 3단계 가명처리 4단계 적정성 검토 5단계 안전한 관리 1 사 전준비 단계 사전준비 단계 ※ 가명정보 처리 목적을 설정·검토하고 목적에 맞는 가명처리 대상을 선정하는 단계 비 정형데이터 내 개인식별 가능성이 있는 항목들을 도출하고, 목적 달성에 필요한 항목의 종류와 비 정형데이터 내 개인식별 가능성이 있는 범위를 명확히 하여 가명처리 대상 선정 2 위 험성 검토 단계 위험성 검토 단계 ※ 가명처리 대상·처리 환경의 위험성을 검토하여 가명처리 방법·수준에 반영하기 위한 단계 비 정형데이터의 특성을 고려하여 ’데이터 자체 식별 위험성‘과 ’처리 환경의 식별 위험성‘을 비 정형데이터의 특성을 고려하여 ’데이터 자체 식별 종합적으로 검토하여 가명처리 방법·수준을 결정 종합적으로 검토하여 가명처 (1) 데이터의 식별 위험성 검토 ) 데이터의 식별 위험성 검토 </t>
    </r>
    <r>
      <rPr>
        <rFont val="Segoe UI Symbol"/>
        <color theme="1"/>
        <sz val="11.0"/>
      </rPr>
      <t>❶</t>
    </r>
    <r>
      <rPr>
        <rFont val="맑은 고딕"/>
        <color theme="1"/>
        <sz val="11.0"/>
      </rPr>
      <t xml:space="preserve"> </t>
    </r>
    <r>
      <rPr>
        <rFont val="Segoe UI Symbol"/>
        <color theme="1"/>
        <sz val="11.0"/>
      </rPr>
      <t>❷</t>
    </r>
    <r>
      <rPr>
        <rFont val="맑은 고딕"/>
        <color theme="1"/>
        <sz val="11.0"/>
      </rPr>
      <t xml:space="preserve"> </t>
    </r>
    <r>
      <rPr>
        <rFont val="Segoe UI Symbol"/>
        <color theme="1"/>
        <sz val="11.0"/>
      </rPr>
      <t>❸</t>
    </r>
    <r>
      <rPr>
        <rFont val="맑은 고딕"/>
        <color theme="1"/>
        <sz val="11.0"/>
      </rPr>
      <t xml:space="preserve">  개 인식별 가능성이 높은 정보( 식별정보, 식별가능정보), 특이정보, 데이터 특성만으로 개 인식별 가능성이 높은 정보( </t>
    </r>
    <r>
      <rPr>
        <rFont val="Segoe UI Symbol"/>
        <color theme="1"/>
        <sz val="11.0"/>
      </rPr>
      <t>❶</t>
    </r>
    <r>
      <rPr>
        <rFont val="맑은 고딕"/>
        <color theme="1"/>
        <sz val="11.0"/>
      </rPr>
      <t xml:space="preserve">식별정보, </t>
    </r>
    <r>
      <rPr>
        <rFont val="Segoe UI Symbol"/>
        <color theme="1"/>
        <sz val="11.0"/>
      </rPr>
      <t>❷</t>
    </r>
    <r>
      <rPr>
        <rFont val="맑은 고딕"/>
        <color theme="1"/>
        <sz val="11.0"/>
      </rPr>
      <t>식 재식별 시 영향도가 높은 항목이 있는지 검토 데이터 자체 개인식별 위험성 요소 식별 재식별 시 식별정보 특이정보 가능정보 영향도 47</t>
    </r>
  </si>
  <si>
    <r>
      <rPr>
        <rFont val="맑은 고딕"/>
        <b/>
        <color theme="1"/>
        <sz val="11.0"/>
      </rPr>
      <t>150_2402_빅데이터과_기타_개인정보보호위원회_가명정보_처리_가이드라인.pdf[43]</t>
    </r>
    <r>
      <rPr>
        <rFont val="맑은 고딕"/>
        <color theme="1"/>
        <sz val="11.0"/>
      </rPr>
      <t xml:space="preserve">
-----
참고. 비정형데이터 가명처리 기준 3 비정형데이터 가명처리 기본원칙 1 데 이터 처리 목적·환경, 민감도 등을 종합적으로 고려하여 개인식별 위험성이 있는 정보를 데 이터 처리 목적·환경, 민감도 등을 종합 판단하고, 합리적인 처리 방법·수준 설정 판단하고, 합리적인 처리 방법·수준 설정 ※ 비정형데이터 식별 위험성 체크리스트(52p), 항목별 조치 가이드(55p) 참고 가능 ※ 비정형데이터 식별 위험성 체크리스트(52p), 항목별 조치 가이드(55p) 참고 가능 연 구목적에 맞춰 데이터 자체 훼손을 최소화하면서 관리적·환경적 통제 등 다양한 안전성 확보 연 구목적에 맞춰 방안 적용 가능 방안 적용 가능 - 연 구목적 달성에 필수적인 정보항목을 남기는 대신 그 외 정보항목에 대한 가명처리 수준을 연 구목적 달성에 필수적인 정보항목을 남기는 대신 그 외 정보항목에 대한 가명처리 수준 높이거나, 다른 정보 및 소프트웨어(SW) 반입제한 등 충분한 안전조치를 보완하여 활용 2 가 명처리 기술의 한계 등을 보완하기 위해, 사전 준비단계(연구 및 기술개발 기획 시)부터 위험성을 가 명처리 기술의 한계 등을 보완하기 위해 충실히 검토하고 적절한 안전조치를 수행 충실히 검토하고 적절한 안전조치를 수행 가 명처리 기술의 한계 보완을 위해 다음 조치를 이행할 것을 권고 가명처리 기술의 한계 보완을 위해 다음 조치를 이행할 것을 권고 </t>
    </r>
    <r>
      <rPr>
        <rFont val="Segoe UI Symbol"/>
        <color theme="1"/>
        <sz val="11.0"/>
      </rPr>
      <t>❶</t>
    </r>
    <r>
      <rPr>
        <rFont val="맑은 고딕"/>
        <color theme="1"/>
        <sz val="11.0"/>
      </rPr>
      <t xml:space="preserve"> 가명처리 기술의 적절성·신뢰성을 확인할 수 있는 근거 작성·보관 </t>
    </r>
    <r>
      <rPr>
        <rFont val="Segoe UI Symbol"/>
        <color theme="1"/>
        <sz val="11.0"/>
      </rPr>
      <t>❶</t>
    </r>
    <r>
      <rPr>
        <rFont val="맑은 고딕"/>
        <color theme="1"/>
        <sz val="11.0"/>
      </rPr>
      <t xml:space="preserve"> 가명처리 기술의 적절성·신뢰성을 확인할 수 있는 근거 작성·보 </t>
    </r>
    <r>
      <rPr>
        <rFont val="Segoe UI Symbol"/>
        <color theme="1"/>
        <sz val="11.0"/>
      </rPr>
      <t>❷</t>
    </r>
    <r>
      <rPr>
        <rFont val="맑은 고딕"/>
        <color theme="1"/>
        <sz val="11.0"/>
      </rPr>
      <t xml:space="preserve"> 가명처리 기술 적용 이후, 처리 결과에 대해 자체적인 검수 수행 </t>
    </r>
    <r>
      <rPr>
        <rFont val="Segoe UI Symbol"/>
        <color theme="1"/>
        <sz val="11.0"/>
      </rPr>
      <t>❷</t>
    </r>
    <r>
      <rPr>
        <rFont val="맑은 고딕"/>
        <color theme="1"/>
        <sz val="11.0"/>
      </rPr>
      <t xml:space="preserve"> 가명처리 기술 적용 이후, 처리 결과에 대해 자체적인 검수 수행 </t>
    </r>
    <r>
      <rPr>
        <rFont val="Segoe UI Symbol"/>
        <color theme="1"/>
        <sz val="11.0"/>
      </rPr>
      <t>❸</t>
    </r>
    <r>
      <rPr>
        <rFont val="맑은 고딕"/>
        <color theme="1"/>
        <sz val="11.0"/>
      </rPr>
      <t xml:space="preserve"> 가명처리 적정성 검토 과정에서 </t>
    </r>
    <r>
      <rPr>
        <rFont val="Segoe UI Symbol"/>
        <color theme="1"/>
        <sz val="11.0"/>
      </rPr>
      <t>❶</t>
    </r>
    <r>
      <rPr>
        <rFont val="맑은 고딕"/>
        <color theme="1"/>
        <sz val="11.0"/>
      </rPr>
      <t xml:space="preserve">, </t>
    </r>
    <r>
      <rPr>
        <rFont val="Segoe UI Symbol"/>
        <color theme="1"/>
        <sz val="11.0"/>
      </rPr>
      <t>❷</t>
    </r>
    <r>
      <rPr>
        <rFont val="맑은 고딕"/>
        <color theme="1"/>
        <sz val="11.0"/>
      </rPr>
      <t xml:space="preserve">를 포함하여 점검(외부전문가 과반 이상 참여 바람직) </t>
    </r>
    <r>
      <rPr>
        <rFont val="Segoe UI Symbol"/>
        <color theme="1"/>
        <sz val="11.0"/>
      </rPr>
      <t>❸</t>
    </r>
    <r>
      <rPr>
        <rFont val="맑은 고딕"/>
        <color theme="1"/>
        <sz val="11.0"/>
      </rPr>
      <t xml:space="preserve"> 가명처리 적정성 검토 과정에서 </t>
    </r>
    <r>
      <rPr>
        <rFont val="Segoe UI Symbol"/>
        <color theme="1"/>
        <sz val="11.0"/>
      </rPr>
      <t>❶</t>
    </r>
    <r>
      <rPr>
        <rFont val="맑은 고딕"/>
        <color theme="1"/>
        <sz val="11.0"/>
      </rPr>
      <t xml:space="preserve">, </t>
    </r>
    <r>
      <rPr>
        <rFont val="Segoe UI Symbol"/>
        <color theme="1"/>
        <sz val="11.0"/>
      </rPr>
      <t>❷</t>
    </r>
    <r>
      <rPr>
        <rFont val="맑은 고딕"/>
        <color theme="1"/>
        <sz val="11.0"/>
      </rPr>
      <t>를 포함하여 점검(외부전문가 과반 이상 참여 바람직 사 전에 식별된 개인정보 침해 위험을 예방하기 위해서 가명정보 활용에 참여하는 각 기관의 사 전에 식별된 개인정보 침해 위험을 내부통제 강화 노력이 병행될 필요 내부통제 강화 노력이 병행될 필요 가 명정보의 처리목적을 달성하면 신속히 가명정보를 파기하여 사후적 위험 최소화 3 데 이터 복원기술 발달 등에 대응하여, 가명처리된 비정형데이터 활용 시 관련 시스템</t>
    </r>
    <r>
      <rPr>
        <rFont val="Noto Sans KR"/>
        <color theme="1"/>
        <sz val="11.0"/>
      </rPr>
      <t>‧</t>
    </r>
    <r>
      <rPr>
        <rFont val="맑은 고딕"/>
        <color theme="1"/>
        <sz val="11.0"/>
      </rPr>
      <t>SW의 데 이터 복원기술 발달 등에 대응하 접근·사용 제한 등 통제방안 마련 접근·사용 제한 등 통제방안 마련 * 원본 복원에 활용될 수 있는 추가정보 분리보관, 복원 SW에 대한 접근권한 제한 등 원본 복원에 활용될 수 있는 추가정보 분리보관, 복원 SW에 대한 접근권한 제한 등 A I 개발·활용 상황에서 나타날 수 있는 다양한 위험을 사전에 완벽하게 제거하는 것은 A I 개발·활용 상황에서 나타날 수 있는 다양한 위험을 사전에 완벽하게 제거하는 것은 불가능하므로, AI 서비스 제공과정에서도 개인식별 위험 등 정보주체 권익 침해 가능성을 지속 불가능하므 모니터링 41</t>
    </r>
  </si>
  <si>
    <t>부산광역시에서 생산하는 통계는 어떤 것들이 있나요?</t>
  </si>
  <si>
    <t>부산광역시에서 생산·관리하는 공식 통계의 종류와 각 통계별 작성 주체, 수집 범위, 제공 방식 및 이용 가능한 대상은 무엇인가요?</t>
  </si>
  <si>
    <t>부산광역시에서 생산하는 통계 종류로는 부산해양산업조사, 부산사회조사, 부산광역시 산업단지 현황, 부산광역시 연도별 경제활동 인구추이, 문화·관광 현황이 있습니다.
관련내용은 다음과 같습니다.
부산해양산업조사
조사목적: 부산의 해양산업 현황 및 동향을 총체적이고 집약적으로 파악하여 해양산업 정책 수립 및 연구 자료로 활용
조사연혁: 2010년 6월 시험조사 실시, 2011년부터 2022년까지 1회부터 12회 실시
조사대상: 부산시 소재 해양산업 분류에 따른 종사자 1인 이상의 해양 관련 사업체
조사주기 및 기간: 매년, 2021년 1월 1일부터 12월 31일까지(1년간), 2022년 6월 2일부터 7월 18일까지 조사 실시
조사방법: 조사원이 직접 사업체를 방문하는 면접조사 방식이 원칙, 희망 시 전화조사, FAX 조사, E-mail 조사 등 비대면 조사 가능
조사항목: 사업체 정보, 산업의 종류, 종사자 수, 매출액 비중 등 13개 항목
통계자료 제공: 부산광역시 홈페이지, URL: https://data.busan.go.kr/index.nm?contentId=67#step01
부산사회조사
조사목적: 시민생활, 시민의식의 실태와 수준을 파악하여 시민 생활의 질적 측면과 전반적인 복지 정도를 측정, 부산지역사회 개발 정책의 기초 자료로 활용
조사연혁: 1996년 1차 조사 실시, 2020년 25차 조사 실시
법적 근거: 통계법 제18조에 의거 승인된 일반 통계 제202005호
조사 기준 시점 및 조사 기간: 2020년 8월 26일 0시 현재, 2020년 8월 26일부터 9월 15일까지(21일간)
조사대상: 부산 지역의 940개 표본조사구 내 17,860 표본가구, 표본가구 내 만 15세 이상 가구원(33,082명 조사 완료)
조사항목: 분야별 2년 주기, 짝수 년에는 건강, 안전, 환경, 가족, 사회통합 5개 부문 136개 항목, 홀수 년에는 소득·소비·자산, 주거·교통, 노동, 교육, 문화·여가
통계자료 제공: 부산광역시 홈페이지, URL: http://data.busan.go.kr/index.nm?contentId=67
이 외에도 부산광역시 산업단지 현황, 부산광역시 연도별 경제활동 인구 추이, 문화·관광 현황 등의 통계 자료가 있습니다.</t>
  </si>
  <si>
    <t>ㆍ236_2023_인구정책담당관_중장기기본계획_기획담당관_부산광역시_인구감소지역대응_기본계획2022년2026년.pdf (p.34)
https://busanai.busan.go.kr/download/236_2023_인구정책담당관_중장기기본계획_기획담당관_부산광역시_인구감소지역대응_기본계획2022년2026년.pdf
ㆍ70136_20230605_빅데이터통계과_보도자료지자체_유일_통계_2022_부산해양산업조사_결과_공표-hwp.pdf (p.3)
https://busanai.busan.go.kr/download/70136_20230605_빅데이터통계과_보도자료지자체_유일_통계_2022_부산해양산업조사_결과_공표-hwp.pdf
ㆍ65101_20210105_통계빅데이터담당관_참고자료1-hwp.pdf (p.1)
https://busanai.busan.go.kr/download/65101_20210105_통계빅데이터담당관_참고자료1-hwp.pdf</t>
  </si>
  <si>
    <t>기대답변
부산광역시에서 생산하는 통계는 총 27종으로, 아래와 같습니다.
1. 조사통계(13종) : 부산사업체조사, 부산해양산업조사, 부산환경산업조사, 부산사회조사, 광업·제조업조사, 인구동향조사, 경제총조사, 가구주택기초조사, 인구주택총조사, 농림어업총조사, 부산일자리종합실태조사, 부산차량교통량조사, 부산복지실태조사
2. 보고통계(7종) : 부산통계연보, 부산주민등록인구통계, 부산사회지표, 부산광역도시권통계, 부산행정지도, 인구이동통계, 부산크루즈행정통계
3. 가공통계(7종) : 부산구군단위지역내총생산, 부산소상공인통계, 부산청년통계, 부산장노년통계, 부산구군단위장래인구추계, 부산경기종합지수, 부산수산업통계
링크 : 2502_빅데이터과_기타_빅데이터과_2025년도 통계 주요업무 시행계획.pdf</t>
  </si>
  <si>
    <t>부산광역시에서 생산하는 통계는 총 27종으로, 아래와 같습니다.
 1. 조사통계(13종) : 부산사업체조사, 부산해양산업조사, 부산환경산업조사, 부산사회조사, 광업·제조업조사, 인구동향조사, 경제총조사, 가구주택기초조사, 인구주택총조사, 농림어업총조사, 부산일자리종합실태조사, 부산차량교통량조사, 부산복지실태조사
 2. 보고통계(7종) : 부산통계연보, 부산주민등록인구통계, 부산사회지표, 부산광역도시권통계, 부산행정지도, 인구이동통계, 부산크루즈행정통계
 3. 가공통계(7종) : 부산구군단위지역내총생산, 부산소상공인통계, 부산청년통계, 부산장노년통계, 부산구군단위장래인구추계, 부산경기종합지수, 부산수산업통계</t>
  </si>
  <si>
    <t>164_2502_빅데이터과_기타_빅데이터과_2025년도_통계_주요업무_시행계획.pdf</t>
  </si>
  <si>
    <t>50, 51</t>
  </si>
  <si>
    <t>해당 페이지 내용 전체</t>
  </si>
  <si>
    <t>부산광역시에서 생산하는 통계의 종류</t>
  </si>
  <si>
    <t>내부 지침 및 조례를 빠르게 찾고 싶은데 어떻게 하나요?</t>
  </si>
  <si>
    <t>부산광역시 소속 직원이 업무 관련 내부 지침이나 조례를 신속하게 검색·확인하려는 경우, 공식 포털, 내부 시스템, 검색 절차 및 접근 방법은 무엇인가요?</t>
  </si>
  <si>
    <t>부산광역시 내부 지침 및 조례를 빠르게 찾는 방법은 부산광역시 홈페이지를 이용하는 것입니다.
관련 내용은 다음과 같습니다.
부산광역시 홈페이지 접속: 부산광역시 홈페이지(http://www.busan.go.kr)에 접속합니다.
분야별 정보 선택: 홈페이지의 “분야별 정보” 메뉴를 클릭합니다.
행정 선택: “행정” 하위 메뉴에서 "법무행정"을 선택합니다.
자치법규 선택: “법무행정” 메뉴에서 "자치법규"를 선택합니다.
조례/규칙/입법예고 확인: “자치법규” 페이지에서 “조례”, “규칙”, "입법예고"를 확인할 수 있습니다.
검색 기능 활용: 원하는 조례나 규칙을 찾기 위해 검색 기능을 사용할 수 있습니다.
이러한 단계를 통해 부산광역시 내부 지침 및 조례를 빠르게 찾을 수 있습니다.</t>
  </si>
  <si>
    <t>ㆍ75879_입법예고문제2024-27_부산광역시_국외소재문화재_보호_및_환수활동_지원에_관한_조례_일부개정조례안-hwp.pdf (p.3)
https://busanai.busan.go.kr/download/75879_입법예고문제2024-27_부산광역시_국외소재문화재_보호_및_환수활동_지원에_관한_조례_일부개정조례안-hwp.pdf
ㆍ75416_부산광역시_법제업무_운영_규칙_일부개정규칙안-hwp.pdf (p.2)
https://busanai.busan.go.kr/download/75416_부산광역시_법제업무_운영_규칙_일부개정규칙안-hwp.pdf</t>
  </si>
  <si>
    <t xml:space="preserve">공무원용 내부 업무 포털(행정포털)에 자치법규 위치 관련 자료가 없지만
해당 내용으로 홈페이지에서 검색 시 관련 자료가 확인이 되므로 답변 내용은 괜찮은거 같습니다.
다만 근거 자료에서 해당 위치를 검색한거 같은데
이런 자료는 근거자료로 노출될 필요까진 없어보입니다. 왜냐하면 해당 질문에 대한 내용이 있다기보다는
법제 업무 중 규칙을 일부 개정하는데 해당 개정안의 위치를 알려주는 내용이 있어서 참고한거 같습니다
</t>
  </si>
  <si>
    <t>기대답변 :
 자치법규정보시스템(조례, 내부 지침)에서 확인 가능합니다.
 링크 : https://www.elis.go.kr/locgovalr/locgovClAlrList?ctpvSggCd=26000</t>
  </si>
  <si>
    <t>7</t>
  </si>
  <si>
    <t>자치법규 링크만 제공하면 될 것 같습니다.
 간단한 질문 대응 FAQ에 입력 완료
------
Q7. 자치법규정보시스템의 웹사이트 주소를 알려주세요.</t>
  </si>
  <si>
    <t>내부 지침 및 조례 찾는 방법, 자치법규정보시스템 사이트(URL, 링크) 정보</t>
  </si>
  <si>
    <t>시청 내부 직원교육 리스트 일정 및 내용을 보는 방법 있나요?</t>
  </si>
  <si>
    <t>내부 직원교육 프로그램의 전체 리스트, 일정, 교육 내용을 확인하려는 경우, 공식 시스템이나 포털에서 조회하는 방법과 접근 절차는 무엇인가요?</t>
  </si>
  <si>
    <t>부산광역시청 내부 직원교육 리스트의 일정 및 내용을 확인하는 방법은 다음과 같습니다.
부산광역시청 홈페이지 방문: 부산광역시청 공식 홈페이지에 접속하여 “직원교육” 또는 “교육훈련” 섹션을 찾아보시면 됩니다.
부산광역시청 공식 SNS 확인: 부산광역시청의 공식 소셜 미디어 계정(예: 페이스북, 인스타그램)을 통해 최신 직원교육 일정 및 내용을 확인할 수 있습니다.
부산광역시청 직원 전용 포털: 부산광역시청 내부 직원들을 위한 전용 포털 사이트에서 교육 일정 및 내용을 확인할 수 있습니다.
전화 문의: 부산광역시청 총무과 또는 교육 담당 부서에 전화하여 직접 문의하는 방법도 있습니다.
이러한 방법을 통해 부산광역시청 내부 직원교육 리스트의 일정 및 내용을 확인할 수 있습니다.</t>
  </si>
  <si>
    <t>관련 근거 문서가 없어서 기초 답변이 나온거 같습니다. 다만 홈페이지내 공식 SNS에서는 확인이 불가능한데 잘못된 정보가 생성이 됩니다.</t>
  </si>
  <si>
    <t>문서 보존기간은 얼마인가요?</t>
  </si>
  <si>
    <t>행정문서 또는 기록물의 종류별 보존기간과 관련 법령·내부 지침상 보존 기간 산정 기준은 무엇인가요?</t>
  </si>
  <si>
    <t>부산광역시청 내부 문서의 보존 기간은 영구, 10년, 5년, 3년, 1년 등 5종으로 구분됩니다.
관련내용은 다음과 같습니다.
영구: 공사의 핵심적인 업무 수행을 증명하거나 설명하는 문서 중 영구 보존이 필요한 문서, 규정의 제정 또는 개정이나 이에 상당하는 주요 정책의 결정 또는 변경과 관련된 문서, 이사회의 회의록, 연도별 업무계획과 이에 대한 추진과정, 결과 및 심사분석 관련 문서, 사사(社史), 그 밖에 공사의 연혁과 변천사를 규명하는데 유용한 중요 문서, 다수 시민의 관심사항이 되는 주요 사건 또는 사고 및 재해 관련 문서, 토지 등과 같이 장기간 존속되는 물건 또는 재산의 관리·확인·증명에 필요한 중요 문서, 각종 사업·공사 등과 관련된 기본 설계도 및 계약 등에 관련된 문서 중 영구 보존이 필요한 문서, 다른 법령에 따라 영구 보존하도록 규정된 문서, 그 밖에 역사자료로서의 보존가치가 높다고 인정되는 문서
준영구: 공사의 재산, 권리를 증빙하는 문서 중 관리 대상 자체가 사망, 폐지 또는 그 밖의 사유로 소멸되기 때문에 영구 보존할 필요성이 없는 문서, 관계 법령에 따라 30년 이상의 기간 동안 민·형사상 책임 또는 시효가 지속되거나, 증명 자료로서의 가치가 지속되는 사항에 관한 문서, 각종 인가·허가 등에 관한 원본 문서, 기타 영구적으로 보존할 필요는 없으나 30년 이상 장기 보존이 필요하다고 인정되는 문서
30년: 영구·준영구적으로 보존할 필요는 없으나 공사의 주요 업무와 관련된 기록물로서 10년 이상의 기간 동안 업무에 참고하거나 공사의 업무 수행 내용을 증명할 필요가 있는 문서, 공사 관련 소송 관계 문서로 10년 이상 30년 미만의 기간 동안 민·형사상 또는 행정상의 책임 또는 시효가 지속되거나, 증명 자료로서의 가치가 지속되는 사항에 관한 문서, 다른 법령에 따라 10년 이상 30년 미만의 기간 동안 보존하도록 규정된 문서, 그 밖에 10년 이상의 기간 동안 보존할 필요가 있다고 인정되는 문서
10년: 30년 이상 장기간 보존할 필요는 없으나 공사의 주요 업무와 관련된 문서로서 10년 이상의 기간 동안 업무에 참고하거나 업무 수행 내용을 증명할 필요가 있는 문서, 다른 법령에 따라 5년 이상 10년 미만의 기간 동안 보존하도록 규정된 문서, 그 밖에 5년 이상 10년 미만의 기간 동안 보존할 필요가 있다고 인정되는 문서
5년: 기타 5년 이상 10년 미만의 기간 동안 보존할 필요가 있다고 인정되는 문서
이러한 보존 기간은 문서의 중요성, 활용도, 법적 요구사항 등을 고려하여 설정되며, 필요에 따라 변경될 수 있습니다.</t>
  </si>
  <si>
    <t>ㆍ587_압축사무관리규정_시행내규20130930.pdf (p.5)
https://busanai.busan.go.kr/download/587_압축사무관리규정_시행내규20130930.pdf</t>
  </si>
  <si>
    <t>부산교통공사 내규가 근거문서라 오류입니다. 
국가기록원 25년 기록물관리 지침 문서에 관련 내용이 있습니다.
해당 자료가 전달이 안된거 같아 보이는데 민원여권과 2025년 부산광역시 기록물관리 지침 문서에도 해당 내용이 있습니다.</t>
  </si>
  <si>
    <t>기대답변 :
 문서 보존기간은 기록물의 성격과 증명·관리 필요성에 따라 영구 → 준영구 → 30년 → 10년 → 5년 → 3년 → 1년으로 구분된다. 각 기간은 다음 기준에 따라 책정된다.
 1. 영구 보존 : 다음과 같이 국가·기관·국민의 권리‧의무 또는 역사적 가치가 큰 기록물이 해당한다.
  - 기관 핵심 업무 수행 증명 기록
  - 국민·기관의 지위·신분·재산·권리를 증명하는 기록
  - 국가·지역사회 역사 경험을 증명하는 기록
  - 건강·환경 보호 관련 중요 기록
  - 주요 정책·제도 결정 및 변화 관련 기록
  - 학술·문화예술 분야의 중대한 성과
  - 조직 구조 변화 및 주요 직위 임면 관련 기록
  - 국토·환경에 큰 영향을 미치는 사업 관련 기록
  - 법령에서 영구보존을 요구한 기록
  - 백서·정책자료집, 정부 지시사항, 주요 사건·사고 기록 등
 2. 준영구 보존 : 장기간 필요하지만 영구는 아닌 기록
  - 신분·재산·권리 증빙 기록 중 관리대상이 소멸하는 경우
  - 장기 보존 필요가 있는 비치기록물
  - 행정정보시스템 데이터셋
  - 토지수용 등 재산권 관련 30년 이상 보존 필요 기록
  - 법령에서 장기 책임·시효가 유지되는 기록
 3. 30년 보존 : 주요 업무 관련 기록 중 10년 이상 필요하나 영구는 아닌 기록
  - 고위직 기관장 결재를 요하는 일반사항
  - 법령에 따른 10~30년 보존 필요 항목
 4. 10년 보존 : 기관 주요업무 중 장기 검토가 필요한 기록
  - 본부·국·실 단위 일반 업무 관련 기록
  - 법령상 5~10년 보존 필요 항목
 5. 5년 보존 : 처리과 주요업무 관련 기록(3~5년 필요)
  - 일반 예산·회계 기록
  - 법령상 3~5년 보존 항목
 6. 3년 보존 : 처리과 일상적 업무 기록(1~3년 필요)
  - 각종 증명서 발급 기록
  - 주간·월간·분기별 계획 수립 기록
 7. 1년 보존 : 행정적·법적·재정적 증명 가치가 없는 단순 기록
  - 기관 간 단순 전달·문의·연락
  - 상급 요구에 따른 단순 현황 보고 기록</t>
  </si>
  <si>
    <t>438_2502_통합민원과_업무메뉴얼_통합민원과_기록관리_업무편람기정너.pdf</t>
  </si>
  <si>
    <t>85, 86, 87</t>
  </si>
  <si>
    <t>페이지 내용 전체</t>
  </si>
  <si>
    <r>
      <rPr>
        <rFont val="맑은 고딕"/>
        <b/>
        <color theme="1"/>
        <sz val="11.0"/>
      </rPr>
      <t xml:space="preserve">438_2502_통합민원과_업무메뉴얼_통합민원과_기록관리_업무편람기정너.pdf[29]
-----
</t>
    </r>
    <r>
      <rPr>
        <rFont val="맑은 고딕"/>
        <color theme="1"/>
        <sz val="11.0"/>
      </rPr>
      <t xml:space="preserve">28 3. 기록관리기준표 정 부기능분류체계(BRM)상의 단위과제에 업무설명, 보존기간, 보존기간 책정사유, 비치기록물 해당여부, 보존장소, 공개여부 등의 기록물 관련 기준정보 부여 부 산광역시에서 발생한 기록물의 체계적 관리 및 업무처리를 위해 단위과제별로 관리기준을 제시한 표로 변동 시 홈페이지에 고시 &lt;table border="1" class="table table-striped table-hover"&gt;&lt;thead&gt;&lt;tr&gt;&lt;th&gt;단위과제ID&lt;/th&gt;&lt;th&gt;단위과제명&lt;/th&gt;&lt;th&gt;분류체계&lt;/th&gt;&lt;th&gt;단위과제설명&lt;/th&gt;&lt;th&gt;주관부서&lt;/th&gt;&lt;th&gt;보존기관&lt;/th&gt;&lt;th&gt;상태&lt;/th&gt;&lt;/tr&gt;&lt;/thead&gt;&lt;tbody&gt;&lt;tr&gt;&lt;td&gt;LB0007 20231026001444105&lt;/td&gt;&lt;td&gt;(기관공통)감사결과처리&lt;/td&gt;&lt;td&gt;기능별분류&amp;gt;일반공공행정&amp;gt;일반행정&amp;gt;일반행정지원&amp;gt;감사&amp;gt;감사일반&amp;gt;(기관공통)감사결과처리&lt;/td&gt;&lt;td&gt;감사 지적사항 개요 및 조치의견통보, 조치사항 이행 등의 결과를 보고하는 업무&lt;/td&gt;&lt;td&gt;소방재난본부 소방감사담당관(6261560),감사 위원회 감사담당관(6261855), 감사위원회청담당관(6261856)&lt;/td&gt;&lt;td&gt;영구&lt;/td&gt;&lt;td&gt;확정&lt;/td&gt;&lt;/tr&gt;&lt;tr&gt;&lt;td&gt;L8000720231026001444116&lt;/td&gt;&lt;td&gt;(기관공통)감사결과지원&lt;/td&gt;&lt;td&gt;기능별분류&amp;gt;일반공공행정&amp;gt;일반행정&amp;gt;일반행정지원&amp;gt;감사&amp;gt;감사일반&amp;gt;(기관공통)감사업무지원&lt;/td&gt;&lt;td&gt;정부합동평가 등의 외부감사 또는 대행감사 시 수감자료 준비,감사 관련 각종 자문 결과 정리,감사에 필요한 내부 규정 제정및 시행, 기타 협력사항 안내 등각종 행정지원과 관련된 업무&lt;/td&gt;&lt;td&gt;소방재난본부 소방감사담당관(6261560),감사위원회 감사담당관(6261855), 감사위원회청렴담당관(6261856)&lt;/td&gt;&lt;td&gt;5년&lt;/td&gt;&lt;td&gt;확정&lt;/td&gt;&lt;/tr&gt;&lt;tr&gt;&lt;td&gt;LB000720231026001444124&lt;/td&gt;&lt;td&gt;(기관공통)감사원감사처분요구사항관리&lt;/td&gt;&lt;td&gt;기능별분류&amp;gt;일반공공행정&amp;gt;일반행정&amp;gt;일반행정지원&amp;gt;감사&amp;gt;감사원감사결과처리&amp;gt;(기관공통)감사원감사처분요구사항관리&lt;/td&gt;&lt;td&gt;자체감사가 불가능하다고 판단한 사항에 대해 감사원에 청구하고 감사원이 해당 기관의 법령 등위법, 부당한 사항에 대한 감사 실시 결과 적정한 처분을요구하고 평가하는 업무&lt;/td&gt;&lt;td&gt;감사위원회 감사담당관(6261855)&lt;/td&gt;&lt;td&gt;10년&lt;/td&gt;&lt;td&gt;확정&lt;/td&gt;&lt;/tr&gt;&lt;tr&gt;&lt;td&gt;LB0007 20231026001444123&lt;/td&gt;&lt;td&gt;(기관공통)감사원대행감사&lt;/td&gt;&lt;td&gt;기능별분류&amp;gt;일반공공행정&amp;gt;일반행정&amp;gt;일반행정지원&amp;gt;감사&amp;gt;감사원감사결과처리&amp;gt;(기관공통)감사원대해강사&lt;/td&gt;&lt;td&gt;감사원의 감사사무 중 일부를 대행 의뢰 또는 위탁한 감사에 대하여 감사계획 수립, 감사 실시,감사결과 보고, 감&lt;/td&gt;&lt;td&gt;감사위원회 감사담당관(6261855)&lt;/td&gt;&lt;td&gt;10년&lt;/td&gt;&lt;td&gt;확정&lt;/td&gt;&lt;/tr&gt;&lt;/tbody&gt;&lt;/table&gt; 부산광역시 기록관리기준표(2024) </t>
    </r>
    <r>
      <rPr>
        <rFont val="맑은 고딕"/>
        <color rgb="FFFF0000"/>
        <sz val="11.0"/>
      </rPr>
      <t>4. 보존기간 기 록물의 보존ᆞ활용ᆞ폐기 등 등록 이후 기록물 관리의 핵심 • 구 분 : 1년, 3년, 5년, 10년, 30년, 준영구, 영구 • 관계 법령, 업무의 중요도, 활용여부, 역사적 가치 등을 종합적으로 검토하여 결정</t>
    </r>
    <r>
      <rPr>
        <rFont val="맑은 고딕"/>
        <color theme="1"/>
        <sz val="11.0"/>
      </rPr>
      <t xml:space="preserve"> 기 산일 : 기록물의 처리가 완결된 날이 속하는 다음 연도의 1월 1일 • [ 예] 2021.10.23 생산한 보존기간 3년인 문서의 보존기간→ 2022.1. 1 ~ 2024. 12. 3 </t>
    </r>
    <r>
      <rPr>
        <rFont val="Segoe UI Symbol"/>
        <color theme="1"/>
        <sz val="11.0"/>
      </rPr>
      <t>✽</t>
    </r>
    <r>
      <rPr>
        <rFont val="맑은 고딕"/>
        <color theme="1"/>
        <sz val="11.0"/>
      </rPr>
      <t xml:space="preserve"> 보존기간이 경과한 기록물에 대한 평가ᆞ폐기 시 보존기간 상향조정은 가능하나하 향 조정 불가하므로 업무에 맞는 보존기간 책정 중요 책 정단위 : 단위과제별 책정 → BRM시스템에서 단위과제 생성 시 책정 </t>
    </r>
    <r>
      <rPr>
        <rFont val="Segoe UI Symbol"/>
        <color theme="1"/>
        <sz val="11.0"/>
      </rPr>
      <t>✽</t>
    </r>
    <r>
      <rPr>
        <rFont val="맑은 고딕"/>
        <color theme="1"/>
        <sz val="11.0"/>
      </rPr>
      <t xml:space="preserve"> 정확한 보존기간 책정을 위해 기록관과 사전확인 후 책정 책 정기준 • 공공기록물법 시행령 제26조 ‘기록물의 보존기간별 책정기준’ ▶ [붙임 1 • 국가기록원 ‘처리과 공통업무 보존기간표’ ▶ [붙임 2] • 지방자치단체 ‘기관 공통업무 보존기간 준칙’ ▶ [붙임 3] • 부산광역시 기록관리기준표 ▶ 시 홈페이지 고시</t>
    </r>
  </si>
  <si>
    <r>
      <rPr>
        <rFont val="맑은 고딕"/>
        <b/>
        <color theme="1"/>
        <sz val="11.0"/>
      </rPr>
      <t xml:space="preserve">432_2412_통합민원과_업무메뉴얼_국가기록원_25년_기록물관리_지침.pdf[18] </t>
    </r>
    <r>
      <rPr>
        <rFont val="맑은 고딕"/>
        <color theme="1"/>
        <sz val="11.0"/>
      </rPr>
      <t xml:space="preserve">
-----
ㅇ 기록관리기준표는 단위과제별로 작성하며 업무설명, 보존기간 및 보존기간 책정사유, 비치기록물
해당여부, 보존장소, 보존방법, 공개여부 및 접근권한 등의 관리기준을 포함함
- (업무설명) 기능분류체계의 단위과제에 대한 설명으로 기록물의 생산맥락을 파악할 수 있도록
업무의 성격, 업무처리 절차 등을 기술함
- (보존기간) 단위과제별 보존기간은 각급기관이 「공공기록물법 시행령」[별표 1]의 ‘기록물의
보존기간별 책정기준’,‘공통업무 보존기간 준칙’ 등 각 기관 유형별 ‘기록물 보존기간 준칙’
또는 ‘보존기간표’ 등을 참조하여
 ⇒ 영구, 준영구, 30년, 10년, 5년, 3년, 1년 중 하나로 책정함을 원칙으로 함
- (보존기간 책정 사유) 단위과제 보존기간 책정을 위해 실제로 참조하고 검토한 사항 및 근거를
기술함
- (비치기록물 해당여부) 비치기록물은 기록물 생산부서에서 카드·도면·대장 등과 같이 주로
사람·물품 또는 권리관계 등에 관한 사항의 관리나 확인 등에 수시로 사용하는 기록물에
대하여 지정함, 이 때 비치여부, 비치사유, 비치기간을 정하고 기록관에 제출함
ㅇ 단위과제의 신설 및 변경 시 처리과의 장 및 기관 기록물관리 전문요원의 검토를 받을 수 있음
&lt; 주의 사항 &gt;
● 단위과제는 기록물의 보존기간을 책정하고 기록물관리를 위해 매우 중요한 분류단위이므로
업무담당자는 직제 개정, 업무조정, 신규업무 도입 시 신중하게 단위과제 신설을 요청하여야 함
ㅇ 단위과제카드(기록물철) 작성기준 수립
- 처리과 기록물관리책임자는 부서의 업무유형별로 단위과제카드(기록물철)의 기록물 편철
기준을 수립하여야 하며, 이를 처리과 업무담당자들이 업무에 활용할 수 있도록 공유해야 함
- 업무담당자는 담당하고 있는 업무절차별로 생산되는 기록물의 유형을 정리하고 단위과제카드
(기록물철) 편철 기준을 마련
ㅇ 단위과제카드(기록물철) 생성
- 단위과제는 업무성격에 따른 업무절차로 구분하고 단위과제카드는 업무성격상 대상 또는
유형이 구분될 경우 각각 생성하는 것이 원칙임
- 단위과제카드 생성 시 단위과제와의 업무 유사성을 고려하고 단위과제카드 간 업무 중복
여부를 확인해야 하며, 단위과제의 보존기간을 그대로 승계하므로 신중한 검토 필요
※ 단위과제카드 신설권한은 처리과 BRM담당자(서무담당)에게 부여
</t>
    </r>
  </si>
  <si>
    <r>
      <rPr>
        <rFont val="맑은 고딕"/>
        <b/>
        <color theme="1"/>
        <sz val="11.0"/>
      </rPr>
      <t xml:space="preserve">432_2412_통합민원과_업무메뉴얼_국가기록원_25년_기록물관리_지침.pdf[22] </t>
    </r>
    <r>
      <rPr>
        <rFont val="맑은 고딕"/>
        <color theme="1"/>
        <sz val="11.0"/>
      </rPr>
      <t xml:space="preserve">
-----
</t>
    </r>
    <r>
      <rPr>
        <rFont val="맑은 고딕"/>
        <color rgb="FFFF0000"/>
        <sz val="11.0"/>
      </rPr>
      <t>1. 기록물의 보존기간은 어떻게 책정하는지?
☞ 「공공기록물법」에서는 보존기간을 7종(영구, 준영구, 30년, 10년, 5년, 3년, 1년)으로
구분함. 기록관리기준표를 사용하는 기관은 단위과제 단위로, 기록물분류기준표를
사용하는 기관은 단위업무 단위로 보존기간을 책정하고, 기록물철 생성 시 단위업무의
보존기간 이하의 범위에서 기록물철 보존기간을 책정하여야 함
※ (예시) 단위과제 보존기간이 “30년”인 경우, 단위과제카드 보존기간은 “30년”임
- 단위업무 보존기간이 “30년”인 경우, 기록물철 보존기간은 “30년” “10년” “5년” “3년”
“1년” 중에 선택하여 책정
☞ 보존기간의 기산일은 기록물이 생산된 이듬 해 1월 1일부터 시작되며 기록물의 보존
기간은 기록물의 가치와 활용여부를 결정하는 중요한 사항으로, 보존기간은 기록물의
행정적·법적·재정적·증거적·정보적·역사적 가치 등을 종합적으로 판단하여 책정
해야 함</t>
    </r>
  </si>
  <si>
    <t>직원대상 후생복지 내용을 보는 방법이 있나요?</t>
  </si>
  <si>
    <t>후생복지 제도의 종류와 상세 내용, 안내 자료를 확인하려는 경우, 공식 시스템이나 포털에서 조회하는 방법과 접근 절차는 무엇인가요?</t>
  </si>
  <si>
    <t>직원들을 위한 후생복지 내용을 확인할 수 있는 방법은 부산시보 고시공고, 자치법규정보시스템, 부산광역시 공무원 후생복지에 관한 조례 일부개정조례안 입법예고문, 부산광역시 공무원 후생복지에 관한 조례 일부개정조례안입니다.
관련내용은 다음과 같습니다.
부산시보 고시공고: 부산시보 고시공고 메뉴에서 “부산광역시 공무원 후생복지에 관한 조례” 관련 고시공고 내용을 열람할 수 있습니다.
자치법규정보시스템: 자치법규정보시스템에서 "부산광역시 공무원 후생복지에 관한 조례"의 입법예고 내용을 확인할 수 있습니다.
부산광역시 공무원 후생복지에 관한 조례 일부개정조례안 입법예고문: 해당 문서를 직접 다운로드하여 내용을 확인할 수 있습니다.
부산광역시 공무원 후생복지에 관한 조례 일부개정조례안: 조례의 개정 내용 및 후생복지 내용을 포함하고 있으며, 이를 통해 직원들을 위한 후생복지 내용을 구체적으로 확인할 수 있습니다.</t>
  </si>
  <si>
    <t>ㆍ75291_부산광역시_공무원_후생복지에_관한_조례일부개정조례안_입법예고.pdf (p.1)
https://busanai.busan.go.kr/download/75291_부산광역시_공무원_후생복지에_관한_조례일부개정조례안_입법예고.pdf
ㆍ75292_부산광역시_공무원_후생복지에_관한_조례_일부개정조례안_입법예고문-hwp.pdf (p.3)
https://busanai.busan.go.kr/download/75292_부산광역시_공무원_후생복지에_관한_조례_일부개정조례안_입법예고문-hwp.pdf
ㆍ75859_부산광역시_공무원_후생복지에_관한_조례_일부개정_입법예고문-hwp.pdf (p.1)
https://busanai.busan.go.kr/download/75859_부산광역시_공무원_후생복지에_관한_조례_일부개정_입법예고문-hwp.pdf</t>
  </si>
  <si>
    <t>입법예고문을 근거자료로 활용하기에는 조금 어려운 점이 있습니다.
내용 또한 고시공고, 입법예고문 등에서 확인하기보다는 자치법규정보시스템이나 온나라 문서에서 확인이 가능하다고 보시면 됩니다. 
아마 관련 근거 자료는 추후 자치법규가 벡터DB로 추가되면 관련 근거에 대한 자료가 검색이 될 것으로 보입니다.</t>
  </si>
  <si>
    <t>기대답변:
 2025년 공무원 후생복지 추진계획(배포)에서 확인가능합니다.
 1. 여가지원
  1-1 맞춤형 복지제도 운영 
  1-2 연휴연계 휴가 활성화
  1-3 장기재직휴가 실시
  1-4 장기재직휴가(휴양시설) 지원
  1-5 직원 휴양시설(콘도) 회원권 지원
  1-6 휴양시설 이용 지원
 2. 건강관리
  2-1 종합 건강검진비 지원
  2-2 독감 예방접종비 지원 
  2-3 대상포진 예방접종비 지원 
  2-4 체력단련실 운영
  2-5 청내부속의원 및 힐링센터 설치
  2-6 열린상담실 운영
  2-7 의무실 운영
 3. 가정 친화
  3-1 가족과 함께하는 문화활동 지원
  3-2 임산부 및 출산직원 지원
  3-3 임신검진 동행휴가(특별휴가) 신설 
  3-4 직원 자녀 야간 돌봄 서비스 제공
  3-5 학습지도시간(특별휴가) 신설 
  3-6 육아시간 사용 직원 업무 대행자 보상실시
  3-7 모성쉼터 운영 지원
  3-8 가족 사랑의 날 운영
  3-9 가환(家患) 직원 격려
  3-10 장례비 지원
  3-11 유가족 위로금 지급
 4. 자긍심 고취
  4-1 청사 내 텀블러세척기 설치
  4-2 직원식당 직영 운영
  4-3 생일 축하품 지원
  4-4 장애인공무원 보조공학기기 지원
  4-5 행정종합배상공제 가입
  4-6 퇴직공무원 격려금 지급
  4-7 6급이하 퇴직공무원 기념품 지급
 5. 역량 강화
  5-1 업무유공 공무원 등 해외시찰
  5-2 직원 해외정책 연수 
  5-3 미혼남녀 공무원 만남과 소통의 행사 개최
  5-4 신규 공무원 공직 적응 지원 프로그램 운영
  5-5 동호회 활동 지원 
  5-6 전자책 서비스 
  5-7 직원 연금 및 보수 교육 
 세부적인 사항은 첨부파일을 참고하시면 됩니다. 감사합니다.</t>
  </si>
  <si>
    <t>1283_2503_인사과_공문_인사과_2025년_공무원_후생복지_추진계획배포-hwp.pdf</t>
  </si>
  <si>
    <r>
      <rPr>
        <rFont val="&quot;맑은 고딕&quot;"/>
        <color rgb="FF000000"/>
        <sz val="11.0"/>
      </rPr>
      <t xml:space="preserve">본문내용 참조 
 -----
 </t>
    </r>
    <r>
      <rPr>
        <rFont val="&quot;맑은 고딕&quot;"/>
        <color rgb="FF0000FF"/>
        <sz val="11.0"/>
      </rPr>
      <t xml:space="preserve">
 [본문 내용 확인해서 어떤 부분을 참조해야 할지 Page 기준 5개 정도로 정리가 필요함 - 입력을 많이 받을 수 없음]
 </t>
    </r>
    <r>
      <rPr>
        <rFont val="&quot;맑은 고딕&quot;"/>
        <color rgb="FF00FF00"/>
        <sz val="11.0"/>
      </rPr>
      <t xml:space="preserve">
 &gt;&gt; 1P 분야별 주요과제만 참조</t>
    </r>
  </si>
  <si>
    <t>직원 대상 후생복지 내용 확인 방법, 부산시 공무원 복지지원 프로그램 전체 내용</t>
  </si>
  <si>
    <r>
      <rPr>
        <rFont val="맑은 고딕"/>
        <b/>
        <color theme="1"/>
        <sz val="11.0"/>
      </rPr>
      <t>128_페이지13_문서8_162323_부산광역시_공무원_후생복지에_관한_조례.pdf</t>
    </r>
    <r>
      <rPr>
        <rFont val="맑은 고딕"/>
        <color theme="1"/>
        <sz val="11.0"/>
      </rPr>
      <t xml:space="preserve">
-----
</t>
    </r>
    <r>
      <rPr>
        <rFont val="맑은 고딕"/>
        <color rgb="FFFF0000"/>
        <sz val="11.0"/>
      </rPr>
      <t xml:space="preserve">자치법규 조례에 위 파일이 있으나 실제 내용에 후생복지 내용에 대한 세부 사항이 정리되어 있지는 않음 </t>
    </r>
  </si>
  <si>
    <r>
      <rPr>
        <rFont val="맑은 고딕"/>
        <b/>
        <color theme="1"/>
        <sz val="11.0"/>
      </rPr>
      <t xml:space="preserve">300_2502_인사과_업무매뉴얼_인사과_직원복지지원시스템_사용방법_안내장례비.pdf
-----
301_2502_인사과_업무매뉴얼_인사과_직원복지지원시스템_신청방법휴양시설_이용_지원.pdf
-----
</t>
    </r>
    <r>
      <rPr>
        <rFont val="맑은 고딕"/>
        <color rgb="FFFF0000"/>
        <sz val="11.0"/>
      </rPr>
      <t>신청 방법에 대한 간단한 설명은 있으나 내용을 확인할 수 없음</t>
    </r>
  </si>
  <si>
    <t>공무직 업무 담당자를 위한 사례집이 있나요?</t>
  </si>
  <si>
    <t>공무직 업무 담당자가 참고할 수 있는 업무 사례집이나 가이드 자료가 존재하는지, 존재할 경우 확인 및 열람 방법은 무엇인가요?</t>
  </si>
  <si>
    <t xml:space="preserve">공무직 업무 담당자를 위한 사례집은 현재까지 확인된 바로는 없습니다. 하지만, 공무직 업무 담당자를 위한 교육 프로그램이나 가이드라인이 제공되고 있습니다. 이러한 교육 프로그램이나 가이드라인은 공무직 업무 담당자들이 업무를 수행하는 데 필요한 지식과 기술을 습득하고, 업무 수행에 필요한 역량을 강화하는 데 도움을 줄 수 있습니다. 또한, 공무직 업무 담당자를 위한 커뮤니티나 포럼을 통해 경험을 공유하고, 서로 도움을 주고받을 수 있는 기회를 제공할 수 있습니다. </t>
  </si>
  <si>
    <t>제출된 자료 중에는 공무직 업무 담당자 사례집이 없으므로 이상없습니다.</t>
  </si>
  <si>
    <t>지방재정시스템 전체 매뉴얼이 있을까요?</t>
  </si>
  <si>
    <t>지방재정시스템(e호조, 이호조)과 관련하여, 전체 기능과 사용 절차를 안내하는 공식 매뉴얼이나 가이드 자료가 존재하는지, 존재할 경우 확인 및 열람 방법은 무엇인가요?</t>
  </si>
  <si>
    <t xml:space="preserve">지방재정시스템 전체 매뉴얼은 부산광역시에서 제공하고 있으며, 해당 매뉴얼을 확인할 수 있는 방법은 부산광역시 재정관리시스템 홈페이지에서 다운로드 받을 수 있습니다. </t>
  </si>
  <si>
    <t>제출된 자료 중에는 지방재정시스템 매뉴얼이 없습니다. 공무직 업무 담당자를 위한 사례집 답변처럼 되어야 할것으로 보입니다.</t>
  </si>
  <si>
    <t>세정정책담당관_e호조 예산결산 매뉴얼이 있긴 하나
 전체 매뉴얼은 아니므로 미답변 처리 바랍니다.</t>
  </si>
  <si>
    <t>금액별 수의, 조달, 계약 절차 매뉴얼을 찾고 싶어요</t>
  </si>
  <si>
    <t>금액 구간별(소액, 수의계약, 조달 계약 등) 계약 절차와 관련한 매뉴얼이나 안내 자료를 확인하려는 경우, 공식 자료의 존재 여부와 조회·열람 방법은 무엇인가요?</t>
  </si>
  <si>
    <t>수의계약, 조달, 일반계약 절차에 대한 매뉴얼은 다음과 같습니다.
수의계약 절차
계약 요청: 부서나 팀이 필요한 물품이나 서비스를 요청합니다.
견적 요청: 요청된 물품이나 서비스에 대해 여러 공급업체로부터 견적을 받습니다.
견적 검토: 제출된 견적을 검토하여 가장 적합한 공급업체를 선정합니다.
계약 체결: 선정된 공급업체와 계약을 체결합니다.
계약 이행: 계약 조건에 따라 공급업체가 물품이나 서비스를 제공합니다.
대금 지급: 공급업체가 제공한 물품이나 서비스에 대한 대금을 지급합니다.
계약 종료: 계약 기간이 종료되면 계약을 종료합니다.
조달 절차
조달 계획 수립: 필요한 물품이나 서비스의 종류와 수량을 파악하고 조달 계획을 수립합니다.
입찰 공고: 조달 계획에 따라 입찰 공고를 게시합니다.
입찰 접수: 입찰 공고에 따라 공급업체로부터 입찰서를 접수합니다.
입찰 평가: 접수된 입찰서를 평가하여 가장 적합한 공급업체를 선정합니다.
계약 체결: 선정된 공급업체와 계약을 체결합니다.
계약 이행: 계약 조건에 따라 공급업체가 물품이나 서비스를 제공합니다.
대금 지급: 공급업체가 제공한 물품이나 서비스에 대한 대금을 지급합니다.
계약 종료: 계약 기간이 종료되면 계약을 종료합니다.
일반계약 절차
계약 요청: 부서나 팀이 필요한 물품이나 서비스를 요청합니다.
견적 요청: 요청된 물품이나 서비스에 대해 여러 공급업체로부터 견적을 받습니다.
견적 검토: 제출된 견적을 검토하여 가장 적합한 공급업체를 선정합니다.
계약 조건 협의: 선정된 공급업체와 계약 조건을 협의합니다.
계약서 작성: 협의된 계약 조건에 따라 계약서를 작성합니다.
계약 체결: 계약서에 서명하여 계약을 체결합니다.
계약 이행: 계약 조건에 따라 공급업체가 물품이나 서비스를 제공합니다.
대금 지급: 공급업체가 제공한 물품이나 서비스에 대한 대금을 지급합니다.
계약 종료: 계약 기간이 종료되면 계약을 종료합니다.
각 절차는 조직의 내부 규정과 정책에 따라 다를 수 있으며, 구체적인 절차는 해당 조직의 계약 담당 부서에 문의하여 확인하는 것이 좋습니다.</t>
  </si>
  <si>
    <t>해당 답변 또한 앞의 질의랑 섞여서 답변이 나옵니다. 그래서 초기화 이후 다시 답변 요청했습니다.
해당 답변은 근거자료 없이 일반적으로 생성된 답변으로 보입니다.
제출된 자료 중에 478_2505_회계재산담당관_업무매뉴얼_회계재산담당관_계약업무 참고자료(회계재산담당관)외부용, 475_2501_회계재산담당관_업무매뉴얼_회계재산담당관_★2025년 계약업무 통합운영 매뉴얼(25.1.1.)_회계재산담당관_계약지원팀 등 다양한 계약 관련 근거 문서가 있는데 참고하지 않습니다.</t>
  </si>
  <si>
    <t>기대답변:
 회계재산담당관 업무매뉴얼 계약업무 참고자료에 절차 관련 매뉴얼이 있습니다.
 1. 수의 계약
  - 1인견적 가능
  &gt; 공사, 용역, 물품: 2천만원 이하 (여성, 장애인기업 등은 5천만원 이하)
  ▶ 견적 제출: 수기제출
  ▶ 2백만원 이상 1인견적 수의계약 요청 시, 수의계약요청사유서 첨부 (부산시 지침)
  - 2인 이상 견적 (공사)
  &gt; 종합공사: 2천만원 ~ 4억원 이하
  &gt; 전문공사: 2천만원 ~ 2억원 이하
  &gt; 기타공사: 2천만원 ~ 1.6억원 이하
  &gt; 견적 제출: 나라장터(g2b) [전자수의(견적입찰)]
  - 2인 이상 견적 (용역, 물품)
  &gt; 2천만원 ~ 1억원 이하
  &gt; 견적 제출: 나라장터(g2b) [전자수의(견적입찰)]
 2. 지역 제한
  - 공사
  &gt; 종합공사: 100억원 미만
  &gt; 전문공사: 10억원 미만
  &gt; 기타공사: 10억원 미만
  &gt; 지역제한 불가 시, 사전검토 절차 이행 (부산시 지침)
  감사관 사전컨설팅 감사신청, 지역제한 불가 명백한 사유 有 ⇒ 회계재산담당관 사전검토 후 전국입찰 시행 예외: 지역 내 1개 업체, 해당업체 부재, 타행정구역 내 청사위치 등 지역제한 입찰 미적용 사유
  - 용역
  &gt; 건설기술용역: 3.3억원 미만
  &gt; 건설기술용역 외: 3.5억원 미만
  &gt; 정밀안전진단: 1.5억원 미만
  &gt; 지역제한 불가 시, 위와 동일한 절차 적용
  - 물품
  &gt; 3.5억원 미만
  &gt; 지역제한 불가 시, 위와 동일한 절차 적용
 3. 전국 입찰
  - 공사, 용역, 물품
  &gt; 지역제한 금액 이상
  &gt; 지역의무공동도급 (공사) 원칙: 40%, 예외: 49%
  &gt; 물품, 용역: 지역의무공동도급 ×
  &gt; 지역업체와 자발적 공동수급체 구성 시 가점부여 (용역), 기술용역: 30% 이상 (3점), 일반용역: 40% 이상 (5점)
 4. 국제 입찰
  - 공사, 용역, 물품
  &gt; 공사: 265억원 이상
  &gt; 용역, 물품: 3.5억원 이상
  &gt; 국제입찰에 의하는 지방자치단체의 공사 및 물품, 용역의 범위에 관한 고시 (행안부 고시)</t>
  </si>
  <si>
    <t>14</t>
  </si>
  <si>
    <t>페이지 내용 전체 
 ------
 [문서 해당 페이지가 질문에 대한 매뉴얼에 해당되는 문서임]</t>
  </si>
  <si>
    <t>금액별 수의계약, 조달계약 절차 관련 매뉴얼</t>
  </si>
  <si>
    <r>
      <rPr>
        <rFont val="맑은 고딕"/>
        <b/>
        <color theme="1"/>
        <sz val="11.0"/>
      </rPr>
      <t>478_2505_회계재산담당관_업무매뉴얼_회계재산담당관_계약업무_참고자료회계재산담당관외부용.pdf[14]</t>
    </r>
    <r>
      <rPr>
        <rFont val="맑은 고딕"/>
        <color theme="1"/>
        <sz val="11.0"/>
      </rPr>
      <t xml:space="preserve">
-----
5. 추정가격에 따른 계약방법
[표로 수의계약, 지역제한, 전국입찰 관련 사항이 정리되어 있음]</t>
    </r>
  </si>
  <si>
    <r>
      <rPr>
        <rFont val="맑은 고딕"/>
        <b/>
        <color theme="1"/>
        <sz val="11.0"/>
      </rPr>
      <t>475_2501_회계재산담당관_업무매뉴얼_회계재산담당관_2025년_계약업무_통합운영_매뉴얼2511_회계재산담당관_계약지원팀.pdf</t>
    </r>
    <r>
      <rPr>
        <rFont val="맑은 고딕"/>
        <color theme="1"/>
        <sz val="11.0"/>
      </rPr>
      <t xml:space="preserve">
-----
금액 별 수의계약, 조달 등의 계약 절차에 대한 내용을 찾을 수 없음</t>
    </r>
  </si>
  <si>
    <t>DRM, 네트워크접근제어 아이디, 패스워드 찾는 매뉴얼이 있나요?</t>
  </si>
  <si>
    <t>DRM(자료반출관리시스템, 문서암호화시스템) 및 네트워크접근제어(NAC) 계정·비밀번호 관련 매뉴얼이나 안내 자료를 확인하려는 경우, 공식 매뉴얼의 존재 여부와 조회·열람 방법은 무엇인가요?</t>
  </si>
  <si>
    <t xml:space="preserve">DRM 및 네트워크 접근 제어 시스템의 아이디와 패스워드를 찾는 매뉴얼은 해당 시스템의 관리자 또는 담당 부서에 문의하여 확인하실 수 있습니다. 일반적으로 이러한 시스템은 보안상의 이유로 관리자만이 접근할 수 있으며, 일반 사용자에게는 접근 권한이 제한되어 있습니다. 따라서, 해당 시스템의 아이디와 패스워드를 찾기 위해서는 관리자 또는 보안 담당 부서에 문의하여 절차를 따르셔야 합니다. </t>
  </si>
  <si>
    <t>PC Client(네트워크 인증 시스템)은 관련 매뉴얼이 없습니다
DRM의 경우 비번초기화라는 매뉴얼이 있으므로
해당 매뉴얼(1~4P) 참고해서 답변하시면 됩니다.
기대답변
DRM 해결방법
① 부서관리자 사이트 접속 부서관리자 권한 부여된 사용자만 가능
http://99.1.81.71:9080/fed5 접속후 , 사용자 ID / 비밀번호 입력(자료유출방지시스템 ID/ 비번)
② 상단메뉴 공통설정 조직관리 클릭
③ 로그인 후 좌측 부서 내 사용자를 선택한 후 우측 상단 수정 클릭
④ 아래의 화면에서 초기화비밀번호 a12345 를 입력한 후 우측 상단 확인  클릭하여 수정 
   ★ 비번 초기화 후 사용자는 비밀번호 변경하여 로그인
PC Client 해결방법 : 관련 문서가 없으므로 자세한 사항은 담당 부서나 업무 담당자에게 문의하시기 바랍니다.</t>
  </si>
  <si>
    <t>331_2112_정보화정책과_업무매뉴얼_정보화정책과_부서관리자_매뉴얼자료유출방지시스템_DRM_v50_비번초기화.pdf
1284_2512_부산시_업무관련_FAQ문서.pdf</t>
  </si>
  <si>
    <t>1, 2, 3
5</t>
  </si>
  <si>
    <t>본문 내용 일체
 5. 네트워크 인증 시스템(NAC)
  - 네트워크가 차단되셨다면 행정전화(5999)로 연락바랍니다
  - 네트워크 인증 시스템 비밀번호 분실 시 행정전화(5999)로 연락바랍니다</t>
  </si>
  <si>
    <t>DRM 아이디 및 암호(비밀번호, 비번, 패스워드) 초기화 방법, DRM PC Client 아이디 및 비밀번호(비번, 암호, 패스워드) 분실 해결 방법, DRM 네트워크 접근제어 아이디 및 패스워드 찾기 매뉴얼, DRM 네트워크 인증 등 신규직원 컴퓨터 사용 가이드 및 매뉴얼(메뉴얼)
---
NAC 시스템 초기 로그인 계정 정보(아이디, 비밀번호) 설정 방법, PC 클라이언트 계정 정보(아이디, 비밀번호) 복구 재설정 절차 및 방법 안내, PC 클라이언트 아이디와 비밀번호 잊어버린 경우 복구 및 재설정 방법(절차) 안내, 네트워크 비밀번호 분실 해결 방법 안내</t>
  </si>
  <si>
    <t>온나라 2.0 이후 많이 발생하는 오류 사례집이 있나요?</t>
  </si>
  <si>
    <t>온나라(온나라 문서) 2.0 시스템을 사용하면서 자주 발생하는 오류 사례와 해결 방법을 정리한 공식 사례집이나 안내 자료가 존재하는지, 존재할 경우 조회·열람 방법은 무엇인가요?</t>
  </si>
  <si>
    <t>온나라 2.0 시스템에서 자주 발생하는 오류 사례는 환경설정, 전자문서, 지식 접속 오류, 소속 기관 관리자에게 문의, 윈도우 버전 문제, 바로가기 접속, 마우스 오른쪽 단축 실행 불가, 문서처리 오류 등이 있습니다.
관련내용은 다음과 같습니다.
환경설정 관련 오류: 온나라 2.0 시스템을 이용하기 위한 PC 환경의 권장 기준을 설정하지 않거나, 다운로드한 ODT 문서가 깨지거나 열리지 않는 문제가 발생할 수 있습니다.
전자문서 관련 오류: 온나라 1.0에서 작성된 문서의 재작성 불가, 본문 작성 시 표를 그린 후 수식 사용 불가, 본문이 결재 완료 후 길이가 늘어나는 현상, 한글에서 웹 기안기로 붙여넣기 시 오류 메시지 발생 등의 문제가 있습니다.
지식 접속 오류: 지식(메일, 참여할 설문, 회의장 포함) 접속 시 흰 화면이 뜨거나 자동 로그인이 되지 않는 경우, 엣지 IE 모드 설정, 개인 정보 삭제 및 재부팅 등의 조치가 필요합니다.
소속 기관 관리자에게 문의: 소속 기관 관리자에게 문의하라는 메시지가 나올 때는 PC의 운영체제(윈도우 10) 버전의 문제로, 윈도우 10 버전 업그레이드가 필요합니다.
윈도우 버전 문제: 윈도우 버전 문제로 온나라 2.0에 제대로 접속되지 않을 때는 바로가기를 통해 접속해야 합니다.
마우스 오른쪽 단축 실행 불가: 복사하기, 붙이기, 오려두기 등의 작업 시 마우스 오른쪽 단축 실행이 불가능하며, 키보드 단축키만 가능합니다.
이러한 오류 사례들은 사용자들이 온나라 2.0 시스템을 보다 원활하게 사용할 수 있도록 다양한 조치 방법을 제공하고 있습니다.</t>
  </si>
  <si>
    <t>ㆍ365_2412_정보화정책과_업무매뉴얼_정보화정책과_온나라20문서작성매뉴얼_NO2_본문내용_복사하기.pdf (p.6)
https://busanai.busan.go.kr/download/365_2412_정보화정책과_업무매뉴얼_정보화정책과_온나라20문서작성매뉴얼_NO2_본문내용_복사하기.pdf
ㆍ354_2412_정보화정책과_업무매뉴얼_KLID_온나라_20_전환기관_공통교안PDF.pdf (p.34)
https://busanai.busan.go.kr/download/354_2412_정보화정책과_업무매뉴얼_KLID_온나라_20_전환기관_공통교안PDF.pdf
ㆍ353_2412_정보화정책과_업무매뉴얼_KLID_온나라_20_달라지는_점PDF.pdf (p.25)
https://busanai.busan.go.kr/download/353_2412_정보화정책과_업무매뉴얼_KLID_온나라_20_달라지는_점PDF.pdf</t>
  </si>
  <si>
    <t>온나라 2.0 시스템에서 자주 발생하는 오류 사례는 환경설정, 전자문서, 지식 접속 오류, 소속 기관 관리자에게 문의, 윈도우 버전 문제, 바로가기 접속, 마우스 오른쪽 단축 실행 불가, 문서처리 오류 등이 있습니다.
 관련내용은 다음과 같습니다.
 환경설정 관련 오류: 온나라 2.0 시스템을 이용하기 위한 PC 환경의 권장 기준을 설정하지 않거나, 다운로드한 ODT 문서가 깨지거나 열리지 않는 문제가 발생할 수 있습니다.
 전자문서 관련 오류: 온나라 1.0에서 작성된 문서의 재작성 불가, 본문 작성 시 표를 그린 후 수식 사용 불가, 본문이 결재 완료 후 길이가 늘어나는 현상, 한글에서 웹 기안기로 붙여넣기 시 오류 메시지 발생 등의 문제가 있습니다.
 지식 접속 오류: 지식(메일, 참여할 설문, 회의장 포함) 접속 시 흰 화면이 뜨거나 자동 로그인이 되지 않는 경우, 엣지 IE 모드 설정, 개인 정보 삭제 및 재부팅 등의 조치가 필요합니다.
 소속 기관 관리자에게 문의: 소속 기관 관리자에게 문의하라는 메시지가 나올 때는 PC의 운영체제(윈도우 10) 버전의 문제로, 윈도우 10 버전 업그레이드가 필요합니다.
 윈도우 버전 문제: 윈도우 버전 문제로 온나라 2.0에 제대로 접속되지 않을 때는 바로가기를 통해 접속해야 합니다.
 마우스 오른쪽 단축 실행 불가: 복사하기, 붙이기, 오려두기 등의 작업 시 마우스 오른쪽 단축 실행이 불가능하며, 키보드 단축키만 가능합니다.
 이러한 오류 사례들은 사용자들이 온나라 2.0 시스템을 보다 원활하게 사용할 수 있도록 다양한 조치 방법을 제공하고 있습니다.</t>
  </si>
  <si>
    <t>353_2412_정보화정책과_업무매뉴얼_KLID_온나라_20_달라지는_점PDF.pdf</t>
  </si>
  <si>
    <t>25, 26</t>
  </si>
  <si>
    <t>온나라 2.0 전환 시 자주묻는 질문
 1. 환경설정
 (1) 질문: 온나라 2.0 시스템을 이용하기 위한 PC환경의 권장 기준을 알고 싶습니다. 답변: 운영체제는 윈도우10 64bit, 메모리 16G 이상, 한글은 2018/2020/2022, 브라우저는 엣지/크롬
 최신 업데이트 버전을 권장합니다.
 (2) 질문: 다운로드한 ODT문서가 깨지거나 열리지 않습니다. 답변: 온나라 원클릭툴(One Click Tool) 설치 후 연결프로그램을 한글2018/2020/2022으로 설정해야
 합니다. (한글2018/2020/2022 외 버전은 ODT문서가 깨질 수 있으니 주의 요망)
 (3) 질문: 문서관리카드 화면 크기를 변경할 수 있습니까?
 답변: [개인환결설정 &gt; 문서관리카드 &gt; 문서작성화면]에서 설정 가능합니다.
 (4) 질문: 완료된 문서(PDF)를 열었는데 다운로드가 됩니다. 브라우저는 엣지를 사용합니다. 답변: 엣지 브라우저의 설정(점 3개) 메뉴에서 [쿠키 및 사이트 권한] -&gt; [PDF 문서] 항목을 설정(우측으로 밀어)하여 확인해 보시기 바랍니다.
 (5) 질문: 새올/시도행정시스템에서 온나라 2.0 로그인 시 특정 PC에서 실패가 되는 경우가 있습니다. 답변: 새올이나 시도행정시스템의 엣지 사용환경을 먼저 확인해 주시기 바랍니다.
  윈도우를 최신으로 업데이트 진행해주시기 바랍니다. 윈도우10 기준 최신 업데이트(22H2버전)
 이전 버전인 경우 일부 구성요소가 없어 SSO 로그인 문제가 발생할 수 있습니다. 2. 전자문서
 (1) 질문: 온나라 1.0에서 작성된 문서는 어디에서 확인할 수 있습니까?
 답변: 이관된 문서는 [문서등록대장]에서 확인 가능합니다. 그 이전 문서는 기록관리시스템에서 확인할 수 있습니다.
 (2) 질문: 온나라 2.0에서 [재작성]버튼이 보이지 않습니다. 답변: 온나라 1.0에서 작성된 문서는 재작성이 불가합니다. (단 조회는 가능)
 온나라 2.0에서 작성 완료된 문서는 재작성이 가능합니다.
 (3) 질문: 본문작성 시 표를 그린 후 수식사용이 가능합니까?
 답변: 온나라 2.0 웹기안기는 수식 기능을 지원하지 않습니다. 표현의 기능이 단순화되어 그 외에도 폰트, 그리기 개체, 표 대각선 등 사용에 제약이 있습니다.
 (4) 질문: 본문이 결재완료 후 1장에서 2장으로 늘어났습니다. 답변: 문서 하단부에 결재선 내용이 추가되어 문서 길이가 증가할 경우 나타나는 현상입니다.
 (5) 질문: 한글에서 웹기안기로 붙여넣기를 실행한 문서를 처리 시 오류 메시지가 발생합니다. 답변: 문서에 누름틀이 중복되는 경우 발생할 수 있습니다. 웹기안기 문서작성 화면의 [보기] &gt; [조판부호]를 클릭하면 누름틀 중복 여부를 확인할 수 있으며, 수정 후 처리를 진행하시면 됩니다.
 (6) 질문: 문서 비공개 시 목록 공개, 목록 비공개, 부분 공개의 차이가 무엇입니까?
 답변: 목록 공개– 문서의 목록만 공개하고 본문 비공개
 목록 비공개– 문서의 목록과 본문 모두 비공개
 부분 공개– 문서의 목록과 본문은 공개, 첨부파일 공개여부 설정 가능(발송완료된 상태에서 관리정보 수정을 통해 설정 가능)
 (7) 질문: 웹기안기 도움말(단축키 정보 등)은 어디에서 확인 가능합니까?
 답변: [문서작성 &gt; 본문작성 &gt; 웹기안기 &gt; 파일메뉴 &gt; 웹한글기안기정보]에서 확인할 수 있습니다</t>
  </si>
  <si>
    <t>온나라 2.0 전환 이후 자주 발생하는 오류에 대한 사례집 및 질문과 답변, 온나라 2.0 FAQ</t>
  </si>
  <si>
    <r>
      <rPr>
        <rFont val="맑은 고딕"/>
        <b/>
        <color theme="1"/>
        <sz val="11.0"/>
      </rPr>
      <t xml:space="preserve">365_2412_정보화정책과_업무매뉴얼_정보화정책과_온나라20문서작성매뉴얼_NO2_본문내용_복사하기.pdf (p.6)
354_2412_정보화정책과_업무매뉴얼_KLID_온나라_20_전환기관_공통교안PDF.pdf (p.34)
</t>
    </r>
    <r>
      <rPr>
        <rFont val="맑은 고딕"/>
        <color theme="1"/>
        <sz val="11.0"/>
      </rPr>
      <t>-----
관련 있는 데이터가 없었음</t>
    </r>
  </si>
  <si>
    <t xml:space="preserve">전자적 인수인계 매뉴얼이 있나요? </t>
  </si>
  <si>
    <t>내부 업무에서 사용되는 전자적 인수인계 시스템 또는 절차에 대해, 공식 매뉴얼이나 표준 지침이 존재하는지와 이를 확인·열람하는 방법은 무엇인가요?</t>
  </si>
  <si>
    <t xml:space="preserve">부산시청에서는 전자적 인수인계를 위한 매뉴얼을 제공하고 있습니다. 이 매뉴얼은 전자적 인수인계의 절차, 방법, 주의사항 등을 포함하고 있으며, 이를 통해 업무의 연속성과 효율성을 보장하고 있습니다.
부산시청의 전자적 인수인계 매뉴얼은 부산시청 홈페이지에서 확인하실 수 있습니다. </t>
  </si>
  <si>
    <t>전자적 인수인계 매뉴얼은 없는데 있다고 내용이 나와서 오류입니다. 그리고 매뉴얼이 있다고 하는데 근거자료로 링크가 제공되지 않습니다.</t>
  </si>
  <si>
    <t>공용차량 신청방법</t>
  </si>
  <si>
    <t>공용차량(관용차, 관용차량)을 이용하려는 경우, 관련 내부 규정과 절차에 따라 신청, 승인, 배차까지 진행되는 방법은 무엇인가요?</t>
  </si>
  <si>
    <t>부산광역시 공용차량을 신청하는 방법은 다음과 같습니다.
1. 신청 자격: 부산광역시 소속 공무원, 부산광역시의회 의원, 부산광역시 산하 공공기관 임직원 등
2. 신청 방법: 부산광역시 홈페이지에서 신청서를 다운로드하여 작성 후 제출
3. 제출 서류: 신청서, 재직증명서, 운전면허증 사본 등
4. 심사 및 승인: 신청자의 자격, 필요성 등을 심사하여 승인 여부 결정
5. 차량 배정: 승인된 신청자에게 차량 배정
세부 절차나 제출 서류 등은 부산광역시 홈페이지나 관련 부서에 문의하여 확인하시는 것이 좋습니다.</t>
  </si>
  <si>
    <t>관련 근거 문서가 없기 때문에 기본적인 답변이 나온것으로 보입니다.</t>
  </si>
  <si>
    <t>공용차랑 신청방법 안내, 공용 차량 신청 및 배차 방법 안내, 차량 배차 협조 요청 절차 및 처리 방법 안내, 공용차량을 신청하는 방법을 안내</t>
  </si>
  <si>
    <t>SQG020</t>
  </si>
  <si>
    <t>공무원증 재발급 방법</t>
  </si>
  <si>
    <t>공무원증을 분실하거나 훼손했을 때, 관련 내부 규정과 절차에 따라 재발급을 신청하고 수령하는 방법은 무엇인가요?</t>
  </si>
  <si>
    <t>공무원증 재발급 방법은 신규 발급과 유사하며, 재발급 사유가 발생한 날부터 5일 이내에 신청서를 제출해야 합니다.
관련내용은 다음과 같습니다.
신청서 제출: 공무원증 재발급을 원하는 공무원은 "공무원증 (재)발급 신청서"를 작성하여 제출해야 합니다. 이 신청서에는 소속 및 직위, 직급, 성명, 생년월일, 혈액형, 신청 사유 등을 기재해야 하며, 최근 6개월 이내에 촬영한 사진 1매를 첨부해야 합니다.
신청서 제출 절차: 신청서를 작성한 후 소속부서의 장을 거쳐 의장에게 제출해야 합니다.
대장 등록 및 발급: 의장은 신청서를 검토한 후, 별지 제2호서식의 공무원증 발급 대장에 등록한 후 공무원증을 발급합니다. 이 대장은 전자적으로 관리할 수 있습니다.
이러한 절차를 통해 공무원증을 재발급 받을 수 있으며, 발급 후 1년 이내 사진 변경이나 본인 부주의로 인한 재발급 비용은 해당 공무원이 부담할 수 있습니다.</t>
  </si>
  <si>
    <t>ㆍ12158_1_부산광역시의회_공무원증_규정-hwp.pdf (p.2)
https://busanai.busan.go.kr/download/12158_1_부산광역시의회_공무원증_규정-hwp.pdf
ㆍ12159_2022-2_부산광역시의회_공무원증_규정_발령.pdf (p.2)
https://busanai.busan.go.kr/download/12159_2022-2_부산광역시의회_공무원증_규정_발령.pdf</t>
  </si>
  <si>
    <t>관련 근거 문서는 시의회 문서로 기본적인 질의 대상은 시 본청 대상으로 봐야합니다.
그리고 관련 근거 문서 전부다 404 not found 에러가 뜹니다.
근거문서 : 인사과 자주찾는 질문 7P
기대답변 
1. 실물 공무원증(플라스틱 카드) 신청 절차
 - 차세대 인사랑시스템(인사마당탭-공무원증신청 메뉴)에서 발급 신청을
합니다.
 - 신청구분은 ‘실물공무원증'을 체크합니다.
 - 부서장 결재 등 내부 승인 절차를 거칩니다.
 - 증명사진을 함께 제출하거나 인사정보에 등록된 사진으로 신청할 수
있습니다.
2. 모바일 공무원증 신청 절차
 - 차세대 인사랑시스템(인사마당탭-공무원증신청 메뉴)에서 발급 신청을
합니다.
 - 신청구분은 ‘모바일 공무원증'을 체크합니다.
 - 부서장 결재 등 내부 승인 절차를 거칩니다.
 - 신청이 완료되면 SMS로 발급 준비 완료 안내가 오고, 안내된 설치
 - URL을 통해 모바일 공무원증 앱을 설치합니다.
 - 앱에서 본인 확인 및 비밀번호 설정 후 사용이 가능합니다.
 - 모바일 공무원증으로 청사출입은 현재 불가능합니다.
3. 소요 기간
 - 실물 및 모바일 공무원증 모두 신청 후 수령까지 약 3~4주가 소요됩니다.
 - 실제로는 기관 사정에 따라 3주보다 더 오래 걸릴 수 있습니다.</t>
  </si>
  <si>
    <t>1. 실물 공무원증(플라스틱 카드) 신청 절차
  - 차세대 인사랑시스템(인사마당탭-공무원증신청 메뉴)에서 발급 신청을
 합니다.
  - 신청구분은 ‘실물공무원증'을 체크합니다.
  - 부서장 결재 등 내부 승인 절차를 거칩니다.
  - 증명사진을 함께 제출하거나 인사정보에 등록된 사진으로 신청할 수
 있습니다.
 2. 모바일 공무원증 신청 절차
  - 차세대 인사랑시스템(인사마당탭-공무원증신청 메뉴)에서 발급 신청을
 합니다.
  - 신청구분은 ‘모바일 공무원증'을 체크합니다.
  - 부서장 결재 등 내부 승인 절차를 거칩니다.
  - 신청이 완료되면 SMS로 발급 준비 완료 안내가 오고, 안내된 설치
  - URL을 통해 모바일 공무원증 앱을 설치합니다.
  - 앱에서 본인 확인 및 비밀번호 설정 후 사용이 가능합니다.
  - 모바일 공무원증으로 청사출입은 현재 불가능합니다.
 3. 소요 기간
  - 실물 및 모바일 공무원증 모두 신청 후 수령까지 약 3~4주가 소요됩니다.
  - 실제로는 기관 사정에 따라 3주보다 더 오래 걸릴 수 있습니다.</t>
  </si>
  <si>
    <t>1219_2510_인사과_매뉴얼_인사과_자주찾는_질문인사과_전체.pdf</t>
  </si>
  <si>
    <t>질 문
 ◦ 공무원증 신청방법? 발급되는데 얼마나 걸리나요?
 ◦ 모바일 공무원증 신청방법? 모바일 공무원증으로 청사출입가능한가요?
 답 변
 � 실물 공무원증(플라스틱 카드) 신청 절차
 차세대 인사랑시스템(인사마당탭-공무원증신청 메뉴)에서 발급 신청을
 합니다.
 신청구분은 ‘실물공무원증'을 체크합니다.
 부서장 결재 등 내부 승인 절차를 거칩니다.
 증명사진을 함께 제출하거나 인사정보에 등록된 사진으로 신청할 수
 있습니다.
 � 모바일 공무원증 신청 절차
 차세대 인사랑시스템(인사마당탭-공무원증신청 메뉴)에서 발급 신청을
 합니다.
 신청구분은 ‘모바일 공무원증'을 체크합니다.
 부서장 결재 등 내부 승인 절차를 거칩니다.
 신청이 완료되면 SMS로 발급 준비 완료 안내가 오고, 안내된 설치
 URL을 통해 모바일 공무원증 앱을 설치합니다.
 앱에서 본인 확인 및 비밀번호 설정 후 사용이 가능합니다.
 모바일 공무원증으로 청사출입은 현재 불가능합니다.
 � 소요 기간
 실물 및 모바일 공무원증 모두 신청 후 수령까지 약 3~4주가 소요됩니다.
 실제로는 기관 사정에 따라 3주보다 더 오래 걸릴 수 있습니다</t>
  </si>
  <si>
    <t>공무원증 신청 및 승인처리 방법, 공무원증 재발급 받는 방법, 청사 공무원증 발급 방법, 청사 출입 방법, 모바일 공무원증 발급 방법, 공무원증 활용 방안</t>
  </si>
  <si>
    <t>SQG016</t>
  </si>
  <si>
    <t>네트워크 차단 시 조치방법</t>
  </si>
  <si>
    <t>내부 업무망 사용 중 네트워크 차단이 발생했을 때, 관련 보안·전산 운영 규정에 따라 수행해야 하는 확인 절차와 조치 방법은 무엇인가요?</t>
  </si>
  <si>
    <t>부산시청 네트워크 차단 발생 시, 다음과 같은 조치를 취할 수 있습니다.
네트워크 연결 확인: 컴퓨터나 모바일 기기에서 네트워크 연결 상태를 확인합니다. Wi-Fi 또는 이더넷 케이블이 제대로 연결되어 있는지 확인합니다.
네트워크 설정 확인: 네트워크 설정을 확인하여 IP 주소, 서브넷 마스크, 게이트웨이 등이 올바르게 설정되어 있는지 확인합니다.
방화벽 설정 확인: 방화벽 설정을 확인하여 차단된 IP 주소나 도메인이 있는지 확인하고, 필요한 경우 방화벽 규칙을 수정합니다.
VPN 사용: VPN을 사용하여 네트워크에 접속할 수 있는지 확인합니다. VPN을 사용하면 특정 지역이나 네트워크에 접근할 수 있습니다.
네트워크 관리자에게 문의: 네트워크 관리자에게 문의하여 차단 원인을 파악하고 해결 방법을 요청합니다.
네트워크 재설정: 네트워크 설정을 재설정하거나 재부팅하여 문제를 해결할 수 있는지 확인합니다.
보안 소프트웨어 업데이트: 보안 소프트웨어를 최신 버전으로 업데이트하여 네트워크 보안을 강화합니다.
이러한 조치를 통해 네트워크 차단 문제를 해결할 수 있습니다. 만약 문제가 지속된다면, 네트워크 관리자나 IT 전문가에게 도움을 요청하는 것이 좋습니다.</t>
  </si>
  <si>
    <t>관련 근거 문서가 없기 때문에 기본적인 답변이 나온것으로 보입니다.
해당 답변은 부기 주무관 채팅방 삭제 후 다시 질문했을때 나온 내용으로
이전 질문인 공무원증 재발급 방법 이후 해당 질문으로 질의 했을때는
시의회 공무원증 관련 문서가 근거문서로 나오고 두가지 질의가 합쳐진 내용으로 답변이 나왔습니다.</t>
  </si>
  <si>
    <t>제출 문서가 없지만 기본적인 내용이라 답변이 필요할 것으로 보입니다.
 기대답변 :
 네트워크가 차단되셨다면 행정전화(5999)로 연락바랍니다.</t>
  </si>
  <si>
    <t>5. 네트워크 인증 시스템(NAC, PClient) 오류나 문제가 발생하였을 때 대처방법을 알려주세요.
  - 네트워크가 차단되셨다면 행정전화(5999)로 연락바랍니다
  - 네트워크 인증 시스템 비밀번호 분실 시 행정전화(5999)로 연락바랍니다</t>
  </si>
  <si>
    <t>NAC 시스템 초기 로그인 계정 정보(아이디, 비밀번호) 설정 방법, PC 클라이언트 계정 정보(아이디, 비밀번호) 복구 재설정 절차 및 방법 안내, PC 클라이언트 아이디와 비밀번호 잊어버린 경우 복구 및 재설정 방법(절차) 안내, 네트워크 비밀번호 분실 해결 방법 안내</t>
  </si>
  <si>
    <t>도모헌공간 신청방법</t>
  </si>
  <si>
    <t>‘도모헌’ 공간을 사용하려는 경우, 관련 내부 규정과 절차에 따라 신청, 승인, 사용까지 진행되는 방법은 무엇인가요?</t>
  </si>
  <si>
    <t>도모헌 공간 신청 방법은 계단식 강연장(다할), 콘퍼런스룸(취람) 신청, 공유오피스, 다목적공간(번루), 미팅룸(두록), 소소풍 정원 신청이 있습니다.
관련내용은 다음과 같습니다.
계단식 강연장(다할) 신청
"행정포털"에 접속합니다.
“회의장” 메뉴를 클릭합니다.
"회의실 예약"을 선택합니다.
"도모헌 본관"을 선택하고, 사용하고자 하는 날짜와 시간에 일정이 없는지 확인합니다.
행사 내용을 입력하고, 사용신청서를 첨부하여 공문으로 총무과에 발송합니다.
사용신청이 승인되면, 행사 및 회의 추진부서 담당자 관리하에 공간을 활용합니다.
콘퍼런스룸(취람) 신청
"행정포털"에서 “회의장” 메뉴를 클릭합니다.
"회의실 예약"을 선택하고, "도모헌 회의실(콘퍼런스룸)"을 선택하여 순차등록으로 예약합니다.
공유오피스, 다목적공간(번루), 미팅룸(두록), 소소풍 정원 신청
총무과와 별도 협의가 필요합니다.</t>
  </si>
  <si>
    <t>ㆍ407_2505_총무과_주요질문사항_도모헌_이용범위_및_신청_절차.pdf (p.1)</t>
  </si>
  <si>
    <t>도모헌 공간 신청 방법은 계단식 강연장(다할), 콘퍼런스룸(취람) 신청, 공유오피스, 다목적공간(번루), 미팅룸(두록), 소소풍 정원 신청이 있습니다.
 관련내용은 다음과 같습니다.
 계단식 강연장(다할) 신청
 "행정포털"에 접속합니다.
 “회의장” 메뉴를 클릭합니다.
 "회의실 예약"을 선택합니다.
 "도모헌 본관"을 선택하고, 사용하고자 하는 날짜와 시간에 일정이 없는지 확인합니다.
 행사 내용을 입력하고, 사용신청서를 첨부하여 공문으로 총무과에 발송합니다.
 사용신청이 승인되면, 행사 및 회의 추진부서 담당자 관리하에 공간을 활용합니다.
 콘퍼런스룸(취람) 신청
 "행정포털"에서 “회의장” 메뉴를 클릭합니다.
 "회의실 예약"을 선택하고, "도모헌 회의실(콘퍼런스룸)"을 선택하여 순차등록으로 예약합니다.
 공유오피스, 다목적공간(번루), 미팅룸(두록), 소소풍 정원 신청
 총무과와 별도 협의가 필요합니다.</t>
  </si>
  <si>
    <t>407_2505_총무과_주요질문사항_도모헌_이용범위_및_신청_절차.pdf</t>
  </si>
  <si>
    <t>총무과 도모헌 공간 사용신청 범위 및 절차 등
 ㅇ대상: 전직원
 1. 도모헌에서 사용할 수 있는 공간은?
 ㅇ 기본적으로 계단식 강연장(다할), 콘퍼런스룸(취람)을 사용할 수 있고 공유오피스, 다목적공간(번루), 미팅룸(두록), 소소풍 정원 사용은 총무과와 별도 협의가 필요합니다.
 2. 도모헌 공간 사용신청 대상자(기관)
 ㅇ 도모헌은 사용료가 없으며 공공목적으로만 사용할 수 있기 때문에 공유재산법 시행령 제13조에 의거, 부산시와 부산시 산하 출자기관·출연기관·공단으로부터 사용신청을 받고 있습니다.
 3. 도모헌 공간 사용신청 절차
 1) 계단식 강연장(다할): 총무과에 사용신청 필요
 &lt;신청 절차&gt;
 ① ‘행정포털 – 회의장(우측 분홍색 배너) - 회의실 예약 - 도모헌 본관(별도 신청)’에서 사용하고자 하는 날짜와 시간에 일정이 없는지 확인 후 행사 내용 입력
 ② 행사 및 회의 추진부서에서 총무과로 사용신청서를 첨부하여 공문 발송
 ③ 사용심사 후 승인
 ④ 행사 및 회의 추진부서 담당자 관리하에 공간 활용
 2) 콘퍼런스룸(취람): ‘행정포털 – 회의장 - 회의실 예약 – 도모헌 회의실(콘퍼런스룸)’에서 순차등록으로 예약
 3) 공유오피스, 다목적공간(번루), 콘퍼런스룸(취람), 미팅룸(두록), 소소풍 정원: 총무과와 별도 협의 필요</t>
  </si>
  <si>
    <t>도모헌 공간 신청 방법 및 절차에 대한 설명</t>
  </si>
  <si>
    <t xml:space="preserve">부산시 공무원 복지지원 프로그램 총괄 </t>
  </si>
  <si>
    <t>복지지원 프로그램 전체 현황과 종류, 지원 대상, 신청 절차 및 이용 방법을 총괄적으로 확인할 수 있는 방법은 무엇인가요?</t>
  </si>
  <si>
    <t>부산시 공무원을 위한 복지지원 프로그램은 건강관리, 여가 및 휴양 지원, 문화 활동 지원, 해외 체험 연수 지원, 격려금 지급, 가족친화 프로그램 운영, 건강관리 프로그램 운영, 생일 격려, 장례 지원, 단체보장보험 지원으로 구성되어 있습니다.
관련내용은 다음과 같습니다.
건강관리: 공무원의 건강증진 및 체력향상을 위한 각종 건강관리 프로그램 운영
여가 및 휴양 지원: 소속 공무원과 그 가족의 여가선용 및 휴양을 위한 휴양시설 등의 이용 지원
문화 활동 지원: 소속 공무원과 그 가족을 대상으로 하는 문화 활동 지원
해외 체험 연수 지원: 해외 정책연수 지원
격려금 지급: 정년·명예퇴직 소속 공무원 격려금 지급, 근무 중 사망한 소속 공무원 유가족 격려금 지급, 생활이 어려운 소속 공무원 격려금 지급
가족친화 프로그램 운영: 소속 공무원의 가족을 대상으로 하는 가족친화 프로그램 운영
단체보장보험 지원: 소속 공무원의 불의의 사고에 대비한 생활보장을 위한 단체보장보험 지원
이러한 프로그램들은 공무원의 근무 능률을 높이고, 복지를 증진하기 위해 마련된 것으로, 부산시 공무원과 그 가족의 다양한 필요를 충족시키기 위한 지원을 제공합니다.</t>
  </si>
  <si>
    <t>ㆍ297_2502_인사과_기타_인사과_장례비_지원_관련_법령_및_조례.pdf (p.1)
https://busanai.busan.go.kr/download/297_2502_인사과_기타_인사과_장례비_지원_관련_법령_및_조례.pdf
ㆍ75859_부산광역시_공무원_후생복지에_관한_조례_일부개정_입법예고문-hwp.pdf (p.3)
https://busanai.busan.go.kr/download/75859_부산광역시_공무원_후생복지에_관한_조례_일부개정_입법예고문-hwp.pdf</t>
  </si>
  <si>
    <t>입법예고문이 근거자료로 활용되기에는 좀 어렵습니다.
그 외 복지프로그램 사용 방법에 대한 문서도 2개 있는데
해당 질의의 의도 분류가 좀 어려울 수도 있어서 답변 자체는 나쁘지 않은것 같습닏.</t>
  </si>
  <si>
    <r>
      <rPr>
        <rFont val="&quot;맑은 고딕&quot;"/>
        <color rgb="FF000000"/>
        <sz val="11.0"/>
      </rPr>
      <t xml:space="preserve">본문내용 참조 
 -----
 </t>
    </r>
    <r>
      <rPr>
        <rFont val="&quot;맑은 고딕&quot;"/>
        <color rgb="FF0000FF"/>
        <sz val="11.0"/>
      </rPr>
      <t xml:space="preserve">
 [본문 내용 확인해서 어떤 부분을 참조해야 할지 Page 기준 5개 정도로 정리가 필요함 - 입력을 많이 받을 수 없음]
 </t>
    </r>
    <r>
      <rPr>
        <rFont val="&quot;맑은 고딕&quot;"/>
        <color rgb="FF00FF00"/>
        <sz val="11.0"/>
      </rPr>
      <t xml:space="preserve">
 &gt;&gt; 1P 분야별 주요과제만 참조</t>
    </r>
  </si>
  <si>
    <r>
      <rPr>
        <rFont val="맑은 고딕"/>
        <b/>
        <color theme="1"/>
        <sz val="11.0"/>
      </rPr>
      <t>290_2501_인사과_기타_인사과_2025년도_부산광역시_맞춤형복지제도_운영계획.pdf[3]</t>
    </r>
    <r>
      <rPr>
        <rFont val="맑은 고딕"/>
        <color theme="1"/>
        <sz val="11.0"/>
      </rPr>
      <t xml:space="preserve">
-----
2025년도 부산광역시 맞춤형복지제도 운영계획 직원 근무 만족도 향상 및 활기찬 직장 분위기 조성을 위해 2025년도 맞춤형복지제도 운영을 다음과 같이 시행코자 함. I 운영근거 ᄋ 「지방공무원법」제77조(능률 증진을 위한 사항) ᄋ 「부산광역시 공무원 후생복지에 관한 조례」 II 운영개요 ᄋ (운영방향) 직원 복지 수요 충족 및 삶의 질 향상 ᄋ (기 간) ‘2025. 1. 1. ~ 12. 31. ※ 포인트 사용기한 ’25. 11. 30.한 ᄋ (대 상) 5,587명* (시 소속 공무원, 시의원, 청원경찰, 공무직 등) * 2024. 10. 31.기준 인원으로 ‘25. 1. 1.자 기준 실제 배정인원은 변동 ᄋ (예 산 액) 9,662,310천원 (공무원, 공무직 등) - 공무원 </t>
    </r>
    <r>
      <rPr>
        <rFont val="Segoe UI Symbol"/>
        <color theme="1"/>
        <sz val="11.0"/>
      </rPr>
      <t>▹</t>
    </r>
    <r>
      <rPr>
        <rFont val="맑은 고딕"/>
        <color theme="1"/>
        <sz val="11.0"/>
      </rPr>
      <t xml:space="preserve"> (복지포인트) 6,762,000천원, (단체보험) 906,500천원 - 공무직 등 </t>
    </r>
    <r>
      <rPr>
        <rFont val="Segoe UI Symbol"/>
        <color theme="1"/>
        <sz val="11.0"/>
      </rPr>
      <t>▹</t>
    </r>
    <r>
      <rPr>
        <rFont val="맑은 고딕"/>
        <color theme="1"/>
        <sz val="11.0"/>
      </rPr>
      <t xml:space="preserve"> (복지포인트) 1,758,120천원, (단체보험) 235,690천원</t>
    </r>
    <r>
      <rPr>
        <rFont val="맑은 고딕"/>
        <color rgb="FFFF0000"/>
        <sz val="11.0"/>
      </rPr>
      <t xml:space="preserve"> ᄋ (2025년 달라지는 내용) &lt;table border="1" class="table table-striped table-hover"&gt;&lt;thead&gt;&lt;tr&gt;&lt;th&gt;구 분&lt;/th&gt;&lt;th&gt;2024년&lt;/th&gt;&lt;th&gt;2025년&lt;/th&gt;&lt;/tr&gt;&lt;/thead&gt;&lt;tbody&gt;&lt;tr&gt;&lt;td&gt;복지포인트&lt;/td&gt;&lt;td&gt;·기본 포인트 1,012P&lt;/td&gt;&lt;td&gt;·[확대] 기본 포인트 인상(1,012P→1,050P)&lt;/td&gt;&lt;/tr&gt;&lt;tr&gt;&lt;td&gt;복지포인트&lt;/td&gt;&lt;td&gt;·지역화폐 배정 100P(신청자에 한해)&lt;/td&gt;&lt;td&gt;</t>
    </r>
    <r>
      <rPr>
        <rFont val="Segoe UI Symbol"/>
        <color rgb="FFFF0000"/>
        <sz val="11.0"/>
      </rPr>
      <t>▹</t>
    </r>
    <r>
      <rPr>
        <rFont val="맑은 고딕"/>
        <color rgb="FFFF0000"/>
        <sz val="11.0"/>
      </rPr>
      <t>·[확대] 지역화폐 의무 배정 한시적(5급 이상 500P, 6급 이하 200P)&lt;/td&gt;&lt;/tr&gt;&lt;tr&gt;&lt;td&gt;복지포인트&lt;/td&gt;&lt;td&gt;&lt;/td&gt;&lt;td&gt;·[신설] 육아시간 등 업무대행자 복지포인트 지급(1시간당 1P)&lt;/td&gt;&lt;/tr&gt;&lt;tr&gt;&lt;td&gt;단체보험&lt;/td&gt;&lt;td&gt;&lt;/td&gt;&lt;td&gt;·[신설] 치아 치료비 지원(개당 30만원)※ 임플란트·브릿지·틀니 통합 3개 한도&lt;/td&gt;&lt;/tr&gt;&lt;tr&gt;&lt;td&gt;단체보험&lt;/td&gt;&lt;td&gt;&lt;/td&gt;&lt;td&gt;·[신설] 폭행 피해 위로금(100만원 지급)※ 악성 민원, 구조구급 활동 등 공무 중 피해 포함&lt;/td&gt;&lt;/tr&gt;&lt;tr&gt;&lt;td&gt;단체보험&lt;/td&gt;&lt;td&gt;&lt;/td&gt;&lt;td&gt;·[신설] 피싱금융사기 보상(500만원 한도)※ 금전 손해 발생 시(자녀 포함)&lt;/td&gt;&lt;/tr&gt;&lt;/tbody&gt;&lt;/table&gt;</t>
    </r>
  </si>
  <si>
    <r>
      <rPr>
        <rFont val="맑은 고딕"/>
        <b/>
        <color theme="1"/>
        <sz val="11.0"/>
      </rPr>
      <t>290_2501_인사과_기타_인사과_2025년도_부산광역시_맞춤형복지제도_운영계획.pdf[1</t>
    </r>
    <r>
      <rPr>
        <rFont val="맑은 고딕"/>
        <color theme="1"/>
        <sz val="11.0"/>
      </rPr>
      <t xml:space="preserve">]
-----
&lt;table border="1" class="table table-striped table-hover"&gt;&lt;thead&gt;&lt;tr&gt;&lt;th&gt;주무관&lt;/th&gt;&lt;th&gt;공무원복지팀장&lt;/th&gt;&lt;th&gt;인사과장&lt;/th&gt;&lt;th&gt;행정자치국장&lt;/th&gt;&lt;th&gt;행정부시장&lt;/th&gt;&lt;/tr&gt;&lt;/thead&gt;&lt;tbody&gt;&lt;tr&gt;&lt;td&gt;김효경&lt;/td&gt;&lt;td&gt;김갑수&lt;/td&gt;&lt;td&gt;구정모&lt;/td&gt;&lt;td&gt;조영태&lt;/td&gt;&lt;td&gt;전결 2025. 1. 8.이준승&lt;/td&gt;&lt;/tr&gt;&lt;tr&gt;&lt;td&gt;협조자&lt;/td&gt;&lt;td&gt;송찬희안전보건팀장최정옥중소상공인지원과장&lt;/td&gt;&lt;td&gt;&lt;/td&gt;&lt;td&gt;&lt;/td&gt;&lt;td&gt;&lt;/td&gt;&lt;/tr&gt;&lt;/tbody&gt;&lt;/table&gt; &lt;table border="1" class="table table-striped table-hover"&gt;&lt;thead&gt;&lt;tr&gt;&lt;th&gt;등록번호&lt;/th&gt;&lt;th&gt;인사과-988&lt;/th&gt;&lt;/tr&gt;&lt;/thead&gt;&lt;tbody&gt;&lt;tr&gt;&lt;td&gt;등록일자&lt;/td&gt;&lt;td&gt;2025. 1. 8.&lt;/td&gt;&lt;/tr&gt;&lt;tr&gt;&lt;td&gt;결재일자&lt;/td&gt;&lt;td&gt;2025. 1. 8.&lt;/td&gt;&lt;/tr&gt;&lt;tr&gt;&lt;td&gt;공개구분&lt;/td&gt;&lt;td&gt;대국민 공개&lt;/td&gt;&lt;/tr&gt;&lt;/tbody&gt;&lt;/table&gt; 2025년도 부산광역시 맞춤형복지제도 운영계획 요 약 □ 운영근거 ᄋ「지방공무원법」 제77조(능률 증진을 위한 사항) ᄋ「부산광역시 공무원 후생복지에 관한 조례」 □ 운영개요 ᄋ (운영기간) 2025. 1. 1. ~ 12. 31. ※ 포인트 사용기간 : ‘25. 11. 30.한 ᄋ (대 상) 5,587명* (시 소속 공무원, 시의원, 청원경찰, 공무직) * 24. 10. 31. 기준 인원으로 25. 1. 1.자 실제 배정 인원 변동 ᄋ (주요내용) 맞춤형 복지포인트 지급 및 단체보장보험 운영 ᄋ (예 산 액) 9,662,310천원 (공무원 및 공무직 등) </t>
    </r>
    <r>
      <rPr>
        <rFont val="맑은 고딕"/>
        <color rgb="FFFF0000"/>
        <sz val="11.0"/>
      </rPr>
      <t xml:space="preserve">&lt;2025년도 달라지는 내용&gt; </t>
    </r>
    <r>
      <rPr>
        <rFont val="Segoe UI Symbol"/>
        <color rgb="FFFF0000"/>
        <sz val="11.0"/>
      </rPr>
      <t>❖</t>
    </r>
    <r>
      <rPr>
        <rFont val="맑은 고딕"/>
        <color rgb="FFFF0000"/>
        <sz val="11.0"/>
      </rPr>
      <t xml:space="preserve"> 복지포인트 ·기본 포인트 인상(1,012P → 1,050P) ·육아시간 등 사용 업무대행자에 대한 포인트 제공(시간당 1P) ·중소상공인 지원 및 지역경제 활성화를 위한 지역화폐(동백전) 의무 배정 (5급 이상 500P, 6급 이하 200P)</t>
    </r>
    <r>
      <rPr>
        <rFont val="Segoe UI Symbol"/>
        <color rgb="FFFF0000"/>
        <sz val="11.0"/>
      </rPr>
      <t>▹</t>
    </r>
    <r>
      <rPr>
        <rFont val="맑은 고딕"/>
        <color rgb="FFFF0000"/>
        <sz val="11.0"/>
      </rPr>
      <t xml:space="preserve">한시적 </t>
    </r>
    <r>
      <rPr>
        <rFont val="Segoe UI Symbol"/>
        <color rgb="FFFF0000"/>
        <sz val="11.0"/>
      </rPr>
      <t>❖</t>
    </r>
    <r>
      <rPr>
        <rFont val="맑은 고딕"/>
        <color rgb="FFFF0000"/>
        <sz val="11.0"/>
      </rPr>
      <t xml:space="preserve"> 단체보장보험 ·치아 치료비(임플란트·브릿지·틀니 통합 3개 한도, 개당 30만원) 지급 ·폭행피해 위로금 100만원 지급(악성민원, 구조구급 활동 등 공무 중 피해 포함) ·피싱금융사기(자녀 포함) 500만원 한도 보상</t>
    </r>
  </si>
  <si>
    <r>
      <rPr>
        <rFont val="맑은 고딕"/>
        <b/>
        <color theme="1"/>
        <sz val="11.0"/>
      </rPr>
      <t>284_2501_인사과_기타_인사과_2025년_직원_장기재직휴가_지원_계획.pdf[2]</t>
    </r>
    <r>
      <rPr>
        <rFont val="맑은 고딕"/>
        <color theme="1"/>
        <sz val="11.0"/>
      </rPr>
      <t xml:space="preserve">
-----
2025년 직원 장기재직휴가 지원 계획 &lt;table border="1" class="table table-striped table-hover"&gt;&lt;thead&gt;&lt;tr&gt;&lt;th&gt;I&lt;/th&gt;&lt;th&gt;지원목적&lt;/th&gt;&lt;/tr&gt;&lt;/thead&gt;&lt;tbody&gt;&lt;/tbody&gt;&lt;/table&gt; ᄋ 장기 재직한 직원에 대한 휴양시설 이용료 지원으로 직원 노고 격려 및 장기재직휴가 사용 활성화 유도 ᄋ 연중 지원으로 주말·성수기에 집중되는 장기재직휴가 사용 수요 분산 &lt;table border="1" class="table table-striped table-hover"&gt;&lt;thead&gt;&lt;tr&gt;&lt;th&gt;II&lt;/th&gt;&lt;th&gt;지원내용&lt;/th&gt;&lt;/tr&gt;&lt;/thead&gt;&lt;tbody&gt;&lt;/tbody&gt;&lt;/table&gt; ᄋ (근 거) 「부산광역시 공무원 후생복지에 관한 조례」제6조제1호 제6조(후생복지사업의 시행) 시장은 예산의 범위에서 다음 각 호의 사업을 시행할 수 있다. 1. 우수·효행·모범·장기근속 소속 공무원과 그 가족을 대상으로 한 국내외 시찰 지원 ᄋ (기 간) 2025. 1 ~ 12월 ᄋ (대 상) 장기재직 휴가기간 동안 휴양시설을 이용한 직원 - 국·내외 숙박업소로 등록된 모든 시설 지원(호텔, 리조트, 펜션 등) - 본청, 직속기관, 사업소, 시의회 소속 공무원 및 청원경찰 대상 * 소방재난본부 제외 ᄋ (내 용) 휴양시설 숙박료 지원 </t>
    </r>
    <r>
      <rPr>
        <rFont val="Segoe UI Symbol"/>
        <color theme="1"/>
        <sz val="11.0"/>
      </rPr>
      <t>▹</t>
    </r>
    <r>
      <rPr>
        <rFont val="맑은 고딕"/>
        <color theme="1"/>
        <sz val="11.0"/>
      </rPr>
      <t xml:space="preserve"> 기타 시설·장비 이용료 등은 지원 불가 ᄋ (금 액) 최대 200천원 - 이용금액이 200천원 미만일 경우 실제 이용금액만 지원 - 장기재직 휴가기간 내 숙박료 합산 신청 가능 * 휴가 전·후·중간의 토·일요일 및 공휴일 포함 [참고] 재직기간별 장기재직휴가 사용일수 &lt;table border="1" class="table table-striped table-hover"&gt;&lt;thead&gt;&lt;tr&gt;&lt;th&gt;재직기간&lt;/th&gt;&lt;th&gt;5 ~ 9년&lt;/th&gt;&lt;th&gt;10 ~ 19년&lt;/th&gt;&lt;th&gt;20 ~ 29년&lt;/th&gt;&lt;th&gt;30년 이상&lt;/th&gt;&lt;th&gt;비 고&lt;/th&gt;&lt;/tr&gt;&lt;/thead&gt;&lt;tbody&gt;&lt;tr&gt;&lt;td&gt;사용일수&lt;/td&gt;&lt;td&gt;5일&lt;/td&gt;&lt;td&gt;15일&lt;/td&gt;&lt;td&gt;25일&lt;/td&gt;&lt;td&gt;25일&lt;/td&gt;&lt;td&gt;총 70일&lt;/td&gt;&lt;/tr&gt;&lt;/tbody&gt;&lt;/table&gt; * 「부산광역시 공무원 장기재직휴가 시행지침」 참고(2024. 12. 25. 시행)</t>
    </r>
  </si>
  <si>
    <r>
      <rPr>
        <rFont val="맑은 고딕"/>
        <b/>
        <color theme="1"/>
        <sz val="11.0"/>
      </rPr>
      <t>278_2501_인사과_기타_인사과_2025년_공무원_장례비_지원_추진계획.pdf[1]</t>
    </r>
    <r>
      <rPr>
        <rFont val="맑은 고딕"/>
        <color theme="1"/>
        <sz val="11.0"/>
      </rPr>
      <t xml:space="preserve">
-----
&lt;table border="1" class="table table-striped table-hover"&gt;&lt;thead&gt;&lt;tr&gt;&lt;th&gt;주무관&lt;/th&gt;&lt;th&gt;주무관&lt;/th&gt;&lt;th&gt;공무원복지팀장&lt;/th&gt;&lt;th&gt;인사과장&lt;/th&gt;&lt;th&gt;행정자치국장&lt;/th&gt;&lt;/tr&gt;&lt;/thead&gt;&lt;tbody&gt;&lt;tr&gt;&lt;td&gt;신혜정&lt;/td&gt;&lt;td&gt;&lt;/td&gt;&lt;td&gt;김갑수&lt;/td&gt;&lt;td&gt;구정모&lt;/td&gt;&lt;td&gt;전결 2025. 1. 3.조영태&lt;/td&gt;&lt;/tr&gt;&lt;tr&gt;&lt;td&gt;협조자&lt;/td&gt;&lt;td&gt;강준모재활용팀장&lt;/td&gt;&lt;td&gt;&lt;/td&gt;&lt;td&gt;&lt;/td&gt;&lt;td&gt;&lt;/td&gt;&lt;/tr&gt;&lt;/tbody&gt;&lt;/table&gt; &lt;table border="1" class="table table-striped table-hover"&gt;&lt;thead&gt;&lt;tr&gt;&lt;th&gt;등록번호&lt;/th&gt;&lt;th&gt;인사과-332&lt;/th&gt;&lt;/tr&gt;&lt;/thead&gt;&lt;tbody&gt;&lt;tr&gt;&lt;td&gt;등록일자&lt;/td&gt;&lt;td&gt;2025. 1. 3.&lt;/td&gt;&lt;/tr&gt;&lt;tr&gt;&lt;td&gt;결재일자&lt;/td&gt;&lt;td&gt;2025. 1. 3.&lt;/td&gt;&lt;/tr&gt;&lt;tr&gt;&lt;td&gt;공개구분&lt;/td&gt;&lt;td&gt;대국민 공개&lt;/td&gt;&lt;/tr&gt;&lt;/tbody&gt;&lt;/table&gt; 직원 사기진작 및 소속감 고취를 위한 2025년 공무원 장례비 지원 추진계획 요 약 □ 근거 ᄋ「지방공무원법」,「부산광역시 공무원 후생복지에 관한 조례」 ᄋ「부산광역시 1회용품 사용 줄이기 조례」※ 2021.1.13. 제정 및 시행 □ 지원내용 ᄋ (대상) 본청·직속기관·사업소·시의회(시의원 포함) 소속 공무원 ※ 소방재난본부, 상수도사업본부 별도 추진 ᄋ (범위) 배우자, 부모(배우자의 부모 포함), 자녀, 사위, 며느리 사망(조부모 제외) ᄋ (지원금액) 1,000천원 이내 실비 지급(재직 중 최대 2회) ᄋ (소요예산) 170,000천원(170명×1,000천원) □ 행정사항 ᄋ 시 소속 기관 및 부서 시행 알림 및 안내(’25. 1월중) (인 사 과)</t>
    </r>
  </si>
  <si>
    <t>사무실 물품 지원 절차 및 지원 목록</t>
  </si>
  <si>
    <t>사무실 물품을 지원받으려는 경우, 관련 내부 규정과 절차에 따라 신청, 승인, 수령까지 진행되는 방법과 제공되는 물품 목록은 무엇인가요?</t>
  </si>
  <si>
    <t>부산시청 사무실 물품 지원 절차와 지원 목록은 다음과 같습니다.
지원 절차
신청: 부산시청 홈페이지를 통해 신청서를 작성하고 제출합니다.
심사: 제출된 신청서를 바탕으로 심사를 진행합니다. 심사 기준은 필요성, 우선순위, 예산 등을 고려합니다.
승인: 심사를 통과한 경우, 물품 지원이 승인됩니다.
수령: 승인된 물품은 지정된 장소에서 수령할 수 있습니다.
사용: 수령한 물품을 지정된 목적에 맞게 사용합니다.
결과 보고: 사용 후 결과를 보고하고, 필요시 추가 지원을 신청할 수 있습니다.
지원 목록
사무용 가구: 책상, 의자, 회의용 테이블, 사무용 의자 등
사무용품: 프린터, 복사기, 스캐너, 컴퓨터, 모니터, 사무용 파일, 바인더, 노트 등
기타: 사무실 운영에 필요한 기타 물품 (예: 청소용품, 보안용품 등)
각 항목은 필요에 따라 추가되거나 변경될 수 있으며, 구체적인 지원 품목과 절차는 부산시청 홈페이지나 관련 부서를 통해 확인하시는 것이 좋습니다.</t>
  </si>
  <si>
    <t>근거문서가 아마 없을것으로 판단됩니다.
하지만 내부 직원의 문의나 신청등은 보통 시 홈페이지로 받지는 않습니다.
시 홈페이지는 대민서비스 위주로 보시면 됩니다</t>
  </si>
  <si>
    <t>사무실 가구 파손 시 수리 안내</t>
  </si>
  <si>
    <t>사무실 가구가 파손된 경우, 관련 절차에 따라 수리 요청, 처리 및 완료까지 진행되는 방법은 무엇인가요?</t>
  </si>
  <si>
    <t>부산시청 사무실 가구가 파손되었을 경우, 수리 절차 및 방법은 다음과 같습니다.
파손 확인 및 보고: 먼저 파손된 가구의 상태를 확인하고, 이를 즉시 상급자나 관련 부서에 보고합니다.
수리 계획 수립: 수리 필요성을 검토한 후, 수리 계획을 수립합니다. 이때, 수리 범위, 비용, 일정 등을 고려해야 합니다.
수리 업체 선정: 내부 규정에 따라 적합한 수리 업체를 선정합니다. 필요시, 내부 직원 중 관련 업무를 수행할 수 있는 인력을 지정할 수도 있습니다.
수리 진행: 선정된 수리 업체나 내부 직원에게 가구를 수리하도록 지시합니다. 이때, 수리 과정 중 안전에 유의해야 합니다.
수리 완료 및 확인: 수리가 완료되면, 가구의 상태를 다시 한번 확인하여 파손이 제대로 수리되었는지 점검합니다.
비용 처리: 수리 비용은 내부 회계 규정에 따라 처리합니다. 예산이 필요한 경우, 관련 부서에 요청하여 승인을 받습니다.
이러한 절차를 통해 부산시청 사무실 가구의 파손 문제를 체계적으로 해결할 수 있습니다.</t>
  </si>
  <si>
    <t>해당 질의도 근거 문서가 없는 질문입니다.
그래서 일반적인 기초 답변 정도로 생성된거 같습니다.</t>
  </si>
  <si>
    <t>보안 USB 반출 및 반입 절차는?</t>
  </si>
  <si>
    <t>보안 USB를 업무상 반출·반입하려는 경우, 매체제어시스템(보안USB 관리시스템)에서 어떻게 처리해야 하나요?</t>
  </si>
  <si>
    <t>보안 USB의 반출 및 반입 절차는 반출 신청, 반출 신청 확인, 반입 신청, 반출 신청 승인, 반입 진행으로 진행됩니다.
관련내용은 다음과 같습니다.
반출 신청
작업표시줄의 uToken 아이콘을 우 클릭한 후, 관리를 클릭합니다.
반출 신청 탭을 클릭하고, 반출 신청서를 작성합니다.
신청 버튼을 마우스 좌 클릭하여 보안 USB에 대한 반출을 신청합니다.
반출 신청 확인
보안 USB 반출 신청 확인 버튼을 마우스 좌 클릭하여 반출 신청에 대한 확인을 진행합니다.
부서 관리자 및 총괄 관리자의 승인이 완료되면 신청 확인을 해야만 반출이 완료됩니다.
반입 신청
작업표준의 uToken 아이콘을 우 클릭한 후, 관리를 클릭합니다.
반입 신청 탭을 클릭하고, 반입을 신청합니다.
신청 버튼을 마우스 좌 클릭하여 반출된 보안 USB에 대한 반입을 진행합니다.
반출 신청 승인
보안 USB 반출 메뉴를 선택 후 승인 처리를 진행합니다.
신청서 관리에서 보안 USB 반출 메뉴를 선택하여 보안 USB 반출 신청에 대한 허용 또는 거부를 선택합니다.</t>
  </si>
  <si>
    <t>ㆍ368_2412_정보화정책과_업무매뉴얼_채울_휴대용저장매체관리시스템_부서관리자_매뉴얼.pdf (p.13)
https://busanai.busan.go.kr/download/368_2412_정보화정책과_업무매뉴얼_채울_휴대용저장매체관리시스템_부서관리자_매뉴얼.pdf
ㆍ369_2412_정보화정책과_업무매뉴얼_채울_휴대용저장매체관리시스템_사용자_매뉴얼.pdf (p.24, 25)
https://busanai.busan.go.kr/download/369_2412_정보화정책과_업무매뉴얼_채울_휴대용저장매체관리시스템_사용자_매뉴얼.pdf</t>
  </si>
  <si>
    <t>보안 USB의 반출 및 반입 절차는 반출 신청, 반출 신청 확인, 반입 신청, 반출 신청 승인, 반입 진행으로 진행됩니다.
 관련내용은 다음과 같습니다.
 반출 신청
 작업표시줄의 uToken 아이콘을 우 클릭한 후, 관리를 클릭합니다.
 반출 신청 탭을 클릭하고, 반출 신청서를 작성합니다.
 신청 버튼을 마우스 좌 클릭하여 보안 USB에 대한 반출을 신청합니다.
 반출 신청 확인
 보안 USB 반출 신청 확인 버튼을 마우스 좌 클릭하여 반출 신청에 대한 확인을 진행합니다.
 부서 관리자 및 총괄 관리자의 승인이 완료되면 신청 확인을 해야만 반출이 완료됩니다.
 반입 신청
 작업표준의 uToken 아이콘을 우 클릭한 후, 관리를 클릭합니다.
 반입 신청 탭을 클릭하고, 반입을 신청합니다.
 신청 버튼을 마우스 좌 클릭하여 반출된 보안 USB에 대한 반입을 진행합니다.
 반출 신청 승인
 보안 USB 반출 메뉴를 선택 후 승인 처리를 진행합니다.
 신청서 관리에서 보안 USB 반출 메뉴를 선택하여 보안 USB 반출 신청에 대한 허용 또는 거부를 선택합니다.</t>
  </si>
  <si>
    <t>369_2412_정보화정책과_업무매뉴얼_채울_휴대용저장매체관리시스템_사용자_매뉴얼.pdf</t>
  </si>
  <si>
    <t>23, 24, 26</t>
  </si>
  <si>
    <t>관리 : 보안 USB 반출
 ①uToken 아이콘 우 클릭
  - 작업표시줄의 uToken 아이콘을 우 클릭 한 후 , 관리를 클릭합니다
 ②반출신청 탭 클릭
  - 반출 신청을 마우스 좌 클릭 후 보안 USB에 대한 반출을 신청합니다
 ③반출신청 신청서 작성
  - 반출신청서 작성 후 신청 버튼을 마우스 좌 클릭하여 보안 USB 에 대한 반출을 신청합니다
 ④보안 USB 반출 신청 확인
  - 확인버튼을 마우스 좌 클릭하여 반출신청에 대한 확인을 진행합니다 
 ④보안 USB 반출 신청 확인
 ※ 유의사항
 - 보안 USB 반출 신청 이 후 부서관리자 및 총괄관리자의 승인이 완료되면 신청확인을 해야만 반출 완료 반출신청확인을 진행하지 않으면 외부에서 보안 USB 사용 불가
 관리 : 보안 USB 반입
 ①uToken 아이콘 우 클릭
  - 작업표시줄의 uToken 아이콘을 우 클릭 한 후 , 관리를 클릭합니다
 ②반입신청 탭 클릭
  - 반입 신청 버튼 마우스 좌 클릭 후 보안 USB 에 대한 반입을 신청합니다
 ③반입 진행
  - 신청 버튼 마우스 좌 클릭 이 후 반출 된 보안 USB 에 대해서 반입이 진행됩니다</t>
  </si>
  <si>
    <t>보안 USB 외부 반출 절차, 보안 USB 내부 반입 절차, 유에스비 반입 반출 절차 안내</t>
  </si>
  <si>
    <r>
      <rPr>
        <rFont val="맑은 고딕"/>
        <b/>
        <color theme="1"/>
        <sz val="11.0"/>
      </rPr>
      <t xml:space="preserve">369_2412_정보화정책과_업무매뉴얼_채울_휴대용저장매체관리시스템_사용자_매뉴얼.pdf[23~24]
-----
</t>
    </r>
    <r>
      <rPr>
        <rFont val="맑은 고딕"/>
        <color theme="1"/>
        <sz val="11.0"/>
      </rPr>
      <t xml:space="preserve">[보안 USB 반출절차]
</t>
    </r>
  </si>
  <si>
    <r>
      <rPr>
        <rFont val="맑은 고딕"/>
        <b/>
        <color theme="1"/>
        <sz val="11.0"/>
      </rPr>
      <t xml:space="preserve">369_2412_정보화정책과_업무매뉴얼_채울_휴대용저장매체관리시스템_사용자_매뉴얼.pdf[26]
-----
</t>
    </r>
    <r>
      <rPr>
        <rFont val="맑은 고딕"/>
        <color theme="1"/>
        <sz val="11.0"/>
      </rPr>
      <t>[보안 USB 반입절차]</t>
    </r>
  </si>
  <si>
    <r>
      <rPr>
        <rFont val="맑은 고딕"/>
        <b/>
        <color theme="1"/>
        <sz val="11.0"/>
      </rPr>
      <t xml:space="preserve">368_2412_정보화정책과_업무매뉴얼_채울_휴대용저장매체관리시스템_부서관리자_매뉴얼.pdf [12~13]
-----
</t>
    </r>
    <r>
      <rPr>
        <rFont val="맑은 고딕"/>
        <color theme="1"/>
        <sz val="11.0"/>
      </rPr>
      <t>[보안 USB 반출 신청서 승인처리]</t>
    </r>
  </si>
  <si>
    <t>시청 방송 채널 번호를 모르겠어요</t>
  </si>
  <si>
    <t>내부 방송 또는 시정 방송을 시청하기 위해 필요한 채널 번호와 시청 방법을 확인할 수 있는 절차는 무엇인가요?</t>
  </si>
  <si>
    <t xml:space="preserve">부산시청 방송 채널 번호는 다음과 같습니다.
1. KBS1: 15번
2. KBS2: 16번
3. MBC: 18번
4. SBS: 20번
5. EBS1: 21번
6. EBS2: 23번
7. TV CHOSUN: 25번
8. JTBC: 26번
9. 채널A: 27번
10. MBN: 28번
위 채널 번호는 부산시청을 기준으로 한 것이며, 지역이나 방송사에 따라 다를 수 있으니 참고하시기 바랍니다. </t>
  </si>
  <si>
    <t>해당 자료는 관련 매뉴얼이 없습니다.
해당 채널 번호에 대해 확인이 어려워
정합성에 대한 여부 확인이 불가능하니
시청 방송 채널 번호에 대한 자료는 없다고 표출하는것이 맞는거 같습니다.</t>
  </si>
  <si>
    <t>구청에서 근무 중인 시직원도 장기재직 휴가 쓸 수 있나요?</t>
  </si>
  <si>
    <t>부산광역시 소속 공무원이 구청 등 산하기관에 파견·전출되어 근무하는 경우에도, 내부 인사 규정에서 정한 장기재직 휴가를 동일하게 신청·사용할 수 있는지와 그 적용 기준은 무엇인가요?</t>
  </si>
  <si>
    <t>부산시청 시직원도 장기재직 휴가를 사용할 수 있습니다. 부산광역시 공무원 후생복지에 관한 조례 제6조 제1호에 따라, 시장은 예산의 범위에서 우수, 효행, 모범, 장기근속 소속 공무원과 그 가족을 대상으로 한 국내외 시찰을 지원할 수 있으며, 이는 장기재직 휴가의 사용 활성화 유도와 관련이 있습니다. 따라서, 부산시청 시직원도 해당 조례의 적용을 받아 장기재직 휴가를 사용할 수 있습니다.</t>
  </si>
  <si>
    <t>ㆍ284_2501_인사과_기타_인사과_2025년_직원_장기재직휴가_지원_계획.pdf (p.2)
https://busanai.busan.go.kr/download/284_2501_인사과_기타_인사과_2025년_직원_장기재직휴가_지원_계획.pdf</t>
  </si>
  <si>
    <t>해당 질의에 대한 의도분류가 잘못되어있습니다.
시청 직원인데 구에 파견간 직원이 장기재직 휴가를 사용 할 수 있는지에 대한 여부를 질의한 내용인데
일반 시직원의 장기재직 휴가 사용 여부에 대해 알려주고 있습니다.</t>
  </si>
  <si>
    <t>기대답변:
 &lt;자치구・군 등 인사교류 파견자의 장기재직휴가&gt;
 ① 파견자 장기재직휴가 시행 : 파견기관 소속부서장 결재 후 휴가 시행
 부서장 결재 후 원소속기관 부서로 공문 발송
 ② 원소속기관 부서 복무 조치 : 차세대인사랑 시스템 등록 및 결재
 ※ 파견자는 부산시 장기재직휴가 시행지침 적용</t>
  </si>
  <si>
    <t>1227_2407_부산광역시_인사과_업무매뉴얼_인사과_장기재직휴가_시행지침_개정전문.pdf</t>
  </si>
  <si>
    <t>&lt;자치구・군 등 인사교류 파견자의 장기재직휴가&gt;
 ① 파견자 장기재직휴가 시행 : 파견기관 소속부서장 결재 후 휴가 시행
 부서장 결재 후 원소속기관 부서로 공문 발송
 ② 원소속기관 부서 복무 조치 : 차세대인사랑 시스템 등록 및 결재
 ※ 파견자는 부산시 장기재직휴가 시행지침 적용</t>
  </si>
  <si>
    <t>장기재직휴가 등록 기준 및 사용 방법과 신청 절차, 장기재직휴가 기준 및 사용방법과 신청절차, 장기재직휴가 사용 요건 인사랑 자동 반영여부, 인사교류 파견자의 장기재직휴가 사용 안내, 구청 근무 시직원 장기재직휴가 사용 안내</t>
  </si>
  <si>
    <t>임기제 공무원 고용보험 가입 요청 시 어떻게 해야 하나요?</t>
  </si>
  <si>
    <t>임기제 공무원을 신규 임용하거나 계약 갱신할 때, 고용보험 가입이 필요한 경우 관련 규정에 따라 신청, 처리, 확인까지 진행되는 절차는 무엇인가요?</t>
  </si>
  <si>
    <t>임기제 공무원이 고용보험 가입을 희망할 경우, 부산시청에서 필요한 절차와 방법은 다음과 같습니다.
고용보험 가입 신청서 제출: 임기제 공무원은 고용보험 가입을 희망하는 경우, 부산시청에 고용보험 가입 신청서를 제출해야 합니다. 이 신청서는 부산시청의 인사 담당 부서를 통해 제공받을 수 있습니다.
고용보험 가입 자격 확인: 부산시청의 인사 담당 부서는 제출된 신청서를 검토하여 고용보험 가입 자격을 확인합니다. 이 과정에서 임기제 공무원의 자격 요건, 근무 조건 등을 검토합니다.
고용보험 가입 승인: 고용보험 가입 자격이 확인되면, 부산시청에서는 고용보험 가입을 승인합니다. 이 과정은 일반적으로 몇 주가 소요될 수 있습니다.
고용보험 가입 완료: 고용보험 가입이 승인되면, 임기제 공무원은 고용보험에 가입하게 됩니다. 이 때, 최초 임용일로부터 3개월 이내에 가입해야 합니다.
고용보험료 납부: 고용보험 가입 후, 임기제 공무원은 보험료를 납부해야 합니다. 보험료는 소득에 따라 계산되며, 부산시청에서 제공하는 관련 규정을 참고하여 납부합니다.
이러한 절차를 통해 임기제 공무원은 고용보험에 가입할 수 있으며, 관련 규정과 절차는 부산시청의 인사 담당 부서를 통해 자세한 안내를 받을 수 있습니다.</t>
  </si>
  <si>
    <t>인사과에서 제출한 근로복지공단 2025 산재 고용보험 가입 및 부과업무 실무편람 자료에
임기제 공무원 고용보험 가입 가능에 대한 안내 문구가 있습니다. (최초 임용된 날로부터 3개월 이내 신청해야함
해당 내용이 들어가있는걸로 보아 참고자료로 활용한거 같은데 근거자료 링크에는 나타나지 않습니다.</t>
  </si>
  <si>
    <r>
      <rPr>
        <rFont val="맑은 고딕"/>
        <b/>
        <color theme="1"/>
        <sz val="11.0"/>
      </rPr>
      <t xml:space="preserve">298_2502_인사과_업무매뉴얼_근로복지공단_2025_산재고용보험_가입_및_부과업무_실무편람.pdf[32]
-----
</t>
    </r>
    <r>
      <rPr>
        <rFont val="맑은 고딕"/>
        <b/>
        <color rgb="FFFF0000"/>
        <sz val="11.0"/>
      </rPr>
      <t>[아래 내용에 가이드해준 문구가 있으나 실제 내용은 고용보험 가입제외 대상 근로자 내용에 이 부분이 있어 조회가 되어도 답으로 활용할 수 있을지 검토 필요]</t>
    </r>
    <r>
      <rPr>
        <rFont val="맑은 고딕"/>
        <b/>
        <color theme="1"/>
        <sz val="11.0"/>
      </rPr>
      <t xml:space="preserve">
</t>
    </r>
    <r>
      <rPr>
        <rFont val="맑은 고딕"/>
        <color theme="1"/>
        <sz val="11.0"/>
      </rPr>
      <t xml:space="preserve">
제1장 보험 가입 근로자
1 보험 가입 대상 근로자
산재보험과 고용보험 가입 대상인 근로자는 </t>
    </r>
    <r>
      <rPr>
        <rFont val="Noto Sans KR"/>
        <color theme="1"/>
        <sz val="11.0"/>
      </rPr>
      <t>｢</t>
    </r>
    <r>
      <rPr>
        <rFont val="맑은 고딕"/>
        <color theme="1"/>
        <sz val="11.0"/>
      </rPr>
      <t>근로기준법</t>
    </r>
    <r>
      <rPr>
        <rFont val="Noto Sans KR"/>
        <color theme="1"/>
        <sz val="11.0"/>
      </rPr>
      <t>｣</t>
    </r>
    <r>
      <rPr>
        <rFont val="맑은 고딕"/>
        <color theme="1"/>
        <sz val="11.0"/>
      </rPr>
      <t xml:space="preserve">에 규정된 근로자로서 “직업의
종류를 불문하고 사업 또는 사업장에서 임금을 목적으로 근로를 제공하는 자”를 말함
- 다만, 근로자는 아니지만 노무제공자, 자활수급자, 현장실습생 등의 경우 특례에 따라 근로자와
동일하게 보험을 적용함
한편 근로자인 경우에도 다른 법률에 따라 산재보험 또는 고용보험과 유사하게 보호를 받는
경우 산재보험 또는 고용보험에서 적용을 제외
2 보험 가입 제외 대상 근로자
가. 산재보험 가입 제외 대상 근로자
</t>
    </r>
    <r>
      <rPr>
        <rFont val="Noto Sans KR"/>
        <color theme="1"/>
        <sz val="11.0"/>
      </rPr>
      <t>｢</t>
    </r>
    <r>
      <rPr>
        <rFont val="맑은 고딕"/>
        <color theme="1"/>
        <sz val="11.0"/>
      </rPr>
      <t>공무원 재해보상법</t>
    </r>
    <r>
      <rPr>
        <rFont val="Noto Sans KR"/>
        <color theme="1"/>
        <sz val="11.0"/>
      </rPr>
      <t>｣</t>
    </r>
    <r>
      <rPr>
        <rFont val="맑은 고딕"/>
        <color theme="1"/>
        <sz val="11.0"/>
      </rPr>
      <t xml:space="preserve"> 또는 </t>
    </r>
    <r>
      <rPr>
        <rFont val="Noto Sans KR"/>
        <color theme="1"/>
        <sz val="11.0"/>
      </rPr>
      <t>｢</t>
    </r>
    <r>
      <rPr>
        <rFont val="맑은 고딕"/>
        <color theme="1"/>
        <sz val="11.0"/>
      </rPr>
      <t>군인 재해보상법</t>
    </r>
    <r>
      <rPr>
        <rFont val="Noto Sans KR"/>
        <color theme="1"/>
        <sz val="11.0"/>
      </rPr>
      <t>｣</t>
    </r>
    <r>
      <rPr>
        <rFont val="맑은 고딕"/>
        <color theme="1"/>
        <sz val="11.0"/>
      </rPr>
      <t xml:space="preserve">에 따라 재해보상이 되는 자
</t>
    </r>
    <r>
      <rPr>
        <rFont val="Noto Sans KR"/>
        <color theme="1"/>
        <sz val="11.0"/>
      </rPr>
      <t>｢</t>
    </r>
    <r>
      <rPr>
        <rFont val="맑은 고딕"/>
        <color theme="1"/>
        <sz val="11.0"/>
      </rPr>
      <t>선원법</t>
    </r>
    <r>
      <rPr>
        <rFont val="Noto Sans KR"/>
        <color theme="1"/>
        <sz val="11.0"/>
      </rPr>
      <t>｣</t>
    </r>
    <r>
      <rPr>
        <rFont val="맑은 고딕"/>
        <color theme="1"/>
        <sz val="11.0"/>
      </rPr>
      <t xml:space="preserve"> 또는 </t>
    </r>
    <r>
      <rPr>
        <rFont val="Noto Sans KR"/>
        <color theme="1"/>
        <sz val="11.0"/>
      </rPr>
      <t>｢</t>
    </r>
    <r>
      <rPr>
        <rFont val="맑은 고딕"/>
        <color theme="1"/>
        <sz val="11.0"/>
      </rPr>
      <t>어선원 및 어선재해보상보험법</t>
    </r>
    <r>
      <rPr>
        <rFont val="Noto Sans KR"/>
        <color theme="1"/>
        <sz val="11.0"/>
      </rPr>
      <t>｣</t>
    </r>
    <r>
      <rPr>
        <rFont val="맑은 고딕"/>
        <color theme="1"/>
        <sz val="11.0"/>
      </rPr>
      <t xml:space="preserve">에 따라 재해보상이 되는 자
</t>
    </r>
    <r>
      <rPr>
        <rFont val="Noto Sans KR"/>
        <color theme="1"/>
        <sz val="11.0"/>
      </rPr>
      <t>｢</t>
    </r>
    <r>
      <rPr>
        <rFont val="맑은 고딕"/>
        <color theme="1"/>
        <sz val="11.0"/>
      </rPr>
      <t>사립학교교직원연금법</t>
    </r>
    <r>
      <rPr>
        <rFont val="Noto Sans KR"/>
        <color theme="1"/>
        <sz val="11.0"/>
      </rPr>
      <t>｣</t>
    </r>
    <r>
      <rPr>
        <rFont val="맑은 고딕"/>
        <color theme="1"/>
        <sz val="11.0"/>
      </rPr>
      <t xml:space="preserve">에 따라 재해보상이 되는 자(고용보험 동일)
나. 고용보험 가입 제외 대상 근로자
65세 이후에 고용(65세 전부터 피보험 자격을 유지하던 사람이 65세 이후에 계속하여
고용된 경우는 제외한다)되거나 자영업을 개시한 사람
- 실업급여 적용제외(고용안정·직업능력개발 사업은 적용)
소정근로시간이 대통령령으로 정하는 시간 미만인 자
- 월간 소정근로시간이 60시간 미만인 자(1주간 소정근로시간이 15시간 미만인 자 포함)
- 다만, 3월 이상 계속하여 근로를 제공하는 자와 </t>
    </r>
    <r>
      <rPr>
        <rFont val="Noto Sans KR"/>
        <color theme="1"/>
        <sz val="11.0"/>
      </rPr>
      <t>｢</t>
    </r>
    <r>
      <rPr>
        <rFont val="맑은 고딕"/>
        <color theme="1"/>
        <sz val="11.0"/>
      </rPr>
      <t>고용보험법</t>
    </r>
    <r>
      <rPr>
        <rFont val="Noto Sans KR"/>
        <color theme="1"/>
        <sz val="11.0"/>
      </rPr>
      <t>｣</t>
    </r>
    <r>
      <rPr>
        <rFont val="맑은 고딕"/>
        <color theme="1"/>
        <sz val="11.0"/>
      </rPr>
      <t xml:space="preserve"> 제2조제6호의 규정에 의한
1개월 미만의 기간 동안 고용된 일용근로자는 가입대상 근로자임
</t>
    </r>
    <r>
      <rPr>
        <rFont val="Noto Sans KR"/>
        <color rgb="FFFF0000"/>
        <sz val="11.0"/>
      </rPr>
      <t>｢</t>
    </r>
    <r>
      <rPr>
        <rFont val="맑은 고딕"/>
        <color rgb="FFFF0000"/>
        <sz val="11.0"/>
      </rPr>
      <t>국가공무원법</t>
    </r>
    <r>
      <rPr>
        <rFont val="Noto Sans KR"/>
        <color rgb="FFFF0000"/>
        <sz val="11.0"/>
      </rPr>
      <t>｣</t>
    </r>
    <r>
      <rPr>
        <rFont val="맑은 고딕"/>
        <color rgb="FFFF0000"/>
        <sz val="11.0"/>
      </rPr>
      <t xml:space="preserve">과 </t>
    </r>
    <r>
      <rPr>
        <rFont val="Noto Sans KR"/>
        <color rgb="FFFF0000"/>
        <sz val="11.0"/>
      </rPr>
      <t>｢</t>
    </r>
    <r>
      <rPr>
        <rFont val="맑은 고딕"/>
        <color rgb="FFFF0000"/>
        <sz val="11.0"/>
      </rPr>
      <t>지방공무원법</t>
    </r>
    <r>
      <rPr>
        <rFont val="Noto Sans KR"/>
        <color rgb="FFFF0000"/>
        <sz val="11.0"/>
      </rPr>
      <t>｣</t>
    </r>
    <r>
      <rPr>
        <rFont val="맑은 고딕"/>
        <color rgb="FFFF0000"/>
        <sz val="11.0"/>
      </rPr>
      <t>에 따른 공무원. 다만, 대통령령으로 정하는 바에 따라
별정직 및 임기제 공무원의 경우는 본인의 의사에 따라 고용보험(실업급여에 한함)에 가입할
수 있음
 ※ 최초 임용된 날로부터 3개월 이내에 고용보험 가입을 신청해야 함</t>
    </r>
  </si>
  <si>
    <t>4시간 미만 관외출장의 경우 일비 및 식비 정액 지급하는지?</t>
  </si>
  <si>
    <t>4시간 미만의 관외출장을 실시한 경우, 내부 여비 규정에 따라 일비와 식비가 정액으로 지급되는지 여부와 그 적용 기준은 무엇인가요?</t>
  </si>
  <si>
    <t>4시간 미만 관외 출장의 경우 부산시청 소속 공무원에게 일비 및 식비 정액이 지급되지 않습니다.
관련내용은 다음과 같습니다.
4시간 미만 관외 출장 시 일비 및 식비 정액 지급 불가: 부산시청 소속 공무원이 4시간 미만 관외 출장을 갈 경우, 일비 및 식비는 정액으로 지급되지 않습니다. 이는 출장 시간이 짧기 때문에 필요한 경비가 다를 수 있기 때문입니다.
실제 소요된 비용 지급: 대신, 출장 중 실제로 소요된 비용을 기준으로 지급됩니다. 즉, 교통비, 숙박비, 식비 등이 실제 사용된 금액에 따라 지급됩니다.
예외 규정: 다만, 특별한 경우나 부득이한 사유로 인해 정액 지급이 필요한 경우에는 관련 규정을 참고하여 예외적으로 정액 지급이 가능할 수 있습니다. 이 경우, 해당 사유를 증빙할 수 있어야 합니다.
따라서, 4시간 미만 관외 출장 시에는 일비 및 식비가 정액으로 지급되지 않고, 실제 출장 시 소요된 비용을 기준으로 지급된다는 점을 유의해야 합니다.</t>
  </si>
  <si>
    <t>ㆍ84095_공개문_2023년_하반기_출연기관_종합감사_결과_보고서.pdf (p.70)
https://busanai.busan.go.kr/download/84095_공개문_2023년_하반기_출연기관_종합감사_결과_보고서.pdf</t>
  </si>
  <si>
    <t xml:space="preserve">해당 자료에 근거자료가 출연기관 감사 보고서라 오류입니다.
그리고 제출된 자료중에서는 여비 관련 규정에 대한 매뉴얼이 없습니다.
실제 답변은 
일비 및 식비 정액이 지급됩니다.
다만 여비 부족, 식비 지출이 예상되지 않는 짧은 시간이 소요되는 출장의 경우에는 공무원 여비규정 제28조 제1항에 따라 식비를 감액할 수 있음. 이라는 답변이 맞습니다.
</t>
  </si>
  <si>
    <t>기대답변 :
 근무지외 출장시 영 제9조(운임) 및 제16조(일비, 숙박비, 식비)에 따라 여비를 정액 지급할 수 있습니다.
 다만 여비 부족, 식비 지출이 예상되지 않는 짧은 시간이 소요되는 출장의 경우에는 공무원 여비규정 제28조 제1항에 따라 식비를 감액할 수 있습니다.</t>
  </si>
  <si>
    <t>1229_공무원_여비_규정대통령령제35811호20251001.pdf
 1226_2025_공무원보수_등의_업무지침인사혁신처_예규_제192호.pdf</t>
  </si>
  <si>
    <t>2,3,5
 594, 595</t>
  </si>
  <si>
    <t>제9조(운임의 구분) ① 운임은 철도운임ㆍ선박운임ㆍ항공운임ㆍ자동차운임으로 구분하되, 철도운임은 철도여행에, 선
 박운임은 수로(水路)여행에, 항공운임은 항공여행에, 자동차운임은 철도 외의 육로여행에 각각 지급한다.
 ② 국외 여행의 경우 제1항의 운임에는 통행세를 포함한다.
 [전문개정 2010. 11. 10.]
 제16조(일비ㆍ숙박비ㆍ식비의 지급) ① 국내 여행자의 일비(日費)ㆍ숙박비 및 식비는 별표 2에 따라 지급하고, 국외 여
 행자의 경우는 별표 4에 따라 지급한다. 다만, 공무의 형편이나 그 밖의 부득이한 사유로 숙박비의 상한액 및 지급받
 은 식비(국내 여행의 경우 식비는 제외한다)를 초과하여 여비를 지출하였을 때에는 국내 여행의 경우에는 숙박비 상
 한액의 10분의 3을, 국외 여행의 경우에는 숙박비 및 식비의 2분의 1을 넘지 아니하는 범위에서 여비를 추가로 지급
 할 수 있다. &lt;개정 2011. 2. 9.&gt;
 ② 제1항 단서에 따라 여비를 추가로 지급받으려는 공무원은 여행을 마친 날의 다음 날부터 기산하여 1주일 이내
 (국외 여행의 경우에는 2주일 이내를 말한다)에 정부구매카드 또는 신용카드를 사용하고 받은 매출전표에 세부 사
 용내용이 명시된 증거자료를 갖추어 회계 관계 공무원에게 정산을 신청하여야 한다.&lt;개정 2011. 2. 9.&gt;
 ③ 일비는 여행일수에 따라 지급하되, 공무용 차량을 이용하는 경우 등 인사혁신처장이 정하는 바에 따라 여행을 하
 는 경우에는 일비의 2분의 1을 지급한다.&lt;개정 2013. 3. 23., 2014. 11. 19., 2024. 7. 2.&gt;
 ④ 숙박비는 숙박하는 밤의 수에 따라 지급한다. 다만, 수로여행과 항공여행에는 숙박비를 지급하지 아니하되, 천재
 지변이나 그 밖의 부득이한 사유로 육지에서 숙박할 필요가 있는 경우에는 숙박비를 지급한다.
 ⑤ 식비는 여행일수에 따라 지급한다. 다만, 수로여행과 항공여행에는 따로 식비가 필요한 경우에만 식비를 지급한
 다.
 ⑥ 삭제&lt;2012. 1. 6.&gt;
 [전문개정 2010. 11. 10.]
 제28조(여비의 조정) ① 소속 기관의 장은 예산의 부족 또는 그 밖의 사유로 여비를 지급하지 아니할 충분한 이유가 있
 다고 인정될 때에는 지급하는 여비를 감액하거나 여비의 전부 또는 일부를 지급하지 아니할 수 있다.
 ※ 근무지외 출장시에도 영 제9조(운임) 및 제16조(일비, 숙박비, 식비)에 따라 여비를 지급할 수 있으나, 지출이 불필요하거나 해당 정액 보다 적게 소요되는 것이 명백한 경우에는 영 제28조 제1항에 따라 여비를 감액하거나 여비의 전부 또는 일부를 지급하지 아니할 수 있다.
 Ⅳ. 근무지외 국내출장시의 여비
 1. 근무지외 여비의 계산
  가. 지급되는 여비항목 : 운임, 숙박비, 식비, 일비
  나. 여비의 조정(영 제28조)
  ※여비의 조정 영 (제28조)에 대한 상세 내용은 Ⅷ. 보칙 부분 참조
  1)소속 기관의 장은 예산의 부족 또는 그 밖의 사유로 여비를 지급하지 아니할 충분한 이유가 있다고 인정될 때에는 지급하는 여비를 감액하거나 여비의 전부 또는 일부를 지급하지 아니할 수 있다.
  2)소속기관 이외의 다른 기관･단체(외국정부 또는 국제연합기구 등) 등으로부터 여비의 전부 또는 일부를 지급받은 경우에는 이 영에 규정된 여비 중에서 그 금액을 빼고 지급한다. 
  3)2명 이상의 공무원이 같은 목적으로 동행하여 출장하는 경우에 출장목적 수행상 부득이하다고 인정될 때에는 영 제3조 및 별표 1에도 불구하고 운임(국외여비는 제외한다)･숙박비 및 식비에 한정하여 상급자와의 동행에 필요한 최소한의 등급에 해당하는 여비를 지급할 수 있다. 
  4)다만, 영 제16조 제1항에 따라 숙박비를 추가지급 받은 경우에는 동 규정에 의한 여비등급의 상향조정을 할 수 없다.</t>
  </si>
  <si>
    <t>관외 출장 일비 및 식비 지급 안내, 4시간 미만 관외 출장 여비 지급 여부</t>
  </si>
  <si>
    <t>출장 시간 계산 시 18시 근무시간 이후 시간도 포함해야 하는지?</t>
  </si>
  <si>
    <t>관내·관외출장을 수행할 때, 출장 시간 산정 과정에서 18시 이후의 근무시간 외 시간이 포함되는지 여부와 그 적용 기준은 무엇인가요?</t>
  </si>
  <si>
    <t xml:space="preserve">부산시청의 출장 시간 계산 시, 18시 이후의 근무 시간도 포함하여 계산해야 합니다. 부산시청의 근무 시간은 평일 기준 오전 9시부터 오후 6시까지입니다. 따라서 18시 이후의 시간은 근무 시간에 포함되지 않습니다. 다만, 출장이나 업무상 필요한 경우에는 예외적으로 18시 이후에도 업무를 수행할 수 있으며, 이 경우에는 추가 근무 시간을 인정받을 수 있습니다. 따라서 출장 시간 계산 시에는 해당 업무의 특성과 출장지의 상황을 고려하여 적절한 시간대를 선택하고, 필요한 경우 추가 근무 시간을 포함하여 계산해야 합니다. </t>
  </si>
  <si>
    <t>해당 답변이 맞긴 하나 근거 자료가 없습니다.
이러한 내용을 확답형식으로 답을 생성하면
이 외에 다른 내용에서 할루시네이션이 생성될 가능성이 있으므로
자세한 내용을 쓴다기 보다는 업무 담당자에게 문의해봐야 한다는 식의 답변이 노출되어야 할 것 같습니다</t>
  </si>
  <si>
    <t>기대답변 : 
 관내출장 시 18:00 이후 복귀하더라도 출장 시간이 인정될 수 있습니다. 다만, 이는 출장 목적과 업무 수행의 필요성에 따라 달라질 수 있으며, 사전 허가 및 증빙 자료 제출이 필수적입니다.
 □ 「지방공무원 복무규정」 제4조의2에 따르면, 지방자치단체의 장과 지방의회의 의장은 소속 공무원이 정규 근무지 외의 장소에서 공무를 수행할 경우, 업무 수행의 필요성과 사전 허가 여부를 고려하여 출장 시간을 인정할 수 있습니다. 
 □ 다만 지방자치단체 관내출장 시 18:00 이후 복귀하더라도 출장 시간이 인정받기 위해서는 사전 허가 또는 사후 승인 절차를 준수하고, 관련 증빙 자료를 제출하는 것이 중요합니다.</t>
  </si>
  <si>
    <t>1249_지방공무원_복무규정대통령령제35666호20250722.pdf</t>
  </si>
  <si>
    <t>3, 4</t>
  </si>
  <si>
    <t>제4조의2(출장공무원) ① 상사의 명에 따라 정규 근무지 외의 장소에서 공무를 수행하는 공무원(이하 “출장공무원”이라
 한다)은 해당 공무 수행을 위해 전력을 다해야 하며, 사적인 일을 위하여 시간을 소비해서는 안 된다. &lt;개정 2019.
 12. 31.&gt;
 ② 출장공무원은 지정된 출장기간 내에 그 업무를 완수해야 하며, 출장기간을 변경할 사유가 발생하면 지체 없이 전
 화, 팩스 또는 그 밖의 방법으로 소속 기관의 장에게 보고하고 그 지시를 받아야 한다. 다만, 신속히 업무를 수행해
 야 하는 긴급한 사정이 있는 경우에는 사후에 보고할 수 있다.&lt;개정 2019. 12. 31.&gt;
 ③ 출장공무원은 그 출장 용무를 마치고 사무실로 돌아왔을 때에는 지체 없이 지방자치단체의 장이나 지방의회의
 의장에게 결과 보고서를 제출하여야 한다. 다만, 경미한 사항에 대한 결과 보고는 말로 할 수 있다.&lt;개정 2021. 11.
 30.&gt;
 ④ 지방자치단체의 장과 지방의회의 의장은 임신 중인 공무원과 태아의 건강을 보호하기 위하여 해당 공무원의 장
 거리 또는 장기간 출장을 제한할 수 있다.&lt;개정 2021. 11. 30.&gt;
 [본조신설 2017. 4. 25.]</t>
  </si>
  <si>
    <t>SQG022</t>
  </si>
  <si>
    <t>세외수입 부과 후 해당 회계연도 내 미수납 된 모든 건들은 지난년도수입으로 관리되는 건지?</t>
  </si>
  <si>
    <t>세외수입을 부과했음에도 해당 회계연도 내에 미수납된 경우, 다음 연도에 이를 지난년도수입으로 처리해야 하는지 여부와 적용 기준은 무엇인가요?</t>
  </si>
  <si>
    <t xml:space="preserve">부산시청에서 세외수입을 부과한 후, 해당 회계연도 내에 미수납된 모든 건들은 다음 회계연도에 수입으로 관리됩니다. 이는 세외수입의 특성상, 부과된 금액이 해당 회계연도 내에 징수되지 않은 경우, 다음 회계연도로 이월되어 관리됩니다. 따라서, 미수납된 세외수입은 다음 회계연도의 세입으로 처리되어 예산에 반영됩니다. </t>
  </si>
  <si>
    <t>해당 내용도 위와 같습니다.</t>
  </si>
  <si>
    <t>조례 제정 및 개정 절차는?</t>
  </si>
  <si>
    <t>조례를 새로 제정하거나 기존 조례를 개정할 때, 관련 법령과 내부 절차에 따라 입안부터 공포까지 진행되는 단계별 절차는 무엇인가요?</t>
  </si>
  <si>
    <t>부산광역시 조례 제정 및 개정 절차는 입법예고, 조례안 작성, 조례안 검토 및 수정, 조례안 제출, 조례안 심사, 조례안 공포, 경과조치, 다른 조례의 개정, 조례 시행입니다.
관련내용은 다음과 같습니다.
입법예고: 조례안을 미리 시민에게 알려 의견을 수렴하는 단계입니다. 이 과정에서 조례안의 취지와 주요 내용을 시민에게 널리 알려야 합니다.
조례안 작성: 조례안을 작성하고, 필요한 경우 수정 및 보완을 거칩니다.
조례안 검토 및 수정: 조례안을 검토하고 필요한 경우 수정합니다.
조례안 제출: 조례안을 부산광역시의회 의장에게 제출합니다.
조례안 심사: 부산광역시의회 상임위원회와 본회의에서 조례안을 심사하고, 필요한 경우 수정 및 보완합니다.
조례안 공포: 조례안이 공포되면, 공포한 날부터 시행됩니다.
경과조치: 조례 시행 당시 종전의 규정에 따른 처분, 절차, 그 밖의 행위는 이 조례에 따라 행하여진 것으로 봅니다.
다른 조례의 개정: 조례 시행에 따라 다른 조례의 개정이 필요한 경우 이를 개정합니다.
조례 시행: 조례가 시행되면, 해당 조례에 따른 절차와 규정을 시행합니다.</t>
  </si>
  <si>
    <t>ㆍ76111_입법예고문부산광역시_시민제안제도_운영_조례-hwp.pdf (p.1)
https://busanai.busan.go.kr/download/76111_입법예고문부산광역시_시민제안제도_운영_조례-hwp.pdf</t>
  </si>
  <si>
    <r>
      <rPr>
        <rFont val="Malgun Gothic"/>
        <color theme="1"/>
        <sz val="11.0"/>
      </rPr>
      <t xml:space="preserve">관련내용, 근거문서 오류입니다.
근거문서 : 자치법규 입법절차 등(법무담당관) 1P
기대답변 : 
□ 조례 입법절차
○ 시장 발의 </t>
    </r>
    <r>
      <rPr>
        <rFont val="Segoe UI Symbol"/>
        <color theme="1"/>
        <sz val="11.0"/>
      </rPr>
      <t>▸</t>
    </r>
    <r>
      <rPr>
        <rFont val="맑은 고딕"/>
        <color theme="1"/>
        <sz val="11.0"/>
      </rPr>
      <t>「지방자치법」제32조</t>
    </r>
    <r>
      <rPr>
        <rFont val="Tahoma"/>
        <color theme="1"/>
        <sz val="11.0"/>
      </rPr>
      <t>․</t>
    </r>
    <r>
      <rPr>
        <rFont val="맑은 고딕"/>
        <color theme="1"/>
        <sz val="11.0"/>
      </rPr>
      <t>제35조, 「지방자치법시행령」제28조, 「부산광역시법제업무운영규칙」
1. 자치법규 입안 (주관부서)
 · 방침결재 : 제정·폐지(시장), 개정(부시장)
2. 사전승인, 부패영향평가, 성별영향평가, 규제영향 분석(규제 포함시)
 · 부패영향평가(감사담당관)
 · 성별영향평가(여성가족과)
3. 입법예고(20일 이상, 시보, 시 인터넷 홈페이지)
 · 규제영향분석서 함께 공표
4. 규제개혁위원회 심의 (규제심사 - 신설·강화)
5. 법제심사 의뢰(주관부서→법무담당관)
· 입법이유서, 입법안, 입법예고결과요약서, 비용추계서등 첨부심사 의뢰
6. 조례규칙심의회심의</t>
    </r>
    <r>
      <rPr>
        <rFont val="Tahoma"/>
        <color theme="1"/>
        <sz val="11.0"/>
      </rPr>
      <t>․</t>
    </r>
    <r>
      <rPr>
        <rFont val="맑은 고딕"/>
        <color theme="1"/>
        <sz val="11.0"/>
      </rPr>
      <t>의결(재적위원 과반수 찬성)
 · 위원장 시장
 · 위원 31명(부시장, 실·국장)
7. 시의회 제출(회기 10일전)
8. 시의회 심의</t>
    </r>
    <r>
      <rPr>
        <rFont val="Tahoma"/>
        <color theme="1"/>
        <sz val="11.0"/>
      </rPr>
      <t>․</t>
    </r>
    <r>
      <rPr>
        <rFont val="맑은 고딕"/>
        <color theme="1"/>
        <sz val="11.0"/>
      </rPr>
      <t xml:space="preserve">의결(상임위 및 본회의)
9. 조례안 이송(의결 후 5일 이내)
10. 조례안 사전보고(이송후5일이내, 행안부)
11. 조례규칙심의회(시의회 수정가결時)
12. 조례안 공포(이송 후 20일 이내)
○ 의원 발의 </t>
    </r>
    <r>
      <rPr>
        <rFont val="Segoe UI Symbol"/>
        <color theme="1"/>
        <sz val="11.0"/>
      </rPr>
      <t>▸</t>
    </r>
    <r>
      <rPr>
        <rFont val="맑은 고딕"/>
        <color theme="1"/>
        <sz val="11.0"/>
      </rPr>
      <t>「지방자치법」제32조</t>
    </r>
    <r>
      <rPr>
        <rFont val="Tahoma"/>
        <color theme="1"/>
        <sz val="11.0"/>
      </rPr>
      <t>․</t>
    </r>
    <r>
      <rPr>
        <rFont val="맑은 고딕"/>
        <color theme="1"/>
        <sz val="11.0"/>
      </rPr>
      <t>제35조, 「지방자치법시행령」제28조, 「부산광역시법제업무운영규칙」
1. 조례안 입안(입법정책담당관 지원) 
2. 조례안 발의(재적의원 1/5 또는10명이상) 
3. 소관 상임위 배부
4. 상임위 조례안 심의(입법예고 5일 이상)
5. 본회의 심의</t>
    </r>
    <r>
      <rPr>
        <rFont val="Tahoma"/>
        <color theme="1"/>
        <sz val="11.0"/>
      </rPr>
      <t>․</t>
    </r>
    <r>
      <rPr>
        <rFont val="맑은 고딕"/>
        <color theme="1"/>
        <sz val="11.0"/>
      </rPr>
      <t xml:space="preserve">의결(재적의원 과반수 출석, 출석의원 과반수 찬성)
6. 조례안 이송(의결 후 5일 이내)
7. 조례안 사전보고(이송 후 5일 이내, 행안부)
8. 조례규칙심의회(재의여부 심의)
9. 조례안 공포(이송 후 20일 이내)
□ 규칙 입법절차
</t>
    </r>
    <r>
      <rPr>
        <rFont val="Segoe UI Symbol"/>
        <color theme="1"/>
        <sz val="11.0"/>
      </rPr>
      <t>▸</t>
    </r>
    <r>
      <rPr>
        <rFont val="맑은 고딕"/>
        <color theme="1"/>
        <sz val="11.0"/>
      </rPr>
      <t>「지방자치법」제32조</t>
    </r>
    <r>
      <rPr>
        <rFont val="Tahoma"/>
        <color theme="1"/>
        <sz val="11.0"/>
      </rPr>
      <t>․</t>
    </r>
    <r>
      <rPr>
        <rFont val="맑은 고딕"/>
        <color theme="1"/>
        <sz val="11.0"/>
      </rPr>
      <t>제35조, 「지방자치법시행령」제28조, 「부산광역시법제업무운영규칙① 자치법규 입안
1. 자치법규 입안(주관부서)
2. 사전승인, 규제심사, 부패영향평가(감사담당관) 성별영향평가(여성가족과)
3. 입법예고(20일 이상, 시보, 시 인터넷 홈페이지)
4. 법제심사 의뢰
5. 규칙안 확정보고(부시장) / 법무담당관 협의
6. 조례규칙심의회 상정의뢰
7. 조례규칙심의회 심의</t>
    </r>
    <r>
      <rPr>
        <rFont val="Tahoma"/>
        <color theme="1"/>
        <sz val="11.0"/>
      </rPr>
      <t>․</t>
    </r>
    <r>
      <rPr>
        <rFont val="맑은 고딕"/>
        <color theme="1"/>
        <sz val="11.0"/>
      </rPr>
      <t>의결
8. 사전보고[행안부](공포예정일 15일전)
9. 규칙안 공포</t>
    </r>
  </si>
  <si>
    <t>□ 조례 입법절차
 ○ 시장 발의 ▸「지방자치법」제32조․제35조, 「지방자치법시행령」제28조, 「부산광역시법제업무운영규칙」
 1. 자치법규 입안 (주관부서)
  · 방침결재 : 제정·폐지(시장), 개정(부시장)
 2. 사전승인, 부패영향평가, 성별영향평가, 규제영향 분석(규제 포함시)
  · 부패영향평가(감사담당관)
  · 성별영향평가(여성가족과)
 3. 입법예고(20일 이상, 시보, 시 인터넷 홈페이지)
  · 규제영향분석서 함께 공표
 4. 규제개혁위원회 심의 (규제심사 - 신설·강화)
 5. 법제심사 의뢰(주관부서→법무담당관)
 · 입법이유서, 입법안, 입법예고결과요약서, 비용추계서등 첨부심사 의뢰
 6. 조례규칙심의회심의․의결(재적위원 과반수 찬성)
  · 위원장 시장
  · 위원 31명(부시장, 실·국장)
 7. 시의회 제출(회기 10일전)
 8. 시의회 심의․의결(상임위 및 본회의)
 9. 조례안 이송(의결 후 5일 이내)
 10. 조례안 사전보고(이송후5일이내, 행안부)
 11. 조례규칙심의회(시의회 수정가결時)
 12. 조례안 공포(이송 후 20일 이내)
 ○ 의원 발의 ▸「지방자치법」제32조․제35조, 「지방자치법시행령」제28조, 「부산광역시법제업무운영규칙」
 1. 조례안 입안(입법정책담당관 지원) 
 2. 조례안 발의(재적의원 1/5 또는10명이상) 
 3. 소관 상임위 배부
 4. 상임위 조례안 심의(입법예고 5일 이상)
 5. 본회의 심의․의결(재적의원 과반수 출석, 출석의원 과반수 찬성)
 6. 조례안 이송(의결 후 5일 이내)
 7. 조례안 사전보고(이송 후 5일 이내, 행안부)
 8. 조례규칙심의회(재의여부 심의)
 9. 조례안 공포(이송 후 20일 이내)
 □ 규칙 입법절차
 ▸「지방자치법」제32조․제35조, 「지방자치법시행령」제28조, 「부산광역시법제업무운영규칙① 자치법규 입안
 1. 자치법규 입안(주관부서)
 2. 사전승인, 규제심사, 부패영향평가(감사담당관) 성별영향평가(여성가족과)
 3. 입법예고(20일 이상, 시보, 시 인터넷 홈페이지)
 4. 법제심사 의뢰
 5. 규칙안 확정보고(부시장) / 법무담당관 협의
 6. 조례규칙심의회 상정의뢰
 7. 조례규칙심의회 심의․의결
 8. 사전보고[행안부](공포예정일 15일전)
 9. 규칙안 공포</t>
  </si>
  <si>
    <t>92_2501_법무담당관_업무매뉴얼_법무담당관_자치법규_입법절차_등.pdf</t>
  </si>
  <si>
    <t>1. 자치법규 입법절차
 □ 조례 입법절차
 ○ 시장 발의 ▸「지방자치법」제32조․제35조, 「지방자치법 시행령」제28조, 「부산광역시 법제업무 운영규칙」① 자치법규 입안
 (주관부서) ⇒
 ② 사전승인, 부패영향평가, 성별영향평가, 규제영향 분석(규제 포함시), ⇒
 ③ 입법예고
 (20일 이상, 시보, 시 인터넷 홈페이지) ⇒· 방침결재 : 제정·폐지(시장) 개정(부시장) · 부패영향평가(감사담당관) 성별영향평가 여성가족과 · 규제영향분석서 함께 공표
 규제개혁위원회 심의
 (규제심사 - 신설·강화) ⇒
 ④ 법제심사 의뢰
 (주관부서→법무담당관) ⇒ ⑤ 조례규칙심의회심의․의결(재적위원 과반수 찬성) ⇒· 입법이유서, 입법안, 입법예고결과 요약서, 비용추계서 등 첨부 심사 의뢰 · 위원장 시장 위원 31명(부시장, 실·국장)
 ⑥ 시의회 제출
 (회기 10일전) ⇒ ⑦ 시의회 심의․의결
 (상임위 및 본회의) ⇒ ⑧ 조례안 이송
 (의결 후 5일 이내) ⇒⑨ 조례안 사전보고
 (이송 후 5일 이내, 행안부) ⇒ �� 조례규칙심의회
 (시의회 수정가결時) ⇒ ⑪ 조례안 공포
 (이송 후 20일 이내)
 ○ 의원 발의 ▸「지방자치법」제32조․제35조, 「지방자치법 시행령」제28조, 「부산광역시 법제업무 운영규칙」□ 규칙 입법절차 ▸「지방자치법」제32조․제35조, 「지방자치법 시행령」제28조, 「부산광역시법제업무 운영규칙」① 조례안 입안
 (입법정책담당관 지원) ⇒ ② 조례안 발의
 (재적의원 1/5 또는 10명 이상) ⇒ ③ 소관 상임위 배부⇒④ 상임위 조례안 심의
 (입법예고 5일 이상) ⇒
 ⑤ 본회의 심의․의결
 (재적의원 과반수 출석, 출석의원 찬성) ⇒ ⑥ 조례안 이송
 (의결 후 5일 이내) ⇒⑦ 조례안 사전보고
 (이송 후 5일 이내, 행안부) ⇒ ⑧ 조례규칙심의회
 (재의여부 심의) ⇒ ⑨ 조례안 공포
 (이송 후 20일 이내)
 ① 자치법규 입안
 (주관부서) ⇒
 ② 사전승인, 규제심사,
 부패영향평가(감사담당관)
 성별영향평가(여성가족과)
 ⇒
 ③ 입법예고
 (20일 이상, 시보, 시 인터넷 홈페이지) ⇒④ 법제심사 의뢰 ⇒
 ⑤ 규칙안 확정보고 (부시장) / 법무담당관 협의
 ⇒ ⑥ 조례규칙심의회 상정의뢰 ⇒⑦ 조례규칙심의회
 심의․의결 ⇒ ⑧ 사전보고[행안부] (공포예정일 15일전) ⇒ ⑨ 규칙안 공포</t>
  </si>
  <si>
    <r>
      <rPr>
        <rFont val="Malgun Gothic"/>
        <color rgb="FF000000"/>
        <sz val="11.0"/>
      </rPr>
      <t xml:space="preserve">조례 입법 절차, 조례 제정 절차, 조례 개정 절차, 조례 제정 개정 행정 절차 가이드라인, 조례 제정 기한, 조례 제정 관련 의회 제출 전 법무담당관 협의 내용
</t>
    </r>
    <r>
      <rPr>
        <rFont val="Malgun Gothic"/>
        <color rgb="FFFF0000"/>
        <sz val="11.0"/>
      </rPr>
      <t>질문 변경시 검색됨 =&gt; 조례 제정 및 개정 입법 절차는?</t>
    </r>
  </si>
  <si>
    <t>SQG012</t>
  </si>
  <si>
    <t>[RAG 청크 내용 확인 필요]</t>
  </si>
  <si>
    <t>캐비닛 등 물품 파손 시 어디까지 수리해주시나요?</t>
  </si>
  <si>
    <t>사무실에서 캐비닛 등 집기류가 파손된 경우, 내부 물품관리 규정에 따라 지원받을 수 있는 수리 범위와 담당 부서의 처리 기준은 무엇인가요?</t>
  </si>
  <si>
    <t>부산시청 캐비닛 등 물품 파손 시, 수리 범위는 물품의 중요도와 사용 목적, 파손 정도에 따라 결정됩니다.
관련내용은 다음과 같습니다.
중요도와 사용 목적: 중요한 물품이나 자주 사용하는 물품의 경우, 최대한 원래 상태로 복구하는 것이 원칙입니다.
파손 정도: 경미한 파손의 경우 간단한 수리나 부품 교체로 가능하지만, 심각한 파손의 경우 전문가의 도움을 받아 수리하거나 교체해야 할 수 있습니다.
예산: 수리 비용과 교체 비용이 예산 내에서 가능한지 여부도 고려됩니다. 예산이 부족할 경우, 우선순위에 따라 수리가 진행될 수 있습니다.
이러한 기준에 따라 부산시청에서는 캐비닛 등 물품의 수리 범위를 결정하고, 필요한 조치를 취하게 됩니다.</t>
  </si>
  <si>
    <t>해당 내용도 세외수입 부과 후 질의와 동일합니다.</t>
  </si>
  <si>
    <t>행정전화기 사용방법을 모르겠습니다</t>
  </si>
  <si>
    <t>행정전화기의 기본 기능(걸기·받기·보류·호전환 등)과 사용 절차를 단계별로 설명해줄 수 있나요?</t>
  </si>
  <si>
    <t>부산시청에서 사용 가능한 행정전화기의 사용 방법은 다음과 같습니다.
전화 걸기: 부산시청의 대표 전화번호는 051-888-1000입니다. 이 번호로 전화를 걸어 안내원의 안내를 받거나 원하는 부서로 연결할 수 있습니다.
내선 번호 이용: 부산시청 내부의 특정 부서로 직접 연결하고 싶다면, 안내원의 안내를 받아 내선 번호를 입력하면 됩니다. 예를 들어, 기획조정실과 같은 특정 부서로 연결하고 싶다면, 안내원에게 해당 부서의 내선 번호를 요청하고 그 번호를 입력하면 됩니다.
단축번호 사용: 자주 사용하는 부서의 경우 단축번호를 설정하여 빠르게 연결할 수 있습니다. 이는 사용자 편의를 위해 설정된 기능입니다.
안내원 연결: 안내원과의 연결을 원할 경우, 안내원 번호를 요청하여 연결할 수 있습니다. 안내원은 다양한 부서와 연결을 도와줄 수 있습니다.
이러한 방법을 통해 부산시청의 행정전화기를 보다 효율적으로 사용할 수 있습니다.</t>
  </si>
  <si>
    <t xml:space="preserve">행정전화 사용방법에 대한 매뉴얼이 없습니다.
대표 번호는 051-120 으로 오류입니다.
출장 시간 계산 하는 질의문 비고란의 염려대로 
근거 문서가 없을 경우에 답변 내용이 틀리게 나올 가능성이 있습니다. </t>
  </si>
  <si>
    <t>e호조 (과장/팀장/지출담당자) 권한신청 어떻게 하면 되나요?</t>
  </si>
  <si>
    <t>e호조(지방재정시스템)시스템을 사용하기 위해 과장, 팀장, 지출담당자 권한을 신규로 신청하거나 변경할 때, 내부 승인 절차와 필요 서류는 무엇인가요?</t>
  </si>
  <si>
    <t>부산광역시청에서 e호조 권한을 신청하는 절차는 다음과 같습니다.
권한 신청서 작성: 권한 신청서를 작성합니다. 신청서에는 신청자의 이름, 부서명, 직급, 연락처 등이 포함되어야 합니다.
신청서 제출: 작성한 신청서를 부산광역시청의 e호조 담당 부서에 제출합니다. 제출 방법은 이메일, 우편, 방문 등이 있을 수 있습니다.
권한 승인 검토: e호조 담당 부서에서 신청서를 검토하고 승인 여부를 결정합니다. 이 과정에서 추가 서류 제출이 요구될 수 있습니다.
권한 부여: 승인이 완료되면 신청자에게 e호조 권한이 부여됩니다. 권한 부여 결과는 이메일 또는 문자 메시지로 통보됩니다.
권한 사용: e호조 권한을 부여받은 후, 해당 권한을 사용하여 업무를 수행할 수 있습니다.
이 절차는 부산광역시청의 내부 정책이나 시스템 변경에 따라 달라질 수 있으므로, 정확한 절차는 부산광역시청의 e호조 담당 부서에 문의하는 것이 좋습니다.</t>
  </si>
  <si>
    <t>관련 근거 문서가 없기 때문에 일반적인 답변이 나와야 합니다.
해당 부서에 문의하는것이 좋다고 나오는 답변이 나오는건 좋습니다.
일반적인 외부 민원일 경우에는 우편, 방문 등이 있지만 내부 민원은 우편, 방문 등으로 처리하진 않습니다.</t>
  </si>
  <si>
    <t>구군에서 전입오고 처음으로 정보공개청구포털에 로그인하려니 안되는데, 어떻게 해야 하나요?</t>
  </si>
  <si>
    <t>구·군에서 전입한 공무원이 정보공개청구 포털을 처음 이용하려고 로그인할 때, 로그인 실패가 발생하는 경우 계정 활성화 및 초기 접속을 정상화하는 방법은 무엇인가요?</t>
  </si>
  <si>
    <t>부산광역시 정보공개청구포털 로그인 문제 해결 방법은 다음과 같습니다.
인터넷 브라우저 캐시 및 쿠키 삭제: 캐시와 쿠키를 삭제한 후 다시 로그인 시도합니다.
인터넷 브라우저 업데이트: 사용 중인 인터넷 브라우저가 최신 버전인지 확인하고, 최신 버전으로 업데이트합니다.
다른 브라우저 사용: 다른 인터넷 브라우저를 사용하여 로그인 시도합니다.
팝업 차단 해제: 브라우저의 팝업 차단 기능을 해제한 후 다시 로그인 시도합니다.
보안 소프트웨어 확인: 백신 프로그램이나 보안 소프트웨어가 로그인 화면을 차단하고 있는지 확인하고, 필요한 경우 일시적으로 비활성화한 후 다시 로그인 시도합니다.
비밀번호 재설정: 비밀번호가 올바르게 입력되었는지 확인하고, 비밀번호가 길거나 복잡한 경우 비밀번호를 재설정합니다.
고객센터 문의: 위의 방법으로도 해결되지 않는 경우, 부산광역시 정보공개청구포털 고객센터에 문의하여 도움을 받습니다.
이러한 단계를 통해 문제를 해결할 수 있습니다. 만약 문제가 지속된다면, 고객센터에 문의하여 보다 구체적인 도움을 받는 것이 좋습니다.</t>
  </si>
  <si>
    <t xml:space="preserve">통합민원과의 행정안전부_정보공개운영안내서 219p에 일반적인 정보공개시스템 접속 방법에 대한 안내가 나와있습니다.
오류 상황에 대한 안내가 없으므로 해당 내용을 활용하여 일반적인 답변이 나오면 될 거 같습니다.
</t>
  </si>
  <si>
    <t>기대답변 :
 정보공개청구포털에 로그인할 수 없는 경우, 다음과 같은 절차를 통해 해결할 수 있습니다
 1. 공동인증서 로그인
  - 인터넷망(iadmin.open.go.kr)에서 행정전자서명(GPKI), 교육부 인증서(EPKI), 공동인증서(NPKI)로 로그인 가능합니다.
  - 행정망(admin.open.go.kr)에서는 행정전자서명(GPKI)으로만 로그인 가능합니다.
 2. 사용자 신청 및 공동인증서 등록
  - 신규 사용자의 경우, 사용자 신청 후 해당 기관 관리자로부터 승인을 받아야 합니다.
  - 승인 후 인증서를 등록하여 사용합니다.
  - 사전에 접수처 등록이 되어 있어야 사용자 신청이 가능합니다.
  - 인증서 로그인 프로그램이 제대로 설치되지 않은 경우, 수동 설치를 진행합니다.
 3. 신규 접수처 등록
  - 신규 접수처 등록신청서를 작성하여 온라인으로 신청하고, 승인 후 사용합니다.
 4. 아이디/비밀번호 확인
  - 기존에 사용 중인 아이디와 비밀번호를 분실한 경우, 기관 관리자에게 아이디 확인 및 비밀번호 초기화를 요청합니다.
 이 절차를 따라 문제를 해결할 수 있습니다.</t>
  </si>
  <si>
    <t>424_2108_통합민원과_업무매뉴얼_행정안전부_정보공개운영안내서.pdf</t>
  </si>
  <si>
    <t>219, 220</t>
  </si>
  <si>
    <t>4. 정보공개시스템 접속
 공무원 및 공공기관 담당자가 정보공개시스템에 접속하여 사용자 등록 및 정보공개
 업무처리 전 과정을 수행
 담당자 : 정보공개관리자 및 모든 사용자
 메 뉴 : 정보공개시스템 초기화면
 공무원창구 초기 화면
 처리절차
 1) 공동인증서 로그인(화면 ➊) ∙ 인터넷망 : iadmin.open.go.kr - 행정전자서명(GPKI), 교육부 인증서(EPKI),
  공동인증서(NPKI) 모두 가능함
 ∙ 행 정 망 : admin.open.go.kr - 행정전자서명(GPKI)
 2) 사용자 신청 및 공동인증서 등록(화면 ➋) ∙ 신규 사용자인 경우에는 사용자 신청 후 해당 기관 관리자로부터 승인을
 받고, 인증서 등록 후 사용
  ※ 사전에 접수처 등록이 되어 있어야 사용자 신청 가능
  ※ 인증서 로그인 프로그램이 제대로 설치되지 않을 경우에는 수동설치
  ※ 직급 조회 시 해당 직급이 없는 경우(공공기관)에는 유사 직급 선택 
 3) 신규 접수처 등록(화면 ❸) ∙ 신규 접수처 등록신청서를 작성하여 온라인으로 신청, 승인 후 사용103 아이디/비밀번호 확인 방법
 . 기존에 사용 중인 아이디와 비밀번호를 분실한 경우, 기관 관리자에게 아이디 확인
 및 비밀번호 초기화를 요청하시면 됩니다.</t>
  </si>
  <si>
    <t>정보공개시스템 로그인 및 접속 불가시 대처 방법, 구군 전입 이후 정보공개청구포털 로그인 실패 상황에 대한 해결 방법 및 대처 방안</t>
  </si>
  <si>
    <t>인건비 편성할 때 정원, 현원 중 어떤 기준으로 산출해야 하는지 알려주세요</t>
  </si>
  <si>
    <t>인건비를 편성할 때, 내부 회계·인사 규정에 따라 정원 기준과 현원 기준 중 어느 기준을 적용하여 산출해야 하는지, 그리고 그 적용 기준과 산출 방법은 무엇인가요?</t>
  </si>
  <si>
    <t>부산광역시에서 인건비를 편성할 때는 정원 기준으로 산출해야 합니다. 이는 예산편성의 기준이 되는 정원은 현원 대비 결원율 5%를 초과할 수 없기 때문입니다. 따라서, 정원이 100명이고 현원이 95명일 경우 인건비는 95명을 기준으로 편성하며, 정원이 100명이고 현원이 105명일 경우 인건비는 100명을 기준으로 편성합니다.</t>
  </si>
  <si>
    <t>ㆍ41_2306_공공하수인프라과_업무매뉴얼_행정안전부_2024년도_지방공기업_예산편성기준.pdf (p.64)
https://busanai.busan.go.kr/download/41_2306_공공하수인프라과_업무매뉴얼_행정안전부_2024년도_지방공기업_예산편성기준.pdf</t>
  </si>
  <si>
    <t>관련 근거 규정이 잘못되었습니다. 
예산담당관에서 제출한 행정안전부 2025년 지방자치단체 예산편성 운영기준 및 기금웅용계획 수립기준 99P에 
예산편성 당시의 정원 또는 현월을 기준으로 편성이라는 답변 내용이 있습니다.</t>
  </si>
  <si>
    <t>기대답변 :
 세출예산 성질별 분류에 따라 인건비 편성 시, 정원 또는 현원을 기준으로 산출해야 합니다.</t>
  </si>
  <si>
    <t>212_2407_예산담당관_업무매뉴얼_행정안전부_2025년도_지방자치단체_예산편성_운영기준_및_기금운용계획_수립기준.pdf</t>
  </si>
  <si>
    <t>99</t>
  </si>
  <si>
    <t>별표 11 세출예산 성질별 분류(목그룹 ․ 편성목 ․ 통계목)
 그룹 편 성 목 설 정 ( 통 계 목 포 함 ) 비고100 인건비
 101 인건비 01. 보수
 1. 기본급
 1) 「공무원 보수규정」 제5조, 「지방공무원 보수규정」 제4조
 및 32조에 의한 공무원(「공무원임용령」 제3조의2제1호 및
 「지방공무원 임용령」제3조의2제1호에 따른 일반임기제
 공무원을 포함한다.) 봉급
 가. 예산편성 당시의 정원 또는 현원을 기준으로 편성
 나. 각 지방자치단체별로 ‘직급별 평균호봉’을 산정 편성
 다. 조직 및 기능개편에 따른 변동사항을 반영하여 2024년도
 보수표를 기준으로 편성
 2) 「공무원 보수규정」 제5조, 「지방공무원 보수규정」 제4조에
 따른 봉급을 지급받는 각종 공무원에게 「공무원수당 등에
 관한 규정」 제7조, 「지방공무원 수당 등에 관한 규정」
 제6조에 따라 지급
 가. 정근수당 : 연2회 계상
 2. 수당
 1) 「공무원 보수 등의 업무지침」 및 「지방공무원 보수업무 등
 처리지침」에 따라 편성
 3. 정액급식비
 1) 「공무원 보수 등의 업무지침」 및 「지방공무원보수업무 등
 처리지침」에 따라 편성
 4. 명절휴가비
 1) 「공무원 보수 등의 업무지침」 및 「지방공무원보수업무 등
 처리지침」에 따라 편성
 5. 연가보상비
 1) 「공무원 보수 등의 업무지침」 및 「지방공무원보수업무 등
 처리지침」에 따라 편성
 6. 성과상여금
 1) 「공무원수당 등에 관한 규정」 제7조의2 및 「지방공무원
 수당 등에 관한 규정」 제6조의2에 따른 성과상여금
 7. 직급보조비
 1) 직책수행을 위해 직급에 따라 월정액으로 지급하는 경비
 2) 예산편성 : 직급보조비의 지급대상, 지급액, 지급방법 등은
 「공무원수당 등에 관한 규정」 및 「지방공무원 수당 등에
 관한 규정」 에 따름
 02. 기타직 보수
 1. 「국가공무원법」 및 「공무원임용령」 제3조의2, 「지방공무원법」 및
 「지방공무원 임용령」 제3조의2에 의하여 채용하는 직원에 대한
 보수(상여금수당 포함, 이하 같음) 다만, 「국가공무원법」 및
 「공무원임용령」 제3조의2제1호, 「지방공무원법」 및 「지방
 공무원 임용령」 제3조의2제1호에 따른 일반임기제공무원은
 제외한다.</t>
  </si>
  <si>
    <t>인건비 편성 시 정원, 현원 기준 산출 안내</t>
  </si>
  <si>
    <t xml:space="preserve">[범위가 명확하지 않아 질문에 대한 답변 이슈가 다양하게 해석될 수 있을 것으로 예상됨]
</t>
  </si>
  <si>
    <t>행정전화기 사용 매뉴얼 알려주세요</t>
  </si>
  <si>
    <t>행정전화기의 기능(발신, 수신, 보류, 전환 등)과 관련 내부 지침에 따른 올바른 사용 방법을 단계별로 안내하는 공식 매뉴얼이나 안내 자료는 무엇이며, 확인·열람 방법은 어떻게 되나요?</t>
  </si>
  <si>
    <t>부산광역시청에서 사용 가능한 행정전화기 사용 매뉴얼은 다음과 같습니다.
전화번호: 051-120
운영 시간: 월요일부터 금요일까지 오전 9시부터 오후 6시까지
러시아어 상담 가능: 051-120
우즈베크어 상담 가능: 051-120
찾아오시는 길: 부산광역시 연제구 중앙대로 1001 부산시청 2층 120바로콜센터
지하철 이용: 시청역 1, 3, 5번 출구
버스 이용: 29, 86, 87, 99, 106, 106(심야), 110-1, 179</t>
  </si>
  <si>
    <t>ㆍ119_찾아오시는길_부산민원120.pdf (p.1)
https://busanai.busan.go.kr/download/119_찾아오시는길_부산민원120.pdf
ㆍ94_외국어상담Foreign_Language_Services_부산민원120.pdf (p.2)
https://busanai.busan.go.kr/download/94_외국어상담Foreign_Language_Services_부산민원120.pdf</t>
  </si>
  <si>
    <t>120 콜센터와 행정전화는 연관이 없는데 잘못 나오고 있습니다.
120 콜센터는 외부 민원에 대한 콜센터이고 행정전화는 내부직원들이 사용하는 전화기입니다.</t>
  </si>
  <si>
    <t>30일 이상 장기 휴가 시 미지급해야할 수당이 뭐가 있나요?</t>
  </si>
  <si>
    <t>부산광역시 소속 공무원이 30일 이상 장기 휴가를 사용할 경우, 지방공무원 보수·수당 관련 내부 규정에서 지급되지 않거나 제한되는 수당 항목과 그 적용 기준은 무엇인가요?</t>
  </si>
  <si>
    <t>부산광역시청에서 30일 이상 장기 휴가를 사용하는 경우, 미지급해야 할 수당은 위원회 참석수당, 심사수당, 일·숙직수당, 시험수당 등이 있습니다.
관련내용은 다음과 같습니다.
위원회 참석수당: 공무원이 소속된 자치단체에 설치된 위원회에 참여하는 경우에는 다른 법령에 특별한 규정이 없는 한 위원회 참석수당을 지급하지 않습니다. 따라서 장기 휴가 중인 공무원은 위원회 참석수당을 받을 수 없습니다.
심사수당: 심사안건 1건당 지급되는 수당으로, 최대 300,000원까지 지급될 수 있습니다. 하지만 장기 휴가 중인 경우에는 이 수당을 지급하지 않습니다.
일·숙직수당: 1일(야)당 지급되는 수당으로, 재택근무의 경우 30,000원 한도로 지급됩니다. 장기 휴가 중인 경우에는 이 수당을 지급하지 않습니다.
시험수당: 부산광역시 시험수당 지급 조례에 따라 지급되는 수당으로, 공무원이 소속된 자치단체에 설치된 위원회에 참여하는 경우에는 지급되지 않습니다.
이러한 수당들은 장기 휴가 중인 공무원이 해당되지 않습니다.</t>
  </si>
  <si>
    <t>ㆍ52679_공고문안-hwp.pdf (p.25)
https://busanai.busan.go.kr/download/52679_공고문안-hwp.pdf
ㆍ52677_사업_신청서류2025_인형극-hwp.pdf (p.11)
https://busanai.busan.go.kr/download/52677_사업_신청서류2025_인형극-hwp.pdf
ㆍ35523_2025년도_부산광역시_시험수당_지급기준_공고2025-535-hwp.pdf (p.1)
https://busanai.busan.go.kr/download/35523_2025년도_부산광역시_시험수당_지급기준_공고2025-535-hwp.pdf</t>
  </si>
  <si>
    <t>공무원 보수 관련 수당과 위원회 참석 수당, 심사수당, 시험수당, 일숙직 수당은 전혀 관련이 없습니다
해당 질의는 공무원 보수 관련 수당(정근수당, 식비, 관리업무수당 등)에 관한 질의입니다.
해당 내용은 정확한 내용이 나와있지 않고(해당 질문이랑 동일한 질문 내용이 없음)
예산담당관에서 제출한 행정안전부 지방공무원보수업무 처리지침에 관련 내용이 파편적으로 명시되어 있습니다.</t>
  </si>
  <si>
    <t>(공사,용역,물품) 계약 시 필요한 서류가 뭐가 있는지 알려주세요</t>
  </si>
  <si>
    <t>공사, 용역, 물품 계약을 체결할 때, 관련 내부 규정과 절차에 따라 계약 신청·승인·체결을 위해 반드시 제출해야 하는 서류와 작성 요건은 무엇인가요?</t>
  </si>
  <si>
    <r>
      <rPr>
        <rFont val="Malgun Gothic"/>
        <color theme="1"/>
        <sz val="11.0"/>
      </rPr>
      <t>공사, 용역, 물품 계약 시 필요한 서류는 적격심사 신청서, 적격심사 자기평가와 심사표, 공사</t>
    </r>
    <r>
      <rPr>
        <rFont val="Yu Gothic"/>
        <color theme="1"/>
        <sz val="11.0"/>
      </rPr>
      <t>･</t>
    </r>
    <r>
      <rPr>
        <rFont val="맑은 고딕"/>
        <color theme="1"/>
        <sz val="11.0"/>
      </rPr>
      <t>용역</t>
    </r>
    <r>
      <rPr>
        <rFont val="Yu Gothic"/>
        <color theme="1"/>
        <sz val="11.0"/>
      </rPr>
      <t>･</t>
    </r>
    <r>
      <rPr>
        <rFont val="맑은 고딕"/>
        <color theme="1"/>
        <sz val="11.0"/>
      </rPr>
      <t>물품의 세부 평가에 필요한 서류, 신용평가등급 확인서, 직접생산 확인서, 중소기업</t>
    </r>
    <r>
      <rPr>
        <rFont val="Yu Gothic"/>
        <color theme="1"/>
        <sz val="11.0"/>
      </rPr>
      <t>･</t>
    </r>
    <r>
      <rPr>
        <rFont val="맑은 고딕"/>
        <color theme="1"/>
        <sz val="11.0"/>
      </rPr>
      <t>소상공인 확인서, 여성기업 확인서, 장애인기업 확인서, 창업기업 확인서 등이 있습니다.
관련내용은 다음과 같습니다.
적격심사 신청서 1부
적격심사 자기평가와 심사표 1부
공사</t>
    </r>
    <r>
      <rPr>
        <rFont val="Yu Gothic"/>
        <color theme="1"/>
        <sz val="11.0"/>
      </rPr>
      <t>･</t>
    </r>
    <r>
      <rPr>
        <rFont val="맑은 고딕"/>
        <color theme="1"/>
        <sz val="11.0"/>
      </rPr>
      <t>용역</t>
    </r>
    <r>
      <rPr>
        <rFont val="Yu Gothic"/>
        <color theme="1"/>
        <sz val="11.0"/>
      </rPr>
      <t>･</t>
    </r>
    <r>
      <rPr>
        <rFont val="맑은 고딕"/>
        <color theme="1"/>
        <sz val="11.0"/>
      </rPr>
      <t>물품의 세부 평가에 필요한 서류 일체 및 그 밖에 낙찰자 결정을 위해 계약담당자가 요구한 서류
공사: 신인도평가자료(각서, 세부기준 별지 제1호 서식), 하도급 관리계획 등의 적정성 평가 자료(각서, 세부기준 별표 1 “3”)
용역: 용역이행실적증명서(필요시, 세부기준 별지 제4호 서식), 재무제표 또는 신용평가등급 확인서, 그 밖의 제출서류(세부기준 별지 제11호 서식)
물품: 물품 이행실적 증명서(필요시, 세부기준 별지 제3호 서식), 신용평가 등급 확인서, 그 밖의 제출서류(세부기준 별지 제4호 서식)
"3"에도 불구하고 계약담당자는 심사서류 중 평가내용이 동일한 자료와 신용평가등급 확인서, 직접생산 확인서, 중소기업</t>
    </r>
    <r>
      <rPr>
        <rFont val="Yu Gothic"/>
        <color theme="1"/>
        <sz val="11.0"/>
      </rPr>
      <t>･</t>
    </r>
    <r>
      <rPr>
        <rFont val="맑은 고딕"/>
        <color theme="1"/>
        <sz val="11.0"/>
      </rPr>
      <t>소상공인 확인서, 여성기업 확인서, 장애인기업 확인서, 창업기업 확인서를 「전자정부법」제37조에 따른 행정정보 공동이용센터 또는 조달청 국가종합전자조달시스템(조달청 신용평가등급 조회시스템)이나 “중소기업제품 공공구매 종합정보망(www.smpp.go.kr)을 통하여 확인할 수 있습니다.</t>
    </r>
  </si>
  <si>
    <t>ㆍ465_2303_회계재산담당관_법령_한국지방재정공제회_지방계약법령집_제권예규_및_고시.pdf (p.426)
https://busanai.busan.go.kr/download/465_2303_회계재산담당관_법령_한국지방재정공제회_지방계약법령집_제권예규_및_고시.pdf
ㆍ470_2407_회계재산담당관_법령_행정안전부_지방자치단체_입찰시_낙찰자_결정기준_00.pdf (p.64)
https://busanai.busan.go.kr/download/470_2407_회계재산담당관_법령_행정안전부_지방자치단체_입찰시_낙찰자_결정기준_00.pdf</t>
  </si>
  <si>
    <t>해당 자료도 활용이 가능하지만
회계재산담당관에서 제출한 2025년 계약업무 통합운영 매뉴얼에 관련된 내용이
더 명확하게 명시되어 있습니다.
해당 답변은 적격심사라는 계약 과정중에 필요한 일부 과정에 대한 내용만 포함되어 있어서
할루시네이션이라고 보시면 됩니다.</t>
  </si>
  <si>
    <t>기대답변 :
 ○ 계약문서의 종류
 1) 품의서· 계획서
 2) 계약서(계약당사자간 상호 날인· 간인)
 3) 입찰유의서, 계약일반조건, 계약특수조건(필요시)
 4) 설계서(설계설명서, 설계도면, 현장설명서), 규격서(물품)
 5) 물량내역서(입찰· 수의계약안내공고의 경우)
 6) 과업내용서․ 과업지시서(용역․물품 등)
 6) 착공· 준공신고서, 공정예정표, 산출내역서 등
 7) 감독관, 검사· 검수공무원이 지정하는 서류, 감독조서, 검사· 검수조서 등
 8) 입찰· 계약· 하자· 선금 보증서(계약기간· 보증기간· 보증금액 등 확인)
 9) 정부수입인지(인지세법)
 10) 지역개발공채 매입필증 등(지역개발기금설치조례 등)
 11) 하도급계약서 사본(하도급계약 통지의 경우)
 12) 하도급대금 직불합의서(하도급대금 직불의 경우)
 13) 공동계약이행계획서(공동계약의 경우)
 14) 그 밖의 계약이행에 필요한 서류</t>
  </si>
  <si>
    <t>10</t>
  </si>
  <si>
    <t>○ 계약문서의 종류
 1) 품의서· 계획서
 2) 계약서(계약당사자간 상호 날인· 간인)
 3) 입찰유의서, 계약일반조건, 계약특수조건(필요시)
 4) 설계서(설계설명서, 설계도면, 현장설명서), 규격서(물품)
 5) 물량내역서(입찰· 수의계약안내공고의 경우)
 6) 과업내용서․ 과업지시서(용역․물품 등)
 6) 착공· 준공신고서, 공정예정표, 산출내역서 등
 7) 감독관, 검사· 검수공무원이 지정하는 서류, 감독조서, 검사· 검수조서 등
 8) 입찰· 계약· 하자· 선금 보증서(계약기간· 보증기간· 보증금액 등 확인)
 9) 정부수입인지(인지세법)
 10) 지역개발공채 매입필증 등(지역개발기금설치조례 등)
 11) 하도급계약서 사본(하도급계약 통지의 경우)
 12) 하도급대금 직불합의서(하도급대금 직불의 경우)
 13) 공동계약이행계획서(공동계약의 경우)
 14) 그 밖의 계약이행에 필요한 서류</t>
  </si>
  <si>
    <t>온나라 접수 문서를 부서원들도 열람할 수 없도록 하는 방법을 알려주세요</t>
  </si>
  <si>
    <t>온나라 시스템에 접수된 문서를 특정 부서원들이 열람하지 못하도록 권한을 제한하려는 경우, 내부 규정과 시스템 설정에 따라 권한 관리·접근 제한을 적용하는 방법은 무엇인가요?</t>
  </si>
  <si>
    <t xml:space="preserve">온나라 접수 문서를 부서원들도 열람할 수 없도록 설정하는 방법은 다음과 같습니다.
1. 온나라 시스템 접속: 온나라 시스템에 접속합니다.
2. 문서 관리: 문서 관리 메뉴로 이동합니다.
3. 문서 설정: 문서 설정 메뉴에서 해당 문서의 열람 권한을 설정합니다.
4. 열람 권한 제한: 해당 문서의 열람 권한을 "부서원"에서 "기타"로 변경하거나, "기타"에서 "열람 불가"로 설정합니다.
5. 저장 및 확인: 설정을 저장하고 변경 사항을 확인합니다.
이 과정을 통해 해당 문서를 부서원들이 열람할 수 없도록 설정할 수 있습니다. </t>
  </si>
  <si>
    <t>해당 정보에 대한 매뉴얼이 없으므로 자세한 내용을 써주는것보다는
두루뭉실하게 표현한 뒤 업무 담당자에게 문의해봐야 한다는 답변이 필요할 것으로 보입니다.
실제 답변 : 접수 문서의 경우 열람범위를 수정할 수는 없습니다. 자세한 사항은 온나라 문서 업무 담당자에게 문의하시기 바랍니다.</t>
  </si>
  <si>
    <t>기대답변 :
 문서관리카드[시행정보, 관리정보] - 열람범위 - 열람불가 설정 시 보고경로자, 공유/공람자, 과제담당자, 문서과/처리과 문서담당자, 시스템관리자만 열람 가능
 열람제한기간-[지정날짜까지] 설정 시 보고경로자, 공유/공람자만 열람가능(접수문서 예외)</t>
  </si>
  <si>
    <t>343_2405_정보화정책과_업무매뉴얼_행정안전부_온나라20_사용자교육자료배포용.pdf</t>
  </si>
  <si>
    <t>33</t>
  </si>
  <si>
    <t>3.6 문서작성 &gt; 문서관리카드 시행정보 · 관리정보
 시행정보 및 자동발송여부 , 관리정보 지정
 •문서공개여부 비공개 ’, 부분공개
 관련법령 을 참고하여 비공개
 근거를 선택하고 사유를 입력
 *공공기관 정보공개에 관한 법률 에 의하여
 지정 통합정보공개시스템으로의 공개여부
 ※문서열람가능자
 •열람범위 열람불가 ]
 보고경로자, 공유 / 공람자 , 과제담당자 ,문서과 / 처리과 문서담당자 , 시스템관리자
 •열람제한기간 지정날짜까지 ]
 보고경로자, 공유 / 공람자만 열람가능접수문서 예외
 ※관리정보 수정 가능자
 기안자, 과제카드관리자 , 시스템관리자</t>
  </si>
  <si>
    <t>온나라 시스템을 통한 접수 문서에 접근을 제한하는 방법입니다.</t>
  </si>
  <si>
    <t>(공사,용역,물품) 계약 선금 신청 및 지급 절차를 알려주세요</t>
  </si>
  <si>
    <t>공사, 용역, 물품 계약과 관련하여 선금 지급을 신청할 경우, 내부 규정과 절차에 따라 신청서 제출, 승인, 지급까지 진행되는 단계별 방법과 주의사항은 무엇인가요?</t>
  </si>
  <si>
    <t>선금 신청 및 지급 절차는 선금 신청, 선금 신청서 검토, 선금 지급 결정, 선금 지급, 선금 사용내역서 제출, 채권 확보입니다.
관련내용은 다음과 같습니다.
선금 신청
계약상대자는 선금을 지급받기 위해 선금 신청서를 발주부서에 제출합니다.
신청서에는 계약금액, 선금 지급 요청 금액, 선금 사용 계획 등이 포함되어야 합니다.
선금 신청서 검토
발주부서는 제출된 선금 신청서를 검토합니다.
검토 과정에서 계약 이행 능력, 선금 사용 계획의 적정성 등을 확인합니다.
선금 지급 결정
발주부서는 검토 결과를 바탕으로 선금 지급 여부를 결정합니다.
원활한 계약 진행을 위해 필요하다고 인정하는 경우 계약상대자의 재무건전성을 확인하기 위한 서류를 요청할 수 있습니다.
선금 지급
선금 지급 결정이 완료되면, 발주기관은 계약상대자에게 선금을 지급합니다.
선금 지급 범위는 계약금액의 100분의 70을 초과하지 않는 범위 내에서 지급됩니다.
선금 사용내역서 제출
선금을 받은 계약상대자는 선금을 전액 사용한 후, 사용 내역을 증빙서류와 함께 발주부서에 제출해야 합니다.
채권 확보
선금 지급일 이전부터 계약이행기간 종료일로부터 60일 이상 보증기간에 해당하는 약정이자 상당액을 보증서로 제출해야 합니다.
이러한 절차를 통해 선금이 적절하게 관리되고, 계약 이행의 보증 및 선금 반환 사유 발생 시 대응할 수 있습니다.</t>
  </si>
  <si>
    <t>ㆍ472_2411_회계재산담당관_업무매뉴얼_한국지방재정공제회_2024년_개정판_물품계약_길라잡이한국지방재정공제회.pdf (p.268)
https://busanai.busan.go.kr/download/472_2411_회계재산담당관_업무매뉴얼_한국지방재정공제회_2024년_개정판_물품계약_길라잡이한국지방재정공제회.pdf</t>
  </si>
  <si>
    <t>선금 신청 및 지급 절차는 선금 신청, 선금 신청서 검토, 선금 지급 결정, 선금 지급, 선금 사용내역서 제출, 채권 확보입니다.
 관련내용은 다음과 같습니다.
 선금 신청
 계약상대자는 선금을 지급받기 위해 선금 신청서를 발주부서에 제출합니다.
 신청서에는 계약금액, 선금 지급 요청 금액, 선금 사용 계획 등이 포함되어야 합니다.
 선금 신청서 검토
 발주부서는 제출된 선금 신청서를 검토합니다.
 검토 과정에서 계약 이행 능력, 선금 사용 계획의 적정성 등을 확인합니다.
 선금 지급 결정
 발주부서는 검토 결과를 바탕으로 선금 지급 여부를 결정합니다.
 원활한 계약 진행을 위해 필요하다고 인정하는 경우 계약상대자의 재무건전성을 확인하기 위한 서류를 요청할 수 있습니다.
 선금 지급
 선금 지급 결정이 완료되면, 발주기관은 계약상대자에게 선금을 지급합니다.
 선금 지급 범위는 계약금액의 100분의 70을 초과하지 않는 범위 내에서 지급됩니다.
 선금 사용내역서 제출
 선금을 받은 계약상대자는 선금을 전액 사용한 후, 사용 내역을 증빙서류와 함께 발주부서에 제출해야 합니다.
 채권 확보
 선금 지급일 이전부터 계약이행기간 종료일로부터 60일 이상 보증기간에 해당하는 약정이자 상당액을 보증서로 제출해야 합니다.
 이러한 절차를 통해 선금이 적절하게 관리되고, 계약 이행의 보증 및 선금 반환 사유 발생 시 대응할 수 있습니다.</t>
  </si>
  <si>
    <t>472_2411_회계재산담당관_업무매뉴얼_한국지방재정공제회_2024년_개정판_물품계약_길라잡이한국지방재정공제회.pdf</t>
  </si>
  <si>
    <t>268, 269</t>
  </si>
  <si>
    <t>제2절 선금의 지급
 ※ 관련규정 : ｢지방계약법｣ 제18조 및 같은 법 시행령 제67조, ｢지방회계법｣ 제35조 및 같은 법
 시행령 제44조
 1. 선금의 신청･지급
 가. 선금의 의의
 ❍ 지방자치단체가 계약상대자의 청구에 따라 지급하는 선금은 계약상대자의 계약이행
 전 또는 기성대가지급 전에 미리 그 대금의 일부를 지급하는 것으로 제조계약에 있어서
 해당 계약의 노임이나 자재구입비, 보험료 등에 우선 충당할 수 있게 하기 위해 계약체결
 후 즉시 지급할 수 있음
 ❍ 선금제도의 실효성을 확보하기 위하여 일정률(30% 이상)은 의무적으로 지급해야 함
 나. 선금의 지 급
 ❍ 지급대상
 - 다음의 ① ~ ③의 요건 모두 충족해야 함
 ① 공사, 물품 제조(구매는 제외) 및 용역계약
 ② 입찰참가자격 제한을 받고 그 제한기간 중에 있지 아니한 경우
 ③ 선금지급일 기준 선금을 지급하려는 회계연도에 기성금 지급 사실이 없는 경우
  ※ 단, 원자재 가격 급등 등 불가피한 사유로 인하여 선금을 지급하지 아니하면 계약이행이 곤란한
 경우는 제외
 ❍ 지급범위
 • 계약금액의 100분의 70을 초과하지 아니하는 범위에서 계약상대자가 신청하는 바에
 따라 지급. 다만, 원활한 계약 진행을 위해 필요하다고 인정하는 경우 계약삼대자의
 재무건정성 등 감안하여 계약금액을 초과하지 않는 금액 지급 가능함.
  ※ 30% 이하로 신청하는 경우는 신청한 바에 따라 지급
  ※ 70% 초과로 신청하고 선금을 지급하기 위해 필요한 경우 계약상대자에게 최근 1개월 이내 신용평가,
 주거래 금융거래 확인서, 채권 압류 없음을 확인하는 각서 등 계약상대자의 재무건전성을 확인하기 위한
 서류 요청 가능</t>
  </si>
  <si>
    <t>(문서 찾아옴, 추가 작업 X)</t>
  </si>
  <si>
    <t>(공사,용역,물품) 계약 시 지역제한임찰 대상 금액을 알려주세요</t>
  </si>
  <si>
    <t>공사, 용역, 물품 계약을 체결할 때, 내부 규정에 따라 지역제한 입찰을 적용해야 하는 금액 기준과 적용 범위는 무엇인가요?</t>
  </si>
  <si>
    <t>지역제한 입찰 대상 금액은 공사, 용역, 물품에 따라 다릅니다.
관련내용은 다음과 같습니다.
공사
종합공사: 100억 원 미만
전문·전기·그 밖의 공사: 10억 원 미만
용역
건설기술용역: 기획재정부장관 고시금액(3.3억 원) 미만(안전진단 및 정밀안전진단용역의 경우 1.5억 원 미만)
건설기술용역 외의 용역 또는 물품의 제조·구매: 광역지자체 행정안전부장관 고시금액(3.5억 원) 미만
물품
추정가격 3.5억 원 미만
이러한 금액 기준은 지방자치단체를 당사자로 하는 계약에 관한 법률 시행규칙 제24조에 근거하여 정해진 것입니다.</t>
  </si>
  <si>
    <t>ㆍ478_2505_회계재산담당관_업무매뉴얼_회계재산담당관_계약업무_참고자료회계재산담당관외부용.pdf (p.10, 14)
https://busanai.busan.go.kr/download/478_2505_회계재산담당관_업무매뉴얼_회계재산담당관_계약업무_참고자료회계재산담당관외부용.pdf
ㆍ47816_최종2025년_사회복지법인시설_업무가이드.pdf (p.123)
https://busanai.busan.go.kr/download/47816_최종2025년_사회복지법인시설_업무가이드.pdf</t>
  </si>
  <si>
    <t>2번째 파일은 오류건입니다
그 외 이상없습니다.</t>
  </si>
  <si>
    <t>지역제한 입찰 대상 금액은 공사, 용역, 물품에 따라 다릅니다.
 관련내용은 다음과 같습니다.
 공사
 종합공사: 100억 원 미만
 전문·전기·그 밖의 공사: 10억 원 미만
 용역
 건설기술용역: 기획재정부장관 고시금액(3.3억 원) 미만(안전진단 및 정밀안전진단용역의 경우 1.5억 원 미만)
 건설기술용역 외의 용역 또는 물품의 제조·구매: 광역지자체 행정안전부장관 고시금액(3.5억 원) 미만
 물품
 추정가격 3.5억 원 미만
 이러한 금액 기준은 지방자치단체를 당사자로 하는 계약에 관한 법률 시행규칙 제24조에 근거하여 정해진 것입니다.</t>
  </si>
  <si>
    <t>10, 14</t>
  </si>
  <si>
    <t>[P.10]
  지역제한입찰 대상
  ▷ 공사 : 종합 100억원미만, 전문·전기·그밖의 공사 10억원미만
  ▷ 건설기술용역 : 기획재정부장관 고시금액[3.3억원] 미만
  (안전진단 및 정밀안전진단용역의 경우 1.5억원미만) ▷ 건설기술용역 외의 용역 또는 물품의 제조․구매
  - 광역지자체 : 행정안전부장관 고시금액[3.5억원] 미만
 ○ 지역의무공동도급
  ▷ 대상 : 추정가격 100억이상 (용역․물품 해당없음) - 국제입찰(265억)△ 외국인참여 시 제외 ▷ 지역업체 의무참여비율 : 원칙 40%, 예외(지역경제활성화) 49%
 ○ 주계약자 공동도급
  ▷ 추정가격 4억원이상 100억원미만 종합공사 중 발주기관이 필요하다고 인정하는 공사 
 [P.14]
 5. 추정가격에 따른 계약방법
 구 분 금액기준 비 고
 수의
 계약
 1인
 견적
 가능
 공사
 용역
 물품
 ▸2천만원 이하
 ※ 여성,장애인기업 등: 5천만원 이하
 ▸견적제출 : 수기제출
 ※ 2백만원 이상 1인견적 수의계약 요청시 수의계약요청사유서 첨부 (부산시 지침)
 2인
 이상
 견적
 공사
 ▸종합공사: 2천만원~4억원 이하
 ▸전문공사: 2천만원~2억원 이하
 ▸기타공사: 2천만원~1.6억원 이하
 ▸견적제출 : 나라장터(g2b) [전자수의(견적입찰)]
 ※ 안내공고 상 참가자격요건을 갖춘
 업체는 제한없이 견적서 제출할수 있어서 경쟁입찰과 유사
 용역
 물품
 ▸2천만원~1억원 이하
 지역
 제한
 공사
 ▸종합공사: 100억원 미만
 ▸전문공사: 10억원 미만
 ▸기타공사: 10억원 미만
 ※ 지역제한 불가시 사전검토
  절차 이행(부산시 지침)
  ① 감사관 사전컨설팅 감사신청 ② 지역제한 불가 명백한 사유 有 ⇒ 회계재산담당관 사전검토 후 전국입찰 시행
 ※ 사전 컨설팅감사 제외
  - 지역내 1개 업체, 해당업체 부재,
  타행정구역 내 청사위치 등 지역제한
  입찰 미적용 사유가 뚜렷한 사항
  및 관계법규 등에 명백히 시행
  할수 없는 경우
 용역
 ▸건설기술용역: 3.3억원 미만
 ▸건설기술용역 外: 3.5억원 미만
 ▸정밀안전진단: 1.5억원 미만
 물품 ▸3.5억원 미만
 전국
 입찰
 공사
 용역
 물품
 ▸지역제한 금액 이상
 ※ 지역의무공동도급(공사) - 원칙 40%, 예외 49%
 ※ 물품, 용역: 지역의무공동도급 ×
 ※ 지역업체와 자발적 공동수급체 구성시 가점부여(용역) - 기술용역: 30%이상 3점
  - 일반용역: 40%이상 5점
 국제
 입찰
 공사
 용역
 물품
 ▸공사: 265억원 이상
 ▸용역,물품: 3.5억원 이상
 ※ 국제입찰에 의하는 지방자치단체의 공사 및 물품,용역의 범위에 관한 고시(행안부 고시)</t>
  </si>
  <si>
    <t>(1, 2순위 - 정답 문서 찾아옴 / 추가작업 X)</t>
  </si>
  <si>
    <t>[P.14 청크 수정 필요]</t>
  </si>
  <si>
    <t>온나라 지식행정에 접속하면 흰창만 나오는데, 어떻게 해결해야하나요?</t>
  </si>
  <si>
    <t>부산광역시 소속 직원이 온나라 지식행정 시스템에 접속할 때 화면이 흰창만 표시되는 경우, 시스템 관리 절차에 따라 문제 원인 확인, 조치 및 정상 접속 복구 방법은 무엇인가요?</t>
  </si>
  <si>
    <t>온나라 지식행정에 접속했을 때 흰 창만 나타나는 문제는 주로 웹 브라우저의 설정이나 네트워크 문제, 시스템 오류 등 다양한 원인으로 발생할 수 있습니다. 다음은 이러한 문제를 해결하기 위한 몇 가지 방법입니다.
웹 브라우저 설정 확인:
웹 브라우저의 캐시와 쿠키를 삭제하고, 새로 고침(F5)을 해보세요.
브라우저의 설정에서 "팝업 차단"이 활성화되어 있는지 확인하고, 필요한 경우 비활성화하세요.
브라우저의 업데이트가 필요한 경우 최신 버전으로 업데이트하세요.
네트워크 연결 확인:
인터넷 연결 상태를 확인하세요. 다른 웹사이트에 접속이 가능한지 확인하여 네트워크 문제를 점검하세요.
VPN이나 프록시 서버를 사용 중이라면 일시적으로 비활성화하고 접속을 시도해 보세요.
시스템 요구 사항 확인:
온나라 지식행정 시스템에 필요한 최소 시스템 요구 사항을 충족하는지 확인하세요. 특히, 운영체제와 브라우저의 호환성을 점검하세요.
시스템 자원이 부족한 경우, 백그라운드에서 실행 중인 프로그램을 종료하고 다시 시도해 보세요.
시스템 로그 확인:
시스템 로그를 확인하여 오류 메시지가 있는지 확인하세요. 오류 메시지는 문제의 원인을 파악하는 데 도움이 될 수 있습니다.
관리자 지원 요청:
위의 방법으로도 문제가 해결되지 않는다면, 온나라 지식행정 관리자나 시스템 지원팀에 문의하여 도움을 요청하세요.
이러한 단계를 통해 문제를 해결할 수 있습니다. 문제가 지속될 경우, 시스템 관리자나 IT 지원 부서에 문의하여 추가적인 지원을 받는 것이 좋습니다.</t>
  </si>
  <si>
    <t>온나라 지식 접속 오류 조치 방법에 관한 내용으로 답변이 되면 될 것으로 보입니다.
해당 자료는 정보화정책과 온톡, 온메일, 온나라 지식 사용재 매뉴얼에 있습니다.</t>
  </si>
  <si>
    <t>기대답변 :
 온나라 지식 접속 오류 조치 방법
 ○ 온나라 2.0 &gt; 지식(메일, 참여할 설문, 회의장 포함) 접속 시 흰 화면이 뜨는 경우 조치 방법
  1. 행정포털 &gt; 오류조치안내(http://99.1.1.29/resources/xf/portal/table.html?)
  2. [행정포털] 장애조치 &gt; 엣지 IE모드 설정 방법대로 조치 
 ○ 온나라 2.0 &gt; 지식(메일, 참여할 설문, 회의장 포함) 접속 시 자동 로그인이 안되는 경우 조치 방법
  1. 엣지 &gt; 설정 및 기타 &gt; 설정 ※ 빠른 단축키(엣지 화면에서): Ctrl + Shift + Delete 
  2. 개인 정보, 검색 및 서비스 &gt; 지울 항목 선택 &gt; “모든 시간” &gt; 지금 지우기 &gt; 재부팅 후 접속 확인
  3. 재부팅 후에도 접속이 안 되는 경우: 잘되는 자리 PC에서 로그인
  - 접속됨: PC 인터넷 재설정(행정포털 &gt; 오류조치안내 Q3. 1. 인터넷 옵션 변경 설정)
  - 접속 안 됨: 통합계정 연계 오류로 지식 담당자에게 쪽지</t>
  </si>
  <si>
    <t>371_2503_정보화정책과_업무매뉴얼_정보화정책과_온톡_온메일_온나라_지식_사용자_매뉴얼_v21.pdf</t>
  </si>
  <si>
    <t>▲ ü 온나라 지식 접속 오류 조치 방법 위로 ● 온나라 2.0 Ü 지식(메일, 참여할 설문, 회의장 포함) 접속 시 흰 화면이 뜨는 경우 조치 방법 행정포털 Ü 오류조치안내(http://99.1.1.29/resources/xf/portal/table.html?) [행정포털] 장애조치 Ü 엣지 IE모드 설정 방법대로 조치 ● 온나라 2.0 Ü 지식(메일, 참여할 설문, 회의장 포함) 접속 시 자동 로그인이 안되는 경우 조치 방법 1 엣지 Ü 설정 및 기타 Ü 설정 ※ 빠른 단축키(엣지 화면에서): Ctrl + Shift + Delete 2 개인 정보, 검색 및 서비스 Ü 지울 항목 선택 Ü “모든 시간” Ü 지금 지우기 Ü 재부팅 후 접속 확인 3 재부팅 후에도 접속이 안 되는 경우: 잘되는 자리 PC에서 로그인 - 접속됨: PC 인터넷 재설정(행정포털 Ü 오류조치안내 Q3. 1. 인터넷 옵션 변경 설정) - 접속 안 됨: 통합계정 연계 오류로 지식 담당자에게 쪽지. - 9 -</t>
  </si>
  <si>
    <t>온나라 지식행정 오류 해결 방법입니다.</t>
  </si>
  <si>
    <t>[Rerank 순위 낮음]</t>
  </si>
  <si>
    <t>장기재직휴가 신청 절차는?</t>
  </si>
  <si>
    <t>부산광역시 소속 공무원이 장기재직휴가를 신청하려는 경우, 내부 인사 규정과 절차에 따라 신청서 작성, 결재, 승인, 휴가 확정까지 진행되는 단계별 방법은 무엇인가요?</t>
  </si>
  <si>
    <t>부산광역시청에서 장기재직휴가를 신청하는 절차는 소속 부서장의 승인을 거쳐 인사부서에 신청하는 것으로 진행됩니다.
관련내용은 다음과 같습니다.
소속 부서장의 승인: 장기재직휴가를 신청하기 전에 소속 부서장은 휴가로 인한 업무 공백이 발생하지 않도록 업무 대행자의 지정, 업무의 인수·인계 등 필요한 조치를 취해야 합니다.
인사부서 신청: 소속 부서에서는 휴가로 인한 업무 공백이 발생하지 않도록 필요한 조치를 취한 후, 소속 부서장의 승인을 받아 인사부서에 장기재직휴가를 신청합니다.
업무 인수·인계: 장기재직휴가를 사용하는 직원은 업무 인수·인계서를 작성하여 담당 업무 중 미결된 사항과 관련 문서, 물품의 목록을 작성하고 필요한 경우 설명서를 첨부하여 원장 또는 소속 부서장이 지정하는 자에게 업무를 인계해야 합니다.
휴가 사용: 인사부서에서는 신청자의 휴가 사용 가능 여부를 검토하고, 승인된 경우 장기재직휴가를 사용할 수 있습니다.
이러한 절차를 통해 부산광역시청에서는 장기재직휴가를 신청하고 사용할 수 있습니다.</t>
  </si>
  <si>
    <t>ㆍ1110_압축부산테크노파크_규정집정관_규정_규칙-20253.pdf (p.84)
https://busanai.busan.go.kr/download/1110_압축부산테크노파크_규정집정관_규정_규칙-20253.pdf</t>
  </si>
  <si>
    <t>근거 오류입니다.
기관에 대한 입력이 없으면 기본적으로 부산시 우선입니다.
부산시 우선 &gt; 상위기관 순이고
하위기관은 따로 프롬프트에 입력할때만 답변 근거로 사용하시면 됩니다.
그게 아니면 없는 자료로 취급해야합니다.
해당 질의에 대한 답변 문서는 [붙임 1]장기재직휴가 시행지침 개정전문인데 학습자료 미제출자료입니다.
 - 2 세부 시행지침 내용 참고
기대답변(미제출자료 포함해서 답변 생성)
  가. 복무시스템 승인 및 실시(휴가 희망직원 ⇒ 부서장)
    - 차세대인사랑(복무관리시스템) 상 결재를 득한 후 휴가 실시
       * 휴가신청 시 차세대인사랑 등록방법 
         √ 휴가구분 : 연가외휴가관리 - 특별휴가 - ‘장기재직휴가’로 등록
         √ 휴가사유 : [예시] ‘(금회) 20년차 1회 5일, (잔여일수) 20일
    - 부서장은 휴가 기간 중 업무대행자 지정 등 확인 후 승인
       * 주요 현안 등 업무 공백이 우려될 경우 휴가 조정 등
  나. 업무에 지장이 없는 범위 내에서 부서장* 책임 하 실시
     - 휴가 시작일 기준 1주일 전 승인(차세대인사랑 복무 승인) 후 실시
  다. 재직기간 별 해당 기간 내 반드시 사용
  라. 휴가 기간은 2일 이상 분할사용 가능
    - 최소 2일 이상 사용
  마. 부서 현원의 1/3 이내로 휴가대상자 선정
  바. 장기간 휴가사용을 위해 연가 연계사용 권장</t>
  </si>
  <si>
    <t>가. 복무시스템 승인 및 실시(휴가 희망직원 ⇒ 부서장)
  - 차세대인사랑(복무관리시스템) 상 결재를 득한 후 휴가 실시
  * 휴가신청 시 차세대인사랑 등록방법 
  √ 휴가구분 : 연가외휴가관리 - 특별휴가 - ‘장기재직휴가’로 등록
  √ 휴가사유 : [예시] ‘(금회) 20년차 1회 5일, (잔여일수) 20일
  - 부서장은 휴가 기간 중 업무대행자 지정 등 확인 후 승인
  * 주요 현안 등 업무 공백이 우려될 경우 휴가 조정 등
  나. 업무에 지장이 없는 범위 내에서 부서장* 책임 하 실시
  - 휴가 시작일 기준 1주일 전 승인(차세대인사랑 복무 승인) 후 실시
  다. 재직기간 별 해당 기간 내 반드시 사용
  라. 휴가 기간은 2일 이상 분할사용 가능
  - 최소 2일 이상 사용
  마. 부서 현원의 1/3 이내로 휴가대상자 선정
  바. 장기간 휴가사용을 위해 연가 연계사용 권장</t>
  </si>
  <si>
    <t>3. 시행방법
  가능일수 사전등록
 (차세대 인사시스템)
 복무시스템 승인(직원→승인권자) - 등록: 부서별 서무 - 승인: 휴가 시작전
  ※ 업무대행자 지정 철저
 가. 복무시스템 승인 및 실시(휴가 희망직원 ⇒ 부서장)
 - 차세대인사랑(복무관리시스템) 상 결재를 득한 후 휴가 실시 * 휴가신청 시 차세대인사랑 등록방법
  √ 휴가구분 : 연가외휴가관리 - 특별휴가 - ‘장기재직휴가’로 등록
  √ 휴가사유 : [예시] ‘(금회) 20년차 1회 5일, (잔여일수) 20일
 - 부서장은 휴가 기간 중 업무대행자 지정 등 확인 후 승인 * 주요 현안 등 업무 공백이 우려될 경우 휴가 조정 등
 &lt; 자치구・군 등 인사교류 파견자의 장기재직휴가&gt;
 ① 파견자 장기재직휴가 시행 : 파견기관 소속부서장 결재 후 휴가 시행
  부서장 결재 후 원소속기관 부서로 공문 발송
  ② 원소속기관 부서 복무 조치 : 차세대인사랑 시스템 등록 및 결재
  ※ 파견자는 부산시 장기재직휴가 시행지침 적용
 4. 시행시기 : 2024. 7. 1.</t>
  </si>
  <si>
    <t>장기재직휴가 등록 기준 및 사용 방법과 신청 절차, 장기재직휴가 기준 및 사용방법과 신청절차, 장기재직휴가 사용 요건 인사랑 자동 반영여부</t>
  </si>
  <si>
    <t>SQG005</t>
  </si>
  <si>
    <t>직원 단체보장보험 보장내용 및 실비 등 청구 방법은?</t>
  </si>
  <si>
    <t>직원 단체보장보험의 보장 범위와 실비 청구 절차 등 관련 내용에 대해 알려주세요</t>
  </si>
  <si>
    <t>부산광역시청 직원 단체보장보험의 보장내용과 실비 등의 청구 방법은 다음과 같습니다.
보장내용
상해사망: 업무 중 또는 업무 외 활동 중 발생한 상해로 인한 사망 시 보상
상해후유장해: 상해로 인한 후유 장해 발생 시 보상
질병사망: 업무 중 또는 업무 외 활동 중 발생한 질병으로 인한 사망 시 보상
질병후유장해: 질병으로 인한 후유 장해 발생 시 보상
상해입원일당: 상해로 인한 입원에 따른 일당 보상
질병입원일당: 질병으로 인한 입원에 따른 일당 보상
골절진단비: 골절 발생 시 진단비 보상
화상진단비: 화상 발생 시 진단비 보상
배상책임: 직원의 업무 수행 중 발생한 타인의 신체 및 재산 피해에 대한 배상 책임 보상
실비 등의 청구 방법
청구서류 준비: 사고 발생 증빙서류, 진단서, 입퇴원확인서, 진료비 영수증 등
보험사에 제출: 준비한 서류를 부산광역시청 단체보장보험 담당 보험사에 제출
보험금 청구: 보험사 홈페이지 또는 모바일 앱을 통해 온라인으로 청구 가능
심사 및 지급: 보험사에서 서류를 심사한 후 보험금 지급
추가 문의: 보험금 청구와 관련된 자세한 사항은 부산광역시청 총무과 또는 해당 보험사에 문의
각 보장 항목별 세부 보장 내용과 보험금 지급 한도 등은 계약서에 명시된 내용을 확인해야 하며, 보험사마다 세부 규정이 다를 수 있으므로 부산광역시청 단체보장보험 담당 부서에 문의하여 정확한 정보를 확인하는 것이 좋습니다.</t>
  </si>
  <si>
    <t>단체보장보험 관련 청구안내문, 가입내용 및 청구방법 안내 등의 관련 문서가 있음에도 불구하고
해당 내용이 검색되지 않습니다.</t>
  </si>
  <si>
    <t>단체보장보험의 세부 보장내용과 청구 방법은 보험기간, 주관보험사, 보장범위 및 내용, 청구 방법입니다.
 관련내용은 다음과 같습니다.
 보험기간: 2025년 1월 1일 00시부터 2025년 12월 31일 24시까지 1년간 보장됩니다.
 주관보험사: KB손해보험입니다.
 단체보험 보장범위 및 내용(직원):
 계약기간 동안 업무 중, 업무 외를 불문하고 24시간 보장됩니다.
 개인별 타 보험수혜와 관계없이 중복보상되나, 실손의료비는 제외됩니다.
 세부내용은 다음과 같습니다.
 생명보험: 1억원(재해, 질병 사망)
 공무 중 사망: 5천만원
 상해보험: 1억원(장해지급률에 따라 차등지급)
 암/뇌졸중/심근경색 최초진단: 1천만원
 5종 수술비: 1종 7만원 ~ 5종 150만원
 대장, 위 폴립진단비: 10만원(1회)
 치아치료비(보철): 30만원(임플란트, 브릿지, 틀니 통합 연간 3개 한도)
 상해/폭행 위로금: 1백만원
 피싱, 해킹, 금융사기: 5백만원 한도(피싱, 해킹, 금융사기로 인한 금전적 손해 보상)
 실손의료비(선택항목): 입원 및 통원의료비 통합 3천만원(통원 1회당 15만원 한도)
 청구 방법:
 청구 가능일: 2025년 1월 24일부터 가능합니다.
 청구서 및 청구안내문: 붙임 2, 3을 참고하여 작성합니다.
 모바일 청구안내문: 붙임 4를 참고하여 모바일로 청구할 수 있습니다.
 입통원의료비 : (100만원 미만 건만) : 팩스접수 KB손해보험 단체보험콜센터 FAX) 0505-136-6600 TEL)1544-1616(ARS/ 담당자 연결은 2번)
 ※실손의료비는 KB손해보험 앱/홈페이지로 청구 가능
 사망, 후유장해, 진단금, 기타 담보의 100만원 이상 청구건 : 우편접수(원본접수원칙)[04027] 서울시 마포구 양화로 19, 19층 인보험 사고접수센터(합정동, KB손해보험 합정빌딩)</t>
  </si>
  <si>
    <t>279_2501_인사과_기타_인사과_2025년_맞춤형복지_단체보장보험_가입내용_및_청구방법_안내.pdf
283_2501_인사과_기타_인사과_2025년_부산광역시_청구안내문단체보장보험.pdf</t>
  </si>
  <si>
    <t>1
 7</t>
  </si>
  <si>
    <t>미래를 선도하는 디지털혁신도시 부 산 광 역 시 수신 수신자 참조 (경유) 제목 2025년 맞춤형복지 단체보장보험 가입내용 및 청구방법 안내 2025년도 맞춤형복지 단체보장보험 가입내용 및 청구방법 등을 붙임과 같이 알려드리니 참고하시기 바랍니다. 1. 보험기간 : '25. 1. 1. 00:00 ~ '25. 12. 31. 24:00(1년간) ※ 1/24(금)부터 청구 가능 2. 주관보험사 : KB손해보험(콜센터 ☎ 1544-1616) 3. 단체보험 보장범위 및 내용(직원) ○ 계약기간 동안 업무 중, 업무 외를 불문하고 24시간 보장 ○ 개인별 타 보험수혜와 관계없이 중복보상. 단, 실손의료비 제외 ○ 보험별 세부내용(직원) - 생명보험: 1억원(재해, 질병 사망) - 공무 중 사망: 5천만원 - 상해보험: 1억원(장해지급률에 따라 차등지급) - 암/뇌졸증/심근경색 최초진단: 1천만원 - 5종 수술비: 1종 7만원 ~ 5종 150만원 - 대장, 위 폴립진단비 : 10만원(1회) - 치아치료비(보철) : 30만원(임플란트, 브릿지, 틀니 통합 연간 3개 한도) - 상해/폭행 위로금 : 1백만원 - 피싱, 해킹, 금융사기 : 5백만원 한도(피싱, 해킹, 금융사기로 인한 금전적 손해 보상) - 실손의료비(선택항목): 입원 및 통원의료비 통합 3천만원(통원 1회당 15만원 한도) ※ 배우자 보험 세부보장내용 [붙임1] 참고(가입비용 남 505,744원, 여 469,020원) 붙임 1. 2025년 부산광역시 청구안내문 1부. 2. 2025년 부산광역시 청구서 1부. 3. 2025년 부산광역시 보험가입 약관 1부. 4. 2025년 부산광역시 실손보험 모바일 청구안내문 1부. 끝.
입통원의료비 : (100만원 미만 건만) : 팩스접수 KB손해보험 단체보험콜센터 FAX) 0505-136-6600 TEL)1544-1616(ARS/ 담당자 연결은 2번)
 ※실손의료비는 KB손해보험 앱/홈페이지로 청구 가능
 사망, 후유장해, 진단금, 기타 담보의 100만원 이상 청구건 : 우편접수(원본접수원칙)[04027] 서울시 마포구 양화로 19, 19층 인보험 사고접수센터(합정동, KB손해보험 합정빌딩)</t>
  </si>
  <si>
    <t>단체보장보험의 세부 보장 내용과 보험금 청구 방법 안내
---
단체보장보험의 세부 보장 내용과 보험금 청구 방법 안내</t>
  </si>
  <si>
    <t>SQG024</t>
  </si>
  <si>
    <t>PC 네트워크 비밀번호 분실 시 해결방법은?</t>
  </si>
  <si>
    <t>PC 네트워크(네트워크 접근제어 시스템, NAC, 네트워크 인증 시스템, PClient) 로그인 비밀번호를 분실했을 때 초기화 또는 재설정을 위한 공식 절차는 어떻게 되나요?</t>
  </si>
  <si>
    <t>부산광역시청 PC 네트워크 비밀번호를 분실했을 경우, 해결 방법은 다음과 같습니다.
비밀번호 초기화 요청: 부산광역시청 IT 지원팀에 비밀번호 초기화를 요청합니다. 이를 위해 IT 지원팀의 전화번호(051-888-3024)로 연락하여 상황을 설명하고 초기화를 요청합니다.
IT 지원팀의 안내에 따르기: IT 지원팀이 제공하는 안내에 따라 비밀번호를 재설정합니다. 이 과정에서 IT 지원팀이 제공하는 절차에 따라 진행하면 됩니다.
비밀번호 재설정: 비밀번호 초기화 요청 후, IT 지원팀이 제공한 절차에 따라 새로운 비밀번호를 설정합니다. 이때, 비밀번호는 보안성을 고려하여 영문, 숫자, 특수문자를 조합하여 설정하는 것이 좋습니다.
비밀번호 재설정 확인: 비밀번호 재설정 후, 설정한 비밀번호가 제대로 작동하는지 확인합니다. 만약 문제가 발생하면 IT 지원팀에 다시 문의하여 문제를 해결합니다.</t>
  </si>
  <si>
    <t>ㆍ4122_부산광역시_연구용_지하연구시설_유치를_위한_결의문에_대한_답변.pdf (p.2)
https://busanai.busan.go.kr/download/4122_부산광역시_연구용_지하연구시설_유치를_위한_결의문에_대한_답변.pdf</t>
  </si>
  <si>
    <t>해당 매뉴얼은 없어서 관련 근거가 나오지 않고 일반적인 답변이 나와야 합니다.
내용의 IT 지원팀, 전화번호 등 다 잘못된 정보가 노출됩니다. 
관련 근거 또한 전혀 상관없는 내용이 첨부됩니다.</t>
  </si>
  <si>
    <t>기대답변 : 
 네트워크 인증 시스템 비밀번호 분실 시 행정전화(5999)로 연락바랍니다</t>
  </si>
  <si>
    <t>5. 네트워크 인증 시스템(NAC, PClinet)
  - 네트워크가 차단되셨다면 행정전화(5999)로 연락바랍니다
  - 네트워크 인증 시스템 비밀번호 분실 시 행정전화(5999)로 연락바랍니다</t>
  </si>
  <si>
    <t>일상경비 집행잔액은 조회 방법은?</t>
  </si>
  <si>
    <t>일상경비 집행 후 남은 잔액을 조회하기 위한 시스템별 절차와 확인 경로는 어떻게 되나요?</t>
  </si>
  <si>
    <t xml:space="preserve">부산광역시청에서 일상경비 집행 잔액을 조회하는 방법은 다음과 같습니다.
1. 부산광역시청 홈페이지에 접속합니다.
2. "재정정보" 메뉴를 선택합니다.
3. "일상경비 집행 잔액" 항목을 찾아 클릭합니다.
4. 조회하고자 하는 기간과 부서를 선택합니다.
5. 조회 버튼을 누르면 해당 기간 동안의 일상경비 집행 잔액을 확인할 수 있습니다.
이 과정을 통해 부산광역시청에서 일상경비 집행 잔액을 조회할 수 있습니다. </t>
  </si>
  <si>
    <t>지방재정시스템에 관한 매뉴얼이 없습니다.
일반적으로 행정에 관한 질의일 경우 시 홈페이지에서 관련 내용을 찾을수는 없습니다.</t>
  </si>
  <si>
    <t>올해 포상휴가 몇 개 나왔고 몇 개 썼는지 조회하는 방법은?</t>
  </si>
  <si>
    <t>올해 부여된 포상휴가 일수와 사용 일수를 확인하기 위해 어느 시스템에서 어떤 메뉴를 통해 조회해야 하나요?</t>
  </si>
  <si>
    <t xml:space="preserve">부산광역시청 직원들의 포상휴가 발생 개수와 사용 개수를 조회하는 방법은 다음과 같습니다.
1. 부산광역시청 홈페이지에 접속합니다.
2. "직원 복지" 또는 "포상휴가"와 같은 관련 메뉴를 찾아 클릭합니다.
3. 해당 메뉴에서는 직원들의 포상휴가 발생 개수와 사용 개수를 확인할 수 있습니다.
4. 만약 홈페이지에서 직접 조회가 어렵다면, 부산광역시청 인사과나 총무과에 문의하여 정확한 정보를 얻을 수 있습니다.
이 방법을 통해 부산광역시청 직원들의 포상휴가 발생 개수와 사용 개수를 쉽게 조회할 수 있습니다. </t>
  </si>
  <si>
    <t>해당 질문에 대한 매뉴얼이 없습니다.
이 또한 일반적으로 행정에 관한 질의라 시 홈페이지에서 관련 내용을 찾을수는 없습니다.</t>
  </si>
  <si>
    <t>예산편성 관련 사전절차는 어떤게 있으며 이행여부 조회할 수 있는 방법은?</t>
  </si>
  <si>
    <t>예산편성 과정에서 요구되는 사전절차에는 어떤 항목들이 있으며, 각 사전절차의 이행 여부는 어디에서 확인할 수 있나요?</t>
  </si>
  <si>
    <t>부산광역시청 예산편성 관련 사전절차는 기본 구상(기획), 투자심사 등 사업 필요성에 대한 사전절차 이행, 예산편성, 공공건축 건립 기본방침 수립입니다.
관련내용은 다음과 같습니다.
기본 구상(기획): 최초 주관부서에서 공공건축 건립을 위한 기본 구상을 수립합니다.
투자심사 등 사전절차 이행: 사업 필요성에 대한 투자심사를 포함한 사전절차를 이행합니다.
예산편성: 기본 구상과 투자심사 결과를 바탕으로 예산을 편성합니다.
공공건축 건립 기본방침 수립: 예산편성 후 공공건축 건립을 위한 기본방침을 수립합니다.
이 절차의 이행 여부를 조회할 수 있는 방법은 부산광역시청의 공식 웹사이트나 관련 부서에 문의하는 것입니다. 특히, 부산광역시 건설본부의 공공건축사업 관련 부서에 문의하면 보다 정확한 정보를 얻을 수 있습니다.</t>
  </si>
  <si>
    <t>ㆍ83991_건설본부_종합감사_보고서_게시.pdf (p.80)
https://busanai.busan.go.kr/download/83991_건설본부_종합감사_보고서_게시.pdf</t>
  </si>
  <si>
    <t>잘못된 답변과 잘못된 근거자료가 활용되었습니다.
예산담당관 2025년 예산편성계획 30P에 주요목별 평성기준 및 사전절차가 안내되어 있습니다.</t>
  </si>
  <si>
    <t>기대답변 :
 □ 법정절차 및 선행절차(사전절차제도)
 ○ (신규사업) 신청 전 철저한 사전 검증(재정영향평가, 사전심사제, 투자심사 등)
 ○ (공유재산관리계획) 예산편성 전에 공유재산관리계획 수립, 시의회 의결
 ○ (출자․출연금) 출자 또는 출연금 편성전(모든사업) 시의회 사전 동의
 ○ (민간위탁금) 신규(모든사업), 재위탁, 기간 갱신시 시의회 동의
 ○ (지방보조금, 행사‧축제사업) 지방보조금 및 신규 행사‧축제 사전심사
 ○ (용역심의) 정책연구용역 및 기술용역 사전 심사
 ○ (공기관위탁 대행사업비) 신규, 재위탁, 기간 갱신시 시의회 동의
 □ 이행여부 조회 방법은 관련 내용이 없으므로 담당 부서나 업무 담당자에게 문의하시기 바랍니다.</t>
  </si>
  <si>
    <t>213_2408_예산담당관_예산편성계획_예산담당관_2025년_예산편성계획.pdf</t>
  </si>
  <si>
    <t>23</t>
  </si>
  <si>
    <t>□ 법정절차 및 선행절차(사전절차제도) 이행 철저
 ○ (신규사업) 신청 전 철저한 사전 검증(재정영향평가, 사전심사제, 투자심사 등)
 ○ (공유재산관리계획) 예산편성 전에 공유재산관리계획 수립, 시의회 의결
 ○ (출자․출연금) 출자 또는 출연금 편성전(모든사업) 시의회 사전 동의
 ○ (민간위탁금) 신규(모든사업), 재위탁, 기간 갱신시 시의회 동의
 ○ (지방보조금, 행사‧축제사업) 지방보조금 및 신규 행사‧축제 사전심사
 ○ (용역심의) 정책연구용역 및 기술용역 사전 심사
 ○ (공기관위탁 대행사업비) 신규, 재위탁, 기간 갱신시 시의회 동의</t>
  </si>
  <si>
    <t>예산편성 시 주요목별 편성기준 및 사전절차와 해당 절차 이행 여부 확인 방법</t>
  </si>
  <si>
    <t>[RAG 검색 유사도 낮음]</t>
  </si>
  <si>
    <t>올해 필수교육은 뭐가 있는지?</t>
  </si>
  <si>
    <t>올해 이수해야 하는 필수교육의 종류와 이를 확인할 수 있는 시스템별 조회 경로는 무엇인가요?</t>
  </si>
  <si>
    <t>부산광역시청 직원이 이수해야 하는 필수 교육 과정은 다음과 같습니다.
공직자 청렴 교육: 공직자의 청렴 의식을 높이고 부패 예방을 위한 교육입니다.
성희롱 예방 교육: 직장 내 성희롱 예방과 대처 방법을 교육합니다.
개인정보 보호 교육: 개인정보 보호법 및 개인정보 취급자의 역할과 책임에 대해 교육합니다.
재난 대응 교육: 재난 발생 시 대처 방법과 안전 수칙을 교육합니다.
감염병 예방 교육: 감염병 예방 및 대응 방법을 교육합니다.
인권 교육: 인권 존중과 차별 예방을 위한 교육입니다.
직장 내 괴롭힘 예방 교육: 직장 내 괴롭힘 예방 및 대처 방법을 교육합니다.
안전 교육: 산업안전보건법 및 안전 수칙을 교육합니다.
환경 교육: 환경 보호 및 지속 가능한 발전을 위한 교육입니다.
정보화 교육: 정보화 역량 강화를 위한 교육입니다.
이러한 교육은 매년 반복적으로 이수해야 하며, 각 교육은 부산광역시청의 내부 규정과 정책에 따라 변경될 수 있습니다.</t>
  </si>
  <si>
    <t>필수 교육 관련 매뉴얼이 없기 때문에 세부적으로 확인이 필요하다는 메시지가 출력되어야 할 것 같습니다.</t>
  </si>
  <si>
    <t>차세대지방재정시스템에서 분기별 예산배정금액 확인방법은?</t>
  </si>
  <si>
    <t>차세대지방재정시스템(e호조, 이호조)에서 분기별 예산배정 금액을 확인하기 위해 어떤 메뉴 경로와 조회 절차를 따라야 하나요?</t>
  </si>
  <si>
    <t xml:space="preserve">차세대지방재정시스템에서 분기별 예산 배정 금액을 확인하는 방법은 다음과 같습니다.
1. 차세대지방재정시스템에 접속합니다.
2. 로그인 후, "예산" 메뉴를 선택합니다.
3. "예산 배정" 탭을 클릭합니다.
4. 여기서 "분기별 예산 배정" 항목을 선택합니다.
5. 해당 분기의 예산 배정 금액을 확인할 수 있습니다.
이 과정을 통해 분기별 예산 배정 금액을 쉽게 확인할 수 있습니다. </t>
  </si>
  <si>
    <t>차세대 지방재정시스템 관련 매뉴얼이 없기 때문에
차세대 지방재정시스템 매뉴얼이 없으므로 관련 담당자에게 문의하시기 바랍니다.
라는 식의 메시지가 출력되어야 합니다.</t>
  </si>
  <si>
    <t>사무실 가구 등 비품 부족 또는 고장 시 청사 내 조달 및 수리 등 대응 방법은?</t>
  </si>
  <si>
    <t>사무실 내 비품이 부족하거나 가구가 고장났을 때, 청사에서 수행하는 비품 조달 요청 및 수리 의뢰 절차는 각각 어떻게 진행되나요?</t>
  </si>
  <si>
    <t>부산광역시청 사무실 가구 등 비품 부족 또는 고장 시, 청사 내 조달 및 수리 등 대응 방법은 다음과 같습니다.
비품 부족 시 대응 방법
내부 조달: 시청 내 다른 부서나 창고에서 필요한 비품을 우선적으로 활용합니다.
외부 조달: 필요한 비품을 외부 업체나 공급업체를 통해 신속하게 조달합니다.
예산 확보: 부족한 비품에 대한 예산을 확보하여 추가 구매를 진행합니다.
장기 계획 수립: 비품의 수명과 사용 빈도를 고려하여 장기적인 비품 관리 계획을 수립합니다.
고장 시 대응 방법
자체 수리: 간단한 고장은 내부 기술자나 유지보수 담당자가 직접 수리합니다.
외부 수리 업체: 복잡한 고장이나 전문적인 수리가 필요한 경우, 외부 수리 업체를 통해 문제를 해결합니다.
예산 확보: 고장 수리 비용에 대한 예산을 확보하여 수리 작업을 원활하게 진행합니다.
예방 조치: 고장 발생을 예방하기 위해 정기적인 점검과 유지보수를 실시합니다.
이러한 대응 방법을 통해 부산광역시청은 사무실 가구 및 비품의 효율적인 관리와 신속한 대응을 할 수 있습니다.</t>
  </si>
  <si>
    <t>해당 매뉴얼이 없기 때문에 일반적인 답변이 나오는게 맞습니다.
매뉴얼이 없는 답변은 확정적인 말투를 사용하면 할루시네이션으로 볼 수 있기 때문에
관련 담당자의 확인이 필요하다는 식의 메시지가 필요할 것 같습니다.</t>
  </si>
  <si>
    <t>인사발령시 권한 이관 등 관련 발령 당사자와 서무가 해야하는 것은?</t>
  </si>
  <si>
    <t>인사발령 시 발령 대상자와 서무 담당자가 수행해야 하는 권한 이관, 시스템 접근 조정, 문서 및 업무 인수인계 절차는 무엇인가요?</t>
  </si>
  <si>
    <t>부산광역시청 인사 발령 시 권한 이관과 관련하여, 발령 당사자와 서무 부서가 각각 수행해야 하는 절차와 역할은 다음과 같습니다.
발령 당사자
업무 인수인계: 발령 당사자는 기존 부서의 업무를 철저히 인수인계해야 합니다. 이는 문서, 데이터, 주요 연락처, 진행 중인 프로젝트 등을 포함합니다.
문서 정리 및 제출: 인수인계 완료 후, 관련 문서와 자료를 서무 부서에 제출하여 공식적인 권한 이관을 완료합니다.
최종 확인: 서무 부서와 함께 최종 확인 절차를 거쳐 모든 권한이 제대로 이관되었는지 확인합니다.
서무 부서
권한 이관 준비: 서무 부서는 권한 이관을 위한 준비를 합니다. 이는 관련 문서와 자료의 정리, 새로운 부서로 전달할 준비 등을 포함합니다.
문서 수령 및 검토: 서무 부서는 발령 당사자로부터 전달받은 문서를 수령하고 검토하여 모든 내용이 정확한지 확인합니다.
권한 이관 완료: 모든 문서와 자료가 정리되고 검토된 후, 새로운 부서로 권한 이관을 완료합니다.
최종 확인 및 보고: 권한 이관이 완료되면, 최종 확인 절차를 거쳐 부산광역시청의 관련 부서에 보고합니다.
이러한 절차를 통해 부산광역시청 인사 발령 시 권한 이관이 원활하게 이루어질 수 있습니다.</t>
  </si>
  <si>
    <t>사업예산 편성 시 총사업비와 국비사업비의 금액에 따라 거쳐야 될 사전절차에는 어떤 것이 있나요?</t>
  </si>
  <si>
    <t>사업예산을 편성할 때 총사업비와 국비사업비 금액 구간에 따라 반드시 거쳐야 하는 사전 승인·검토 절차는 무엇인가요?</t>
  </si>
  <si>
    <t>부산광역시 사업예산 편성 시, 총사업비와 국비사업비 금액에 따라 거쳐야 할 사전 절차는 다음과 같습니다.
사업 계획 수립 및 검토
사업 계획 수립: 사업의 목적, 필요성, 목표, 기대효과 등을 포함한 사업 계획을 수립합니다.
타당성 검토: 사업의 타당성을 검토하여 경제적, 사회적, 환경적 측면에서 사업의 필요성을 평가합니다.
예산 요구서 작성
예산 요구서 작성: 사업 계획에 따라 필요한 예산 요구서를 작성합니다. 여기에는 총사업비와 국비사업비 금액이 포함됩니다.
내부 검토 및 조정
내부 검토: 부서 간 협의를 통해 예산 요구서를 검토하고 조정합니다.
외부 협의 및 승인
외부 협의: 중앙부처, 관련 기관 등과 협의하여 예산 요구서를 확정합니다.
예산 승인: 최종적으로 예산이 승인되면, 이를 바탕으로 예산 편성 작업이 진행됩니다.
이러한 절차를 통해 부산광역시는 사업예산 편성을 체계적으로 진행하며, 각 단계에서 철저한 검토와 협의를 통해 예산이 효율적으로 배분되도록 합니다.</t>
  </si>
  <si>
    <t>총사업비와 국비사업비에 대한 기준이 안나와 있습니다. 
예산담당관 2025년 예산편성계획에 사전절차에 대한 내용이 있습니다만
질의 내용 그대로를 요약해놓은 정보는 없습니다.
편성목 별로 국비지원사업등은 제외, 국고보조금은 관련 법률 참조
예비타당성 조사는 국비 300억원 이상 등의 정보가
파편화되어 있습니다.</t>
  </si>
  <si>
    <t>참조 내용을 지피티로 요약한 내용을 기대답변으로 써놨습니다.
 기대 답변 : 
 1. 총사업비/신규사업 기준 사전심사
  ○ 신규사업
  - 시비 1억 원 초과 신규사업 → 신규사업 사전심사 필수
  - 신규 센터 설치 → 금액 불문 사전심사 필수
  ○ 총사업비 관리
  - 총사업비 50억 이상, 사업기간 2년 이상 건설·정보화사업 → 사전심사 필요
 2. 지방재정영향평가 (지방재정법 제27조의6)
  ○ 대상사업
  - 총사업비 30억 이상 행사성 사업(경기대회, 공연, 축제)
  - 총사업비 100억 이상, 지방비 50억 이상 신규 공모사업
  ○ 심사시기 : 정기(2,5,8,10월), 필요시 수시
 3. 중기지방재정계획·공유재산 계획
  ○ 중기지방재정계획 : 일반회계, 특별회계, 기금
  - 제출 : 예산요구서 제출 시
  - 심사시기 : 10월(확정 10월 말)
  ○ 중기공유재산관리계획 : 취득, 처분, 사용료 감면, 수입금 지출
  - 제출 : 예산요구서 제출 시
  - 심사시기 : 10월(공유재산심의회)
 4. 예비타당성·타당성 조사
  ○ 예비타당성 조사
  - 총사업비 500억 이상, 국비 300억 이상 건설·정보화·연구개발사업
  - 제출시기 : 연 4회 분기별
  ○ 투자심사
  - 신규사업 40억 이상, 구·군사업 60억 이상, 행사성 3억 이상, 홍보관 5억 이상
  - 심사시기 : 정기(3,6,9월), 수시
 5. 공유재산·정책연구·기술용역 관련
  ○ 공유재산관리계획 : 예정가격 취득 20억↑, 처분 10억↑, 면적 기준 취득 6,000㎡↑, 처분 5,000㎡↑
  - 제출기한 : 8월 중순
  ○ 정책연구용역심사 : 건당 1,000만 원 초과 → 제출 8월 중순
  ○ 기술용역 사전심의 : 건당 1억 원 이상 → 제출 8월 중순
  ○ 정보화사업 예산타당성 검토 : 단순 유지보수 제외, 제출 8월 말
 6. 지방보조금·물품·출자·위탁
  ○ 지방보조금 신규 행사·축제사업
  - 1억 초과 신규 심사, 3억 이상 행사축제 → 별도 심사
  - 제출기한 : 8월 중순
  ○ 정수물품 취득승인 : 제출 8월 중순
  ○ 출자·출연금 승인 : 신규사업은 시의회 사전승인 필요
  ○ 민간·공기관 위탁 : 3억 초과 신규·재위탁 사업 시 의회 사전 동의
 7. 예산 편성·심의 단계
  ○ 예산편성 : 8월 5일 계획 시달, 8월 16일 예산요구서 제출, 9~10월 심사·조정, 10월 말 결재
  ○ 예산안 심의·의결 : 11월 11일 시의회 제출, 11~12월 상임위·예결특위, 12월 본회의 의결
  ○ 의결 후 : 의결내용 자치단체장 이송(3일 내), 고시 즉시</t>
  </si>
  <si>
    <t>36</t>
  </si>
  <si>
    <t>- 세출예산 절차별 이행사항 미 이행시 편성 불가 - 
 1. 신규사업 사전심사 총사업비 관리제
  ∙ 신규사업 : 시비 1억원 초과 신규사업(월 1회, 수시)
  ※ 신규 센터 설치시 금액불문 사전심사 이행 필요
 ∙ 총사업비관리 : 총사업비 50억원이상, 사업기간 2년이상 건설․정보화사업
 2. 지방재정영향평가(지방재정법 제27조의6)
  ∙ 심사대상 : 총사업비 30억원이상 경기대회, 공연・축제 등 행사성 사업, 총사업비 100억원 이상, 지방비 50억원 이상인 신규공모사업
  ∙ 심사시기 : 정기(2, 5, 8, 10월), 수시(필요시)
 3. 중기지방재정계획(지방재정법제33조)
  ∙ 대 상 : 일반회계, 특별회계, 기금
  ∙ 심사시기 : 10월중(확정 10월말), ∙제출기한 : 예산요구서 제출시
 4. 중기공유재산관리계획(공유재산 및 물품관리법 제10조)
  ∙ 대 상 : 공유재산관리계획 총괄계획(취득, 처분, 사용료 감면, 수입금 지출)
  ∙ 심사시기 : 10월(공유재산심의회) ∙제출기한 : 예산요구서 제출시
 5. 예비타당성 조사(국가재정법 제38조), 타당성 조사(지방재정법 제37조)
  ∙ 대 상 : 총사업비 500억원 이상(예타 : 국비 300억원 이상) 건설사업,정보화사업, 국가연구개발사업
  ∙ 심사시기 : 분기 1회 ∙제출시기 : 매년 4회
 6. 투자심사(지방재정법 제37조)
  ∙ 심사대상 : 40억이상 신규사업, 60억이상 구․군사업, 3억이상 행사성, 5억이상 홍보관 사업
  ∙ 심사시기 : 정기(3, 6, 9월), 수시(필요시)
 7. 공유재산관리계획(공유재산 및 물품관리법 제10조2)
  ∙ 대상사업 : 예정가격 기준 1건당 취득(20억원), 처분(10억원) 이상 면적기준 1건당 취득(6,000㎡), 처분(5,000㎡) 이상
  ∙ 요청시기 : 예산편성 전 단계 ∙제출기한 : 8월 중순
 8. 정책연구용역심사(부산시 정책연구용역 관리 조례)
  ∙ 심사대상 : 건당 10백만원 초과
  ∙ 심사시기 : 9월 중순(예산편성 전) ∙제출기한 : 8월 중순(기획담당관)
 9. 기술용역 사전심의(부산시 기술용역 관리 조례)
  ∙ 심사대상 : 건당 100백만원 이상
  ∙ 심사시기 : 9월 중순(예산편성 전) ∙제출기한 : 8월중(기술심사과)
 10. 정보화사업 예산타당성 검토(부산시 정보시스템 도입·운영 규정)
  ∙ 검토대상 : 정보화사업(단순 유지보수‧운영사업, 국비지원사업등은 제외)
  ∙ 검토시기 : 9월 중순(예산편성 전)∙제출기한 : 8월말(정보화정책과)
 11. 지방보조금사업 신규 행사‧축제사업
  ∙ 지방보조금 : 민간경상사업보조 등 15개 과목 ※ 28페이지 과목 참고
  ∙ 신규 행사‧축제사업 : 행사운영비 등 3개 과목 ※ 28페이지 과목 참고
  ▷ 사전심의 : 지방보조금심의위원회
  ▷ 제출기한 : 8월 중순(재정협력담당관)
  ※ 1억초과 신규심사/3억 이상 행사축제, 40억 이상 투자심사 별도필요
 12. 정수물품 취득승인(공유재산및물품관리법시행령 제58조)
  ∙ 대상물품 : 행정안전부 장관이 정하는 정수물품
  ∙ 책정시기 : 8월말 ∙ 제출기한 : 8월 중순
 13. 출자․출연금 승인(지방재정법 제18조, 지방출자출연법)
  ∙ 출자·출연금 신규사업은 예산편성 전 지원 근거 마련
  ∙ 시 재정지원 모든 출자·출연금 시의회 사전승인
 14. 민간위탁, 공기관위탁대행 동의(부산시 민간위탁 조례, 부산시 공공기관 위탁대행 조례)
  ∙ 민간위탁 : 신규, 3억원 초과 재위탁·재계약 사무 시의회 사전 동의
  ∙ 공기관위탁 : 3억원 초과 신규·재위탁 사업 시의회 사전 동의
 15, 예산안 편성
  ∙ 예산편성계획 시달(8.5.)
  ∙ 예산요구서 작성 제출(8.16.한)
  ∙ 심사․조정(9～10월)
  ∙ 예산안 결재(10월말)
 16. 예산안 심의․의결(회계연도 개시 15일전까지)
  ∙ 예산안 시의회 제출 : 11월 11일(법정기한)
  ∙ 상임위 및 예결특위 심의․의결(11월~12월초) → 본회의 의결(12월 중순)
 17. 예산 의결결과 이송
  ∙ 시의회가 의결한 예산을 자치단체장에게 이송(의결된 날부터 3일 이내)
 18. 예산 의결내용 고시
  ∙ 즉시 고시</t>
  </si>
  <si>
    <t>예산 편성 절차 관련 사업비별 사전 이행 절차와 과정, 통계목별 필수 예산 심의 사전절차와 과정, 신규 사업 추진을 위한 사전 심의 절차 안내, 예산 편성시 총사업비와 국비사업비 금액에 따른 사전절차 안내</t>
  </si>
  <si>
    <t>용역사업의 과업지시서를 작성할 때 포함되어야 할 내용은 무엇인지 목차별로 정리해 주세요.</t>
  </si>
  <si>
    <t>용역사업의 과업지시서를 작성할 때, 필수 포함 항목은 무엇이며 목차는 어떻게 구성해야 하나요?</t>
  </si>
  <si>
    <t>부산광역시 용역사업의 과업지시서 목차별 포함 내용
추진배경 요약
용역사업의 목적과 필요성, 배경 등을 간략하게 요약
추진근거
용역사업을 추진하는 법적, 행정적 근거 명시
추진배경
용역사업을 추진하게 된 원인 및 배경 설명
배경의 상세 설명
원인: 용역사업이 필요한 이유
배경: 용역사업과 관련된 사회적, 경제적, 환경적 요인
현황 및 문제점
현재 상황과 문제점 제시
현황: 현재 용역사업과 관련된 현황 설명
문제점: 현황에서 나타난 문제점 및 개선 필요 사항
추진개요
용역사업의 주요 내용 및 방향 설명
세부 추진계획
구체적인 추진 계획 상세 설명
단계별 추진 일정
각 단계별 수행 내용 및 방법
예상되는 주요 성과 및 산출물
기대효과
용역사업 추진으로 기대되는 효과 상세 설명
협조사항
다른 기관이나 부서 혹은 대외적으로 협조를 요청해야 할 사항
추진일정
구체적인 날짜를 표시해서 작성
각 날짜에 진행할 사항을 구체적으로 작성
향후계획
본 정책 추진 이후에 진행할 수 있는 계획 사항
이러한 목차별 내용을 포함하여 작성하면, 부산광역시 용역사업의 과업지시서가 체계적이고 명확하게 작성될 수 있습니다.</t>
  </si>
  <si>
    <t>의도분류가 잘못된거 같습니다.
검색을 요구했는데
문서 초안 생성으로 분류가 되어서
문서 초안을 생성해줍니다.</t>
  </si>
  <si>
    <t>재검토 후 해당 내용은 초안생성쪽으로 반영되면 될 것으로 보입니다.
 다만 초안생성 쪽은 이후 AI 부기주무관을 나눠서 초안생성 주무관을 따로 생성해야할 것 같습니다.(범정부 등)
 초안생성 쪽으로 나간다면 초안생성을 위한 온나라 문서나 BDI, 연구용역자료 등으로 해당 문서 초안 생성을 위한 자료로 활용되어야 할 것 같습니다.</t>
  </si>
  <si>
    <t>초안생성</t>
  </si>
  <si>
    <t>정부 R&amp;D 지원 또는 공모사업을 한꺼번에 조회할 수 있는 온라인 사이트는 무엇인가요?</t>
  </si>
  <si>
    <t>정부 R&amp;D 지원사업과 공모사업을 통합 조회할 수 있는 온라인 플랫폼이나 포털은 무엇이며, 조회 방법과 제공 정보는 어떻게 되나요?</t>
  </si>
  <si>
    <t>정부 R&amp;D 지원 또는 공모사업을 한꺼번에 조회할 수 있는 온라인 사이트는 "국가 R&amp;D 정보 포털"입니다.
국가 R&amp;D 정보 포털에서는 다양한 정부 R&amp;D 지원 사업과 공모사업에 대한 정보를 제공하고 있습니다.</t>
  </si>
  <si>
    <t>관련 매뉴얼이 없습니다.
그리고 해당 사이트는 NTIS 사이트(국가과학기술지식정보서비스)로 확인됩니다.</t>
  </si>
  <si>
    <t>부서에서 과장님, 팀장님(일상경비 출납원) 인사이동시 처리해야할 회계 절차는 어떤것들이 있나?</t>
  </si>
  <si>
    <t>부서에서 과장 또는 팀장(일상경비 출납원)의 인사이동 발생 시, 회계 담당자가 수행해야 하는 권한 이관, 계정 정리, 출납 기록 인수인계 등 관련 회계 절차는 무엇인가요?</t>
  </si>
  <si>
    <t>부산광역시 부서에서 과장님 또는 팀장님(일상경비 출납원)의 인사이동 시 처리해야 할 회계 절차는 일상경비 출납원 교체, 일상경비 자금 전도 및 반납, 일상경비 출납원 지정, 일상경비 집행 내역 확인, 반납 절차 준수, 업무추진비 집행 및 공공요금 납부 준수입니다.
관련내용은 다음과 같습니다.
일상경비 출납원 교체: 일상경비 출납원이 교체될 경우, 새로운 출납원은 관련 규정을 숙지하고, 기존 출납원이 처리하던 일상경비 집행 내역을 인수인계받아야 합니다.
일상경비 자금 전도 및 반납: 일상경비 자금이 전도된 경우, 새로운 출납원은 해당 자금을 정확히 관리하고, 필요 시에는 자금을 반납해야 합니다. 이 과정에서 계좌번호 확인 및 반납처리 절차를 철저히 준수해야 합니다.
일상경비 출납원 지정: 새로운 일상경비 출납원이 지정되면, 해당 출납원은 일상경비 출납원 지정서를 작성하고, 이를 관련 부서에 제출하여 공식적으로 업무를 수행할 수 있도록 해야 합니다.
일상경비 집행 내역 확인: 새로운 출납원은 기존 출납원이 집행한 일상경비 내역을 철저히 검토하여, 모든 집행이 적법하게 이루어졌는지 확인해야 합니다.
반납 절차 준수: 일상경비 집행잔액 반납 시에는 관련 규정을 준수하여 반납 절차를 정확히 이행해야 합니다.
업무추진비 집행 및 공공요금 납부 준수: 업무추진비 집행과 공공요금 납부 시에는 관련 규정을 준수하여 집행될 수 있도록 관리 및 감독을 철저히 해야 합니다.
이러한 절차를 통해 회계 업무의 연속성을 유지하고, 회계 규정을 준수하여 원활한 업무 수행이 가능하도록 해야 합니다.</t>
  </si>
  <si>
    <t>ㆍ83926_2017감사사례집1장에서_5장까지.pdf (p.159)
https://busanai.busan.go.kr/download/83926_2017감사사례집1장에서_5장까지.pdf</t>
  </si>
  <si>
    <t>근거자료 오류입니다.
관련 매뉴얼이 없어서
해당 답변에서 자세한 내용은 회계 관련 업무 담당자에게 문의하라는 식의 답변이 추가되어야 할 것 같습니다.</t>
  </si>
  <si>
    <t>결재권자(원인행위 승인, 지급명령 승인) 부재 시 대직자 설정 등 지출 방법을 알려줘~</t>
  </si>
  <si>
    <t>결재권자(원인행위 승인, 지급명령 승인)가 부재한 경우, 내부 규정에 따라 대직자 지정 및 결재 권한 위임을 통해 지출을 처리하는 절차와 승인 기준은 무엇인가요?</t>
  </si>
  <si>
    <t>결재권자 부재 시 대직자 설정 등 지출 방법과 관련된 절차는 다음과 같습니다.
결재권자 부재 확인: 결재권자가 부재 중임을 확인합니다. 이는 내부 메신저, 공지사항, 전화 등을 통해 확인할 수 있습니다.
대직자 확인: 결재권자의 직속 상급자 또는 관련 부서의 대직자를 확인합니다. 대직자는 결재권자의 업무를 대신 수행할 수 있는 권한과 책임이 있는 사람입니다.
지출 요청서 작성: 지출 요청서를 작성합니다. 이때, 지출의 목적, 금액, 필요성 등을 명확히 기재해야 합니다.
대직자 승인: 대직자에게 지출 요청서를 제출하고 승인을 받습니다. 대직자는 결재권자의 권한을 대행하여 지출 요청을 승인할 수 있습니다.
지출 실행: 대직자의 승인이 완료되면 지출을 실행합니다. 이때, 지출 내역을 기록하고 관련 증빙 서류를 보관합니다.
사후 보고: 지출이 완료된 후에는 결재권자에게 사후 보고를 합니다. 이를 통해 결재권자가 부재 중에도 지출이 적절하게 이루어졌음을 확인할 수 있습니다.
이러한 절차를 통해 결재권자 부재 시에도 원활하게 지출을 진행할 수 있습니다.</t>
  </si>
  <si>
    <t>관련 매뉴얼이 없습니다.
지출 관련 업무 담당자에게 문의하시기 바랍니다. 라는 식의 멘트가 필요합니다</t>
  </si>
  <si>
    <t>부산시 업무협약 체결할때, 의회 사전동의 유무, 협약서 검토 등 구체적인 절차를 알려줘~</t>
  </si>
  <si>
    <t>부산광역시에서 업무협약(MOU)을 체결할 때, 의회의 사전 동의가 필요한 경우, 협약서 검토 절차, 내부 결재 과정, 관련 부서 협의, 최종 체결까지의 구체적인 단계는 어떻게 되나요?</t>
  </si>
  <si>
    <t>부산시에서 업무협약을 체결할 때, 의회 사전동의 필요 여부와 협약서 검토 등 구체적인 절차는 다음과 같습니다.
1. 의회 사전동의 필요 여부
1. 시의 재정적 부담이 발생하는 경우: 업무협약 체결로 재정적 부담이 발생하여 향후 예산편성이 필요한 경우, 의회의 사전 의결을 받아야 합니다. 다만, 이미 예산이 확정된 사업의 집행을 위해 업무협약을 체결하는 경우는 사후보고 대상입니다.
2. 시의 권리 포기를 포함하는 경우
3. 주민의 권리 제한 또는 의무 부담을 포함하는 경우
2. 협약서 검토 절차
1. 모든 여건 검토: 업무협약 추진을 위해 전반적인 여건을 검토합니다. 여기에는 2. 소요예산, 업무처리능력, 추진성과, 긴급한 추진 필요성 등이 포함됩니다.
3. 협약서 작성: 협약서를 작성합니다. 재정부담을 수반하는 경우, 예산담당관과 법무담당관이 협약서 안을 검토합니다.
4. 시의회 의결 대상 여부 결정: 협약 내용이 시의 재정적 부담이 발생하거나 권리 포기를 포함하거나 주민의 권리 제한 또는 의무 부담을 포함하는 경우, 사전에 의회의 의결을 받아야 합니다.
5. 협약 체결: 정부 및 다른 지방자치단체를 포함한 협약 체결 대상기관과 업무협약을 체결합니다.
6. 사후 보고: 시의회 의결사항 이외의 업무협약에 대해 사후 보고가 필요할 경우, 실국 본부 소관 상임위에 보고하고, 시의회에는 사후 보고합니다.
관리 및 점검: 추진 상황을 기록하고 분기별로 점검 자료를 제출하며, 관리 현황을 제출합니다. 전년도 말 기준 관리 현황은 익년도 2월 말까지 제출합니다.</t>
  </si>
  <si>
    <t>ㆍ376_2210_조직담당관_업무매뉴얼_조직담당관_업무협약_관리_매뉴얼.pdf (p.3, 6)
https://busanai.busan.go.kr/download/376_2210_조직담당관_업무매뉴얼_조직담당관_업무협약_관리_매뉴얼.pdf
ㆍ75529_제2022-56호_부산광역시_업무협약_관리에_관한_조례_일부개정조례안_입법예고-hwp.pdf (p.2)
https://busanai.busan.go.kr/download/75529_제2022-56호_부산광역시_업무협약_관리에_관한_조례_일부개정조례안_입법예고-hwp.pdf</t>
  </si>
  <si>
    <t>2번째 근거문서는 입법예고문이라 잘못된 근거자료입니다.
1번 근거자료는 해당 자료가 맞습니다.
중간에 순서별 숫자 명시가 좀 잘못되어 있습니다.
그리고 의회 사전 동의 필요 여부가 앞에 명시가 되어 있는데
뒤쪽에 협약서 검토 절차 부분에 싀의회 의결 대상 여부 결정: 이 내용 부분이 중복됩니다.</t>
  </si>
  <si>
    <t>기대답변 :
 업무협약 추진 흐름도
 1. 업무협약 추진 검토
  - 모든 여건 검토
  &gt; 소요예산 업무처리능력 추진성과 긴급한 추진 필요성 등 전반적인 여건 검토
 2. 업무협약 체결계획 수립
  - 협약서 작성
  &gt; 재정부담 수반하는 경우 협의 : 예산담당관
  &gt; 협약서 안 검토 : 법무담당관
  &gt; 외국어 협약서 안 검토 : 국제협력과
 3. 시의회 의결
  - 의 결 : 시의회 의결대상 업무협약
  &gt; 부의안건으로 제출 실 국 본부 기획담당관
  * 부산광역시 업무협약 관리에 관한 조례 제6조제2항
  ► 사후의결의 경우 소관 상임위원회에 사전설명 필수
 4. 업무협약 체결, 시의회 사후보고
  - 협약 체결 : 대상기관 과 업무협약 체결
  * 정부 및 다른 지방자치단체도 포함
  - 사후 보고 : 시의회 의결사항 이외의 업무협약, 취소사유 등 이 발생한 업무협약
  보고안건으로 제출 실 국 본부 소관 상임위
  ► 부산광역시 업무협약 관리에 관한 조례 제5조제3항, 제6조제1항
 5. 사후관리
  - 점검 관리
  &gt; 추진상황 기록 관리
  &gt; 분기별 점검자료 제출 실 국 본부 조직담당관
  &gt; 관리현황 제출 실 국 본부 소관 상임위
  ► 관리현황(전년도말 기준)은 익년도 2월말까지 제출</t>
  </si>
  <si>
    <t>376_2210_조직담당관_업무매뉴얼_조직담당관_업무협약_관리_매뉴얼.pdf</t>
  </si>
  <si>
    <t>6</t>
  </si>
  <si>
    <t>붙임1 업무협약 추진 흐름도
 1. 업무협약 추진 검토
 모든 여건 검토
 소요예산 업무처리능력 추진성과 긴급한 추진
 필요성 등 전반적인 여건 검토
 2. 업무협약 체결계획 수립
 협약서 작성
 재정부담 수반하는 경우 협의 예산담당관
 협약서 안 검토 법무담당관
 외국어 협약서 안 검토 국제협력과
 3. 시의회 의결
 의 결 시의회 의결대상 업무협약
 부의안건으로 제출 실 국 본부 기획담당관
 부산광역시 업무협약 관리에 관한 조례 제 6조제 2항
 ► 사후의결의 경우 소관 상임위원회에 사전설명 필수
 4. 업무협약 체결
 시의회 사후보고
 협약 체결 대상기관 과 업무협약 체결
  * 정부 및 다른 지방자치단체도 포함
 사후 보고 시의회 의결사항 이외의 업무협약
 취소사유 등 이 발생한 업무협약
 보고안건으로 제출 실 국 본부 소관 상임위
 ► 부산광역시 업무협약 관리에 관한 조례 제 5조제 3항 제 6조제 1항
 5. 사후관리
 점검 관리
 추진상황 기록 관리
 분기별 점검자료 제출 실 국 본부 조직담당관
 관리현황 제출 실 국 본부 소관 상임위
  ► 관리현황 (전년도말) 기준 은 익년도 2월말까지 제출</t>
  </si>
  <si>
    <t>업무협약 추진 절차, 업무협약 추진 과정, 업무협약서의 검토 과정, 업무협약 체결계획 수립,업무협약 체결 절차, 업무협약 체결 과정, 업무협약 시의회 의결</t>
  </si>
  <si>
    <t>[RAG 검색되었으나 유사도 낮음]
[청크 데이터 확인 필요]</t>
  </si>
  <si>
    <t>시청 각 회의장별 좌석배치도(안)을 검색해줘~</t>
  </si>
  <si>
    <t>부산광역시청 각 회의장별 좌석배치(안)를 확인하거나 열람할 수 있는 공식 자료와 접근 방법은 무엇인가요?</t>
  </si>
  <si>
    <t>부산시청 각 회의장별 좌석배치도(안)은 부산시청 홈페이지에서 확인하실 수 있습니다.
부산시청 홈페이지에 접속하여 "회의실" 메뉴를 선택하시면 각 회의장별 좌석배치도를 확인하실 수 있습니다</t>
  </si>
  <si>
    <t>시청 회의실 관련 좌석배치도가 시청 홈페이지에 확인이 안됩니다.
근거 문서도 없습니다.</t>
  </si>
  <si>
    <t>시차출퇴근제 신청 한 날 반가를 쓰면 퇴근을 지정해야하는지? 유연근무제 복무 유의사항은 무엇이 있을까?</t>
  </si>
  <si>
    <t>부산광역시청 시차출퇴근제를 신청한 날에는 퇴근 시간 지정이 필요한지, 유연근무제 적용 시 준수해야 할 복무 유의사항과 내부 규정 기준은 무엇인가요?</t>
  </si>
  <si>
    <t>시차출퇴근제를 신청한 날에 반차를 사용하는 경우, 퇴근 시간을 지정해야 하는지 여부와 유연근무제 복무 시 유의사항은 다음과 같습니다.
퇴근 시간 지정 여부
시차출퇴근제를 신청한 날에 반차를 사용하는 경우, 퇴근 시간을 지정해야 합니다. 이는 회사의 복무 규정에 따라 다를 수 있으므로, 회사 인사팀이나 담당자에게 문의하여 정확한 규정을 확인하는 것이 좋습니다.
유연근무제 복무 시 유의사항
유연근무제를 복무할 때는 다음과 같은 사항을 유의해야 합니다.
업무 시간 준수: 유연근무제라 하더라도 정해진 업무 시간을 준수해야 합니다. 업무 시작과 종료 시간을 명확히 설정하고, 이를 준수해야 합니다.
업무 연속성 확보: 업무의 연속성을 유지하기 위해 필요한 최소한의 시간을 확보해야 합니다. 예를 들어, 회의나 협업이 필요한 경우, 이를 고려하여 근무 시간을 설정해야 합니다.
상사 및 동료와의 소통: 유연근무제를 시행할 때는 상사와 동료와의 소통이 중요합니다. 업무 진행 상황을 공유하고, 필요한 경우 협업을 원활하게 진행할 수 있도록 해야 합니다.
규정 준수: 회사의 유연근무제 관련 규정을 준수해야 합니다. 규정에는 근무 시간, 휴가 사용, 업무 보고 등의 내용이 포함될 수 있으므로, 이를 철저히 준수해야 합니다.
업무 성과 평가: 유연근무제의 업무 성과는 일반 근무자와 동일하게 평가받습니다. 따라서 업무 성과를 높이기 위해 노력해야 합니다.
이러한 유의사항을 잘 지키면서 유연근무제를 효과적으로 활용할 수 있습니다.</t>
  </si>
  <si>
    <t>관련 내용에 대한 근거문서는 없습니다.
내용은 담당자에게 문의하라는 내용이 있어서 괜찮을거 같습니다.</t>
  </si>
  <si>
    <t>기대답변
 1. 시차출퇴근제 신청 날 반일(연가, 지각, 조퇴 등) 사용 시 퇴근 지정 여부
  ○ 반일 연가, 지각, 조퇴, 시간 단위 특별휴가·공가를 사용하더라도 출·퇴근 시간은 반드시 지정해야 함.
  ○ 구체 사례:
  - 출근 전 지각 사용: 실제 출근 시간에 출근 지정, 퇴근은 정규 퇴근 시간 이후 지정
  - 출근 후 반일연가/조퇴 사용: 출근은 원래 출근시간 지정, 퇴근은 연가·조퇴 종료 시 지정
  - 출근 전 시간 단위 공가/특별휴가: 사용 후 실제 출근 시간에 출근 지정, 퇴근은 정규 퇴근 시간 이후 지정
  - 출근 후 시간 단위 공가/특별휴가: 복귀 시 출근·퇴근 모두 지정, 복귀하지 못하면 출근만 지정, 퇴근은 휴가 종료 시점으로 지정
 → 요약: 유연근무제 날이라도 근무시간 일부를 연가 등으로 사용하더라도 출·퇴근 지정은 필수입니다.
 2. 유연근무제 출·퇴근 지정 관련 유의사항
  ○ 출근시간 지각 시
  - 지각 시간만큼 연가 차감 후, 퇴근은 원래 퇴근시간에 지정
  ○ 근무시간선택형(정규근무시간 일부 변경)
  - 출·퇴근 모두 지정 필요
  - 단, 정규근무와 동일한 날은 출·퇴근 지정 불필요
  ○ 출장과 유연근무
  - 출근 전 출장: 출장 시작 시 부서장 보고 → 퇴근은 지정 필요 또는 출장 종료 시 보고
  - 출근 후 출장: 출근 시간 지정, 퇴근은 출장 종료 시 보고
  - 증빙자료 제출 필요(기차표, 출장보고서 등)
  ○ 휴가와 유연근무 병행
  - 출·퇴근 지정 필수
  - 실제 근무 시작과 종료 시간을 기준으로 지정</t>
  </si>
  <si>
    <t>1259_지방공무원_복무에_관한_예규_개정안전문_행정안전부_예규_제340호.pdf</t>
  </si>
  <si>
    <t>&lt; 유연근무 출·퇴근 지정 관련 주요 사례 &gt;
 ￭ 유연근무 출근시간을 지나서 출근한 경우
 (사례1) 시차출퇴근형 8:30 ∼ 17:30 근무인데 8:40분 출근한 경우
  ⇒ 지각한 시간(10분)만큼 ‘지각’(연가 차감)을 사용하고 17:30분에 퇴근
 ￭ 유연근무로 정규근무시간(9~18시)에서 퇴근시간만 바뀌는 경우
 (사례2) 근무시간선택형 9:00 ∼ 17:00 근무
  ⇒ 출·퇴근시간 모두 지정하여야 함(9시 이전 출근 지정, 17시 이후 퇴근 지정) ※ 유연근무로 정규근무시간에서 출근시간만 바뀌는 경우도 동일
 ￭ 1주일의 유연근무 중에 정규근무시간(9~18시) 근무를 하는 날의 경우
 (사례3) 근무시간선택형을 선택하여 월요일 9∼17시, 화요일 9∼19시, 수요일 9∼18시, 목요일 9∼17시, 금요일 9∼19시 근무를 설정
  ⇒ 근무시간선택형으로 선택한 근무일 중 정규근무시간과 동일한 수요일은 출·퇴근지정 불필요
 ￭ 유연근무일에 출장을 가는 경우
  - 출장이 예정되어 있는 날에는 유연근무를 하지 않는 것이 원칙, 단, 유연근무 하는 날에 출장을 간다하더라도 가능한 한 출·퇴근시간을 지정 하여야 함
 (사례4) 사무실 출근 전에 출장을 가는 경우
  ⇒ (사례4-1) 퇴근 시간 전에 사무실로 복귀 시 
  ☞ (출근시간) 출장 시작 시 부서장 보고로 갈음(전화, 메신저 등)
  ※ 필요 시 출장일정을 증빙할 수 있는 자료(기차표, 출장보고서 등)를 부서 복무담당자에게 제출
  ☞ (퇴근시간) 퇴근시간 지정 필요
 - 22 -
  ⇒ (사례4-2) 퇴근시간까지 사무실로 복귀하지 못할 시 
  ☞ (출근시간) 출장 시작 시 부서장 보고로 갈음(전화 메신저 등) ☞ (퇴근시간) 출장 종료 시 부서장 보고로 갈음(전화, 메신저 등)
  ※ 필요 시 출장일정을 증빙할 수 있는 자료(기차표, 출장보고서 등)를 부서 복무담당자에게 제출
 (사례5) 사무실 출근 후 출장을 가는 경우
  ⇒ (사례5-1) 퇴근 시간 전에 사무실로 복귀 시 
  ☞ (출·퇴근시간) 모두 지정 필요
  ⇒ (사례5-2) 퇴근시간까지 사무실로 복귀하지 못할 시 
  ☞ (출근시간) 지정 필요
  ☞ (퇴근시간) 출장 종료 시 부서장 보고로 갈음(전화, 메신저 등)
  ※ 필요 시 출장일정을 증빙할 수 있는 자료(기차표, 출장보고서 등)를 부서 복무담당자에게 제출
 ￭ 유연근무일에 반일연가·지각·조퇴 또는 시간 단위로 특별휴가·공가를 사용한 경우
  - 유연근무를 하는 날의 근무시간 중 일부 시간을 연가 등 휴가를 사용하더라도 출·퇴근 
 지정을 하여야 함
 (사례6) 출근 전 ‘지각’을 사용 
  - 시차출퇴근형(9:30～18:30) 이용한 날, 30분 지각을 사용한 경우
  ⇒ 지각 사용 후 실제 출근하는 시간에 출근 지정해야 하므로, 10:00 이전에 출근하면서 출근시간을 지정하고, 18:30 이후 퇴근 지정
 (사례7) 출근 후 ‘반일연가’ 또는 ‘조퇴’를 사용한 경우
  - 시차출퇴근형(09:30～18:30) 이용한 날, 3시간 조퇴를 사용한 경우 
  ⇒ 출근시간인 09:30에 출근지정하고, 15:30 이후 조퇴를 하면서 사무실을 떠나는 시간에 퇴근 지정
 (사례8) 출근 전 시간단위 ‘특별휴가’ 또는 ‘공가’를 사용한 경우
  - 시차출퇴근형(09:30～18:30) 이용한 날, 09:30부터 10:00까지 30분간 육아시간을
 사용하여 사용한 경우 
  ⇒ 30분 육아시간 사용 후 실제 출근하신 시간에 출근을 지정해야 하므로
 10:00 이전에 출근지정을 하고, 18:30 이후 퇴근 지정
 (사례9) 출근 후 시간단위 ‘특별휴가’ 또는 ‘공가’를 사용한 경우
  - 시차출퇴근형(09:30~18:30), 3시간 ‘공가’를 사용한 경우 
  ⇒ (사례9-1) 3시간 공가 사용(13:00~16:00)하여 사무실 복귀하는 경우
  ☞ 출·퇴근 시간 모두 지정 필요
  ⇒ (사례9-2) 3시간 공가 사용(15:30~18:30)으로 사무실로 복귀하지 못하는 경우 
  ☞ 출근 시 출근 지정, 공가 사용시작 시간인 15:30 이후에 퇴근지정</t>
  </si>
  <si>
    <t>장기재직휴가 관련해서 구군 전입 전출 직원은 인사랑에 기록이 안남아있나요?</t>
  </si>
  <si>
    <t>구·군 간 전입·전출 직원의 장기재직휴가 이력과 관련해서 인사랑 시스템에 누락되는 경우가 실제로 존재하는지, 그리고 이를 확인·정정하는절차는 무엇인가요?</t>
  </si>
  <si>
    <t>장기재직휴가 관련해서 구군 전입 전출 직원의 경우 인사랑에 기록이 남지 않을 수 있습니다.
관련내용은 다음과 같습니다.
인사랑 기록 유지: 인사랑 시스템은 일반적으로 직원의 인사 기록, 휴가 기록 등을 관리합니다. 따라서 장기재직휴가를 사용한 기록은 인사랑 시스템에 남게 됩니다.
인사부서 통보: 장기재직휴가 사용 후 인사부서에 통보하여 기록 유지가 필요합니다. 이는 인사 관리의 일환으로, 장기재직휴가 사용 후에도 해당 기록이 인사 시스템에 반영되어야 합니다.
전입 전출 직원: 구군 전입 또는 전출 직원의 경우, 인사 이동에 따른 기록이 인사랑 시스템에 반영될 수 있습니다. 이는 전입 또는 전출 시점에 인사부서에 통보하고, 필요한 조치를 취함으로써 이루어집니다.
따라서, 장기재직휴가를 사용한 직원의 기록은 인사랑 시스템에 남게 되며, 전입 또는 전출 시에도 인사부서에 통보하여 기록이 유지되도록 해야 합니다.</t>
  </si>
  <si>
    <t>ㆍ83926_2017감사사례집1장에서_5장까지.pdf (p.86)
https://busanai.busan.go.kr/download/83926_2017감사사례집1장에서_5장까지.pdf</t>
  </si>
  <si>
    <t>관련 근거가 맞지 않습니다.
그리고 내용도 처음엔 남지 않는다고 하면서 뒤에 세부내용을 설명할때는 인사랑 기록이 남는다고 써있습니다.
실제로는 인사랑은 차세대 시스템으로 통합되어 기록이 유지되고 있습니다.</t>
  </si>
  <si>
    <t>인사랑 관련 매뉴얼이 없으므로
 미답변 처리 하시면 됩니다.</t>
  </si>
  <si>
    <t>탄력근무제 관련해서 자세한 매뉴얼이 있나요</t>
  </si>
  <si>
    <t>부산광역시에서 실시하는 탄력근무제 운영에 관한 공식 매뉴얼이나 지침서가 존재하는지, 존재할 경우 확인·열람하는 방법은 무엇인가요?</t>
  </si>
  <si>
    <t>탄력근무제는 근로자가 업무의 효율성을 높이기 위해 근무 시간과 근무일을 조정하는 제도입니다. 탄력근무제를 도입하고 운영하기 위해서는 다음과 같은 매뉴얼이 필요합니다.
탄력근무제 도입 계획 수립: 탄력근무제를 도입하기 전에, 회사의 업무 특성과 근로자의 요구를 고려하여 탄력근무제 도입 계획을 수립해야 합니다. 이를 위해 근로자와의 협의가 필요합니다.
탄력근무제 운영 방안 마련: 탄력근무제의 운영 방안을 마련해야 합니다. 여기에는 근무 시간, 근무일, 근무 장소, 업무 분장, 성과 평가 등의 세부 사항이 포함됩니다.
근로계약서 및 취업규칙 개정: 탄력근무제를 도입하기 위해서는 근로계약서와 취업규칙을 개정해야 합니다. 이를 통해 탄력근무제의 구체적인 조건과 절차를 명시해야 합니다.
근로자 교육 및 안내: 탄력근무제를 도입한 후에는 근로자에게 제도에 대한 교육 및 안내를 제공해야 합니다. 이를 통해 근로자가 제도를 이해하고 활용할 수 있도록 해야 합니다.
모니터링 및 평가: 탄력근무제의 운영 상황을 모니터링하고, 주기적으로 평가하여 개선점을 찾아야 합니다. 이를 통해 제도의 효율성을 높이고, 근로자의 만족도를 높일 수 있습니다.
이러한 매뉴얼을 통해 탄력근무제를 체계적으로 운영할 수 있으며, 근로자의 업무 효율성과 만족도를 높이는 데 도움이 될 수 있습니다.</t>
  </si>
  <si>
    <t>해당 근거문서가 없습니다. 
그리고 매뉴얼의 존재여부에 대해 질의를 했는데
매뉴얼의 필요성에 대한 답변이 나와서 질의 해석이 잘못된거 같습니다.</t>
  </si>
  <si>
    <t>기대답변 : 
 지방공무원 복무에 관한 예규에 탄력근무제 관련한 자세한 내용이 있습니다.
 탄력 근무제
  ‣ 주 40시간 근무하되, 출퇴근시각‧근무시간‧근무일을 자율 조정
 1. 시차 출퇴근형
  ‣ 기본개념 : 1일 8시간 근무체제 유지, 출퇴근시간 자율 조정
  ‣ 실시기간 : 1일 이상
  ‣ 신청시기 : 당일까지 신청하되, 당일 24시까지 부서장 승인
  ‣ 출근유형 : 가급적 07:00∼10:00까지로 30분 단위로 하되 필요시 탄력적으로 운영 가능
 2. 근무시간 선택형
  ‣ 기본개념 : 일 8시간에 구애받지 않음(일4∼12시간 근무), 주 5일 근무 준수
  ‣ 실시기간 : 1주 이상으로 하되 당일 신청 시 2일 이상
  ‣ 신청시기 : 당일까지 신청하되, 당일 24시까지 부서장 승인
  ‣ 근무가능시간대는 06:00∼24:00로 하되 1일 최대 근무시간은 12시간 
 3. 집약 근무형
  ‣ 기본개념 : 일 8시간에 구애받지 않음(일4∼12시간 근무), 주 3.5∼4일 근무
  ‣ 실시기간 : 1주일 이상
  ‣ 신청시기 : 실시 전일까지
  ‣ 근무가능시간대는 06:00∼24:00로 하되 1일 최대 근무시간은 12시간
  ‣ 정액급식비 등 출퇴근을 전제로 지급되는 수당은 출근하지 않는 일수만큼 감하여 지급</t>
  </si>
  <si>
    <t>12</t>
  </si>
  <si>
    <t>탄력 근무제
  ‣ 주 40시간 근무하되, 출퇴근시각‧근무시간‧근무일을 자율 조정
 1. 시차 출퇴근형
  ‣ 기본개념 : 1일 8시간 근무체제 유지, 출퇴근시간 자율 조정
  ‣ 실시기간 : 1일 이상
  ‣ 신청시기 : 당일까지 신청하되, 당일 24시까지 부서장 승인
  ‣ 출근유형 : 가급적 07:00∼10:00까지로 30분 단위로 하되 필요시 탄력적으로 운영 가능
 2. 근무시간 선택형
  ‣ 기본개념 : 일 8시간에 구애받지 않음(일4∼12시간 근무), 주 5일 근무 준수
  ‣ 실시기간 : 1주 이상으로 하되 당일 신청 시 2일 이상
  ‣ 신청시기 : 당일까지 신청하되, 당일 24시까지 부서장 승인
  ‣ 근무가능시간대는 06:00∼24:00로 하되 1일 최대 근무시간은 12시간 
 3. 집약 근무형
  ‣ 기본개념 : 일 8시간에 구애받지 않음(일4∼12시간 근무), 주 3.5∼4일 근무
  ‣ 실시기간 : 1주일 이상
  ‣ 신청시기 : 실시 전일까지
  ‣ 근무가능시간대는 06:00∼24:00로 하되 1일 최대 근무시간은 12시간
  ‣ 정액급식비 등 출퇴근을 전제로 지급되는 수당은 출근하지 않는 일수만큼 감하여 지급</t>
  </si>
  <si>
    <t>탄력근무제와 관련한 매뉴얼, 메뉴얼, 안내서</t>
  </si>
  <si>
    <t>DRM, 네트워크 인증 등 신규직원이 컴퓨터 사용에 알아야할 것들에 대해 정리해주세요.</t>
  </si>
  <si>
    <t>신규 직원이 컴퓨터 및 네트워크를 사용할 때 알아야 하는 DRM(자료반출관리시스템) 사용, 네트워크 접근 인증(NAC, 네트워크 접근제어) 등의 필수 사항을 알려주세요.</t>
  </si>
  <si>
    <t>[보 고 서 제 목]
신규 직원 컴퓨터 사용 전 필수 보안 사항
[추진배경 요약]
신규 직원이 컴퓨터를 사용하기 전에 알아야 할 DRM, 네트워크 인증 등 관련 사항을 정리하여 보안 사고를 예방하고 업무 효율성을 높이기 위함
[추진근거]
전자정부법
국가 정보 보안 기본 지침(국가 정보원)
네트워크 장비 구축·운영 사업 추가 특수 조건(조달청 지침)
[추진 배경]
신규 직원의 보안 의식 부족으로 인한 보안 사고 발생 가능성 증가
정보 유출 및 시스템 장애 등 보안 사고 발생 시 업무 차질 및 재정적 손실 발생
보안 정책 및 절차의 이해 부족으로 인한 보안 위협 요소 증가
[현황 및 문제점]
신규 직원의 보안 인식 부족으로 인한 보안 사고 발생 가능성 존재
보안 정책 및 절차에 대한 이해 부족으로 인한 보안 위협 요소 존재
보안 교육 및 훈련 부족으로 인한 보안 사고 발생 가능성 증가
[추진 개요]
신규 직원이 컴퓨터를 사용하기 전에 알아야 할 보안 관련 사항 정리
보안 교육 및 훈련 프로그램 개발 및 실시
[세부 추진계획]
보안 교육 및 훈련 프로그램 개발
보안 관련 법령 및 정책 설명
DRM, 네트워크 인증 등 보안 기술 설명
보안 사고 예방 및 대응 방법 교육
보안 관련 문서 및 자료 제공
보안 관련 법령 및 정책 문서 제공
보안 사고 예방 및 대응 방법 문서 제공
보안 점검 및 모니터링
신규 직원의 보안 점검 및 모니터링 실시
보안 사고 발생 시 신속한 대응 및 조치
[기대효과]
신규 직원의 보안 의식 향상으로 인한 보안 사고 예방
보안 정책 및 절차에 대한 이해 증진으로 인한 보안 위협 요소 감소
보안 교육 및 훈련 프로그램을 통한 보안 사고 대응 능력 향상
[협조사항]
인사부서: 신규 직원 교육 및 훈련 프로그램 개발 및 실시 협조
IT 부서: 보안 점검 및 모니터링 실시 협조
[추진일정]
1개월 내 보안 교육 및 훈련 프로그램 개발 완료
2개월 내 신규 직원 보안 교육 실시
3개월 내 보안 점검 및 모니터링 실시
[향후 계획]
정기적인 보안 교육 및 훈련 프로그램 실시
보안 사고 발생 시 신속한 대응 및 조치
보안 정책 및 절차 개선 및 업데이트</t>
  </si>
  <si>
    <t>ㆍ10081_과업지시서-hwp.pdf (p.45)
https://busanai.busan.go.kr/download/10081_과업지시서-hwp.pdf</t>
  </si>
  <si>
    <t>DRM 해결방법
 ① 부서관리자 사이트 접속 부서관리자 권한 부여된 사용자만 가능
 http://99.1.81.71:9080/fed5 접속후 , 사용자 ID / 비밀번호 입력(자료유출방지시스템 ID/ 비번)
 ② 상단메뉴 공통설정 조직관리 클릭
 ③ 로그인 후 좌측 부서 내 사용자를 선택한 후 우측 상단 수정 클릭
 ④ 아래의 화면에서 초기화비밀번호 a12345 를 입력한 후 우측 상단 확인 클릭하여 수정 
  ★ 비번 초기화 후 사용자는 비밀번호 변경하여 로그인
 PC Client 해결방법 : 관련 문서가 없으므로 자세한 사항은 담당 부서나 업무 담당자에게 문의하시기 바랍니다.</t>
  </si>
  <si>
    <t>부서에서 회계과로 계약요청을 하기 위한 절차는 어떻게 되나요</t>
  </si>
  <si>
    <t>부서에서 공사·용역·물품 계약을 위해 회계과에 계약 요청을 할 때, 신청 서류, 결재 단계, 검토 절차, 요청 방법 등 전체 과정을 단계별로 상세히 안내해 주세요.</t>
  </si>
  <si>
    <t>부산시청 회계과로 계약 요청을 하기 위한 절차는 다음과 같습니다.
계약 요청서 작성: 계약 요청서를 작성합니다. 계약 요청서에는 계약의 목적, 계약 금액, 계약 기간, 계약 방법, 계약 상대방 등의 내용을 포함해야 합니다.
계약 요청서 제출: 계약 요청서를 부산시청 회계과로 제출합니다. 제출 방법은 이메일, 우편, 방문 등이 있습니다.
계약 요청서 검토: 회계과에서는 계약 요청서를 검토합니다. 검토 과정에서 계약의 적절성, 예산의 적정성 등을 확인합니다.
계약 체결: 계약 요청서가 검토 완료되면 계약을 체결합니다. 계약 체결 시에는 계약서 작성, 계약 보증금 납부 등의 절차가 포함됩니다.
계약 체결 결과 통보: 계약 체결이 완료되면 계약 상대방에게 계약 체결 결과를 통보합니다.
이 절차는 일반적인 계약 요청 절차이며, 부산시청 회계과의 구체적인 절차는 다를 수 있습니다. 따라서, 부산시청 회계과에 문의하여 정확한 절차를 확인하는 것이 좋습니다.</t>
  </si>
  <si>
    <t>회계재산담당관에서 제출한 계약업무 참고자료에 보면 계약집행 흐름도가 있는데
해당 페이지(9P)에 관련 내용이 있습니다.</t>
  </si>
  <si>
    <t>3. 계약 집행 흐름도에서 10P의 계약 체결까지만 내용 전달
 기대답변 :
 부서에서 회계과로 계약요청을 하기 위한 절차는 다음과 같습니다
 1. 사업부서
  - 계약심사: 추정금액에 따라 계약심사를 진행합니다
  &gt; 종합공사 5억원, 전문공사 3억원, 용역 1억원, 물품 2천만원 이상 시 심사 필요
  - 사전규격공개(5천만원 이상): 용역(과업지시서 등), 물품(규격서, 제작시방서 등)을 G2B에 공개합니다
  - 계약심의: 광역지자체 기준으로 추정가격 공사 70억원, 용역·물품 20억원 이상 시 심의합니다
 2. 계약의뢰
  - 사업부서에서 계약부서로 계약의뢰를 진행합니다
 3. 일상감사
  - 추정가격에 따라 일상감사를 진행합니다
  &gt; 종합공사 5억원, 전문공사 3억원, 용역 2억원, 물품 2천만원 이상 시 감사 필요
 4. 입찰공고 (1인 견적 수의계약 제외)
  - 계약부서에서 입찰공고를 진행합니다
  &gt; 공고방법: G2B 및 시홈페이지
  &gt; 공고기간: 용역·물품, 공사, 협상에 의한 계약 등에 따라 다릅니다
 5. 입찰 및 적격심사
  - 계약부서에서 입찰 및 적격심사를 진행합니다
  &gt; 적격심사 대상: 입찰을 하는 사업만 심사합니다
 6. 계약체결
  - 계약부서에서 계약을 체결합니다
  &gt; 계약문서의 종류: 품의서·계획서, 계약서, 입찰유의서, 설계서, 물량내역서, 과업내용서 등
 이 절차를 따라 부서가 회계과로 계약요청을 진행할 수 있습니다.</t>
  </si>
  <si>
    <t>9, 10</t>
  </si>
  <si>
    <t>계약집행 흐름도
 1. 사업부서
 ○ 계약심사 : 추정금액 종합공사 5억원, 전문공사 등 3억원, 용역 1억원, 물품 2천만원 이상(조달청 의뢰계약, 협상에 의한 계약 제외)
 ※ 공사원가 사전검토 : 추정가격 100억원 이상인 공사 → 조달청에 공사원가 사전검토 요청
 ○ 사전규격공개(5천만원 이상) : 용역(과업지시서 등), 물품(규격서, 제작시방서 등) g2b 공개 5일(긴급3일)
 ○ 계약심의 : 광역지자체 - 추정가격 공사 70억원, 용역․물품 20억원 이상 (긴급한 재해복구사업, 지역경제 활성화를 위하여 예산을 조기집행할 필요가 있는 사업 제외)
 2. 계약의뢰
 3. 일상감사
 ○ 대 상 : 추정가격 종합공사 5억원, 전문공사 등 3억원, 용역 2억원, 물품 2천만원 이상(조달청 의뢰계약 제외)
 ○ 시 기 : 계약부서에서 입찰공고 직전 일상감사 부서로 일상감사 의뢰(예외 : PQ 설계공모, 협상에 의한 계약은 발주부서가 의뢰, 단, 협상계약(용역2억↑,물품2천만↑은 계약부서 타당성검토 받은 후 요청)
 4. 입찰공고 (1인 견적 수의계약 제외) : 계약부서
 ○ 공고방법 : 지정정보처리장치(G2B) 및 시홈페이지
 ○ 공고기간
  ▷ 용역․물품 : 입찰서 제출마감일 전일부터 기산하여 7일전(긴급․재공고 5일) 
  ▷ 공사입찰
  - 현장설명 × 
  &gt; 10억원 미만(원칙 7일, 긴급 5일), 10억원 이상 ~ 50억원 미만(원칙 15일, 긴급 5일), 50억원 이상 고시금액 미만(원칙 30일, 긴급 5일), 고시금액 이상(원칙 40일, 긴급 10일)
  - 현장설명 ○
  &gt; 10억원 미만(원칙 7일+현장설명일+7일), 10억원 이상 ~ 50억원 미만(원칙 7일+현장설명일+15일), 50억원 이상 고시금액 미만(원칙 7일+현장설명일+33일), 고시금액 이상(원칙 7일+현장설명일+33일, ※PQ대상공사 : 30일+현장설명일+33일)
  &gt; 긴급(5일+현장설명일+입찰공고에서 정한 기간)
  ※ 추정가격 300억원 이상 공사입찰시 현장설명을 하는 경우 현장설명에 참가한 자만 입찰에 참가하게 하여야 함
  ▷ 협상에 의한 계약 : 1억원미만 10일, 10억원미만 20일, 10억원이상 40일, 긴급·재공고 10일
  ▷ 국제입찰 : 40일(긴급 10일)
  ▷ 전자수의(견적입찰) : 3일이상(공휴일과 토요일 제외)
 ○ 공고내용 : 입찰에 부치는 사항, 개찰장소와 일시 등 입찰에 필요한 사항
 ○ 지역제한입찰 대상
  ▷ 공사 : 종합 100억원미만, 전문·전기·그밖의 공사 10억원미만
  ▷ 건설기술용역 : 기획재정부장관 고시금액[3.3억원] 미만(안전진단 및 정밀안전진단용역의 경우 1.5억원미만)
  ▷ 건설기술용역 외의 용역 또는 물품의 제조․구매
  - 광역지자체 : 행정안전부장관 고시금액[3.5억원] 미만
 ○ 지역의무공동도급
  ▷ 대상 : 추정가격 100억이상 (용역․물품 해당없음) - 국제입찰(265억)△ 외국인참여 시 제외
  ▷ 지역업체 의무참여비율 : 원칙 40%, 예외(지역경제활성화) 49%
 ○ 주계약자 공동도급
  ▷ 추정가격 4억원이상 100억원미만 종합공사 중 발주기관이 필요하다고 인정하는 공사
 5. 입찰 및 적격심사 : 계약부서
 ○ 적격심사 대상 : 입찰을 하는 사업만 적격심사 실시(수의계약[전자수의 포함]은 적격심사 미실시)
 ○ 적격심사절차 : 자료제출(통보일부터 7일이내, 30억이상~100억미만 공사는 15일이내) → 심사(7일이내) → 낙찰자 결정통보 → 계약체결(10일이내)
 6. 계약체결 : 계약부서
 ○ 계약문서의 종류
  1) 품의서· 계획서
  2) 계약서(계약당사자간 상호 날인· 간인)
  3) 입찰유의서, 계약일반조건, 계약특수조건(필요시)
  4) 설계서(설계설명서, 설계도면, 현장설명서), 규격서(물품)
  5) 물량내역서(입찰· 수의계약안내공고의 경우)
  6) 과업내용서 ․ 과업지시서(용역․물품 등)
  6) 착공· 준공신고서, 공정예정표, 산출내역서 등
  7) 감독관, 검사· 검수공무원이 지정하는 서류, 감독조서, 검사· 검수조서 등
  8) 입찰· 계약· 하자· 선금 보증서(계약기간· 보증기간· 보증금액 등 확인)
  9) 정부수입인지(인지세법)
  10) 지역개발공채 매입필증 등(지역개발기금설치조례 등)
  11) 하도급계약서 사본(하도급계약 통지의 경우)
  12) 하도급대금 직불합의서(하도급대금 직불의 경우)
  13) 공동계약이행계획서(공동계약의 경우)
  14) 그 밖의 계약이행에 필요한 서류</t>
  </si>
  <si>
    <t>용역 계약 절차 상세 안내, 부서에서 회계과 계약요청 절차 안내</t>
  </si>
  <si>
    <r>
      <rPr>
        <rFont val="맑은 고딕"/>
        <b/>
        <color rgb="FFFF0000"/>
        <sz val="11.0"/>
      </rPr>
      <t>478_2505_회계재산담당관_업무매뉴얼_회계재산담당관_계약업무_참고자료회계재산담당관외부용.pdf[9]</t>
    </r>
    <r>
      <rPr>
        <rFont val="맑은 고딕"/>
        <color rgb="FFFF0000"/>
        <sz val="11.0"/>
      </rPr>
      <t xml:space="preserve">
-----
</t>
    </r>
    <r>
      <rPr>
        <rFont val="맑은 고딕"/>
        <color rgb="FFFF0000"/>
        <sz val="11.0"/>
      </rPr>
      <t xml:space="preserve">[계약을 요청하기 위한 절차는 "3. 계약 집행 흐름도 전체를 넘겨야 하는지 확인 필요]
</t>
    </r>
    <r>
      <rPr>
        <rFont val="맑은 고딕"/>
        <color rgb="FFFF0000"/>
        <sz val="11.0"/>
      </rPr>
      <t xml:space="preserve">
3. 계약집행 흐름도
사업부서
○ 계약심사 : 추정금액 종합공사 5억원, 전문공사 등 3억원, 용역 1억원, 물품 2천만원 이상 (조달청 의뢰계약, 협상에 의한 계약 제외)
※ 공사원가 사전검토 : 추정가격 100억원 이상인 공사 → 조달청에 공사원가 사전검토 요청○ 사전규격공개(5천만원 이상) : 용역(과업지시서 등), 물품(규격서, 제작시방서 등)
 g2b 공개 5일(긴급3일)
○ 계약심의 : 광역지자체 - 추정가격 공사 70억원, 용역</t>
    </r>
    <r>
      <rPr>
        <rFont val="MS UI Gothic"/>
        <color rgb="FFFF0000"/>
        <sz val="11.0"/>
      </rPr>
      <t>․</t>
    </r>
    <r>
      <rPr>
        <rFont val="맑은 고딕"/>
        <color rgb="FFFF0000"/>
        <sz val="11.0"/>
      </rPr>
      <t>물품 20억원 이상
 (긴급한 재해복구사업, 지역경제 활성화를 위하여 예산을 조기집행할 필요가 있는 사업 제외)
계약의뢰↓
일상감사
○ 대 상 : 추정가격 종합공사 5억원, 전문공사 등 3억원, 용역 2억원, 물품 2천만원 이상 (조달청 의뢰계약 제외)
○ 시 기 : 계약부서에서 입찰공고 직전 일상감사 부서로 일상감사 의뢰
(예외 : PQ 설계공모, 협상에 의한 계약은 발주부서가 의뢰, 단, 협상계약(용역2억↑,물품2천만↑은
 계약부서 타당성검토 받은 후 요</t>
    </r>
  </si>
  <si>
    <t>인사상담은 쪽지로 담당자한테 연락하는 방법 외에는 없나요</t>
  </si>
  <si>
    <t>인사 관련 상담을 받을 때, 쪽지 외에 공식적으로 활용할 수 있는 상담 경로(시스템, 전화, 방문창구 등)가 무엇인지 전체 목록과 이용 조건을 포함해 알려주세요.</t>
  </si>
  <si>
    <t>부산시청 인사상담은 쪽지로 담당자에게 연락하는 방법 외에도 전화, 이메일, 홈페이지를 통해 문의할 수 있습니다.
관련 내용은 다음과 같습니다.
전화 문의: 부산광역시 행정자치국 인사과(051-888-1985)로 전화하여 인사 상담 관련 문의를 할 수 있습니다.
이메일 문의: 부산시청 인사과 이메일 주소로 문의 내용을 보내어 상담을 요청할 수 있습니다.
홈페이지: 부산시청 홈페이지를 통해 온라인으로 인사 상담 관련 문의를 남길 수 있습니다.
이러한 방법들을 통해 부산시청 인사상담을 진행할 수 있습니다.</t>
  </si>
  <si>
    <t>ㆍ19421_2023-2403_부산광역시청어린이집_민간위탁_성과평가_결과_공고.pdf (p.2)
https://busanai.busan.go.kr/download/19421_2023-2403_부산광역시청어린이집_민간위탁_성과평가_결과_공고.pdf</t>
  </si>
  <si>
    <t>첨부파일 및 내용 오류가 있습니다. 
홈페이지로 신청 불가능, 전화번호 오류, 첨부파일은 홈페이지의 어린이집 민간위탁 공고내용입니다.
해당 내용은 인사과에서 제출한 2025년 부산광역시 인사운영 기본계획 11P에 해당 내용이 있습니다.</t>
  </si>
  <si>
    <t>기대답변 :
 ❍ (인사상담실 운영) 개인 고충을 인사담당자와 수시로 상담할 수 있는 인사시스템 운영
 - (운영시기) 연중 수시 (상시 인사 상담)
 - (운영방법) 전화, 온톡메신저, 인사관리시스템 등을 통한 인사 상담
 - (상담내용) 개인 인사고충사항(승진, 전보 등) 상담
 - (운영효과) 방문 인사상담 부담 해소 및 직원 편의 증진
 ❍ (찾아가는 인사상담) 직접 찾아가서 상담하는 적극적 인사 운영
 - (운영시기) 상․하반기 연 2회 ‣ 정기인사 전‧후
 - (운영내용) 실‧국‧본부별 및 직렬(직류)별 인사간담회 개최 ※ 서면가능
 - (상담내용) 부서, 직렬별 인사 애로 및 건의사항 청취 반영
 - (조치사항) 건의 사항별 조치 내역(즉시 반영, 중앙부처 건의 등)을 건의자에 안내, 주기적 모니터링 및 반영 노력 이행</t>
  </si>
  <si>
    <r>
      <rPr>
        <rFont val="맑은 고딕"/>
        <b/>
        <color theme="1"/>
        <sz val="11.0"/>
      </rPr>
      <t xml:space="preserve">263_2401_인사과_기본계획_인사과_2024년도_부산광역시_인사운영_기본계획.pdf[11]
-----
</t>
    </r>
    <r>
      <rPr>
        <rFont val="맑은 고딕"/>
        <color rgb="FFFF0000"/>
        <sz val="11.0"/>
      </rPr>
      <t xml:space="preserve">[2025년도 자료를 찾을 수 없음. 확인 필요함]
</t>
    </r>
    <r>
      <rPr>
        <rFont val="맑은 고딕"/>
        <color theme="1"/>
        <sz val="11.0"/>
      </rPr>
      <t xml:space="preserve">
3. 소통과 배려, 공감의 인사
◆ 인사정보 공개 강화를 통해 인사의 공정성 및 투명성을 제고하고, 예측가능성 확보를 통해 안정적 근무환경 조성
 □ 인사사전 예고제
</t>
    </r>
    <r>
      <rPr>
        <rFont val="Segoe UI Symbol"/>
        <color theme="1"/>
        <sz val="11.0"/>
      </rPr>
      <t>❍</t>
    </r>
    <r>
      <rPr>
        <rFont val="맑은 고딕"/>
        <color theme="1"/>
        <sz val="11.0"/>
      </rPr>
      <t xml:space="preserve"> (운영시기) 연간 상</t>
    </r>
    <r>
      <rPr>
        <rFont val="Noto Sans KR"/>
        <color theme="1"/>
        <sz val="11.0"/>
      </rPr>
      <t>‧</t>
    </r>
    <r>
      <rPr>
        <rFont val="Noto Sans KR"/>
        <color theme="1"/>
        <sz val="11.0"/>
      </rPr>
      <t>하반기</t>
    </r>
    <r>
      <rPr>
        <rFont val="맑은 고딕"/>
        <color theme="1"/>
        <sz val="11.0"/>
      </rPr>
      <t xml:space="preserve"> 정기인사 전
</t>
    </r>
    <r>
      <rPr>
        <rFont val="Segoe UI Symbol"/>
        <color theme="1"/>
        <sz val="11.0"/>
      </rPr>
      <t>❍</t>
    </r>
    <r>
      <rPr>
        <rFont val="맑은 고딕"/>
        <color theme="1"/>
        <sz val="11.0"/>
      </rPr>
      <t xml:space="preserve"> (운영내용) 인사방침, 승진 기준 등을 행정게시판에 공개
- (사전예고) 인사방침, 승진 및 전보임용 기준, 인사일정 등- (정보공개) 실국별 승진연도별 분포도(전직렬) + 부서별 결원 현황- (전보일자) 6급이하 공무원 전보시행일 확정 시행(2.1자, 8.1자)
※ 조직개편 등 불가피한 사유 발생 시 전보일자 조정
</t>
    </r>
    <r>
      <rPr>
        <rFont val="Segoe UI Symbol"/>
        <color theme="1"/>
        <sz val="11.0"/>
      </rPr>
      <t>❍</t>
    </r>
    <r>
      <rPr>
        <rFont val="맑은 고딕"/>
        <color theme="1"/>
        <sz val="11.0"/>
      </rPr>
      <t xml:space="preserve"> (운영효과) 인사의 공정성</t>
    </r>
    <r>
      <rPr>
        <rFont val="Noto Sans KR"/>
        <color theme="1"/>
        <sz val="11.0"/>
      </rPr>
      <t>‧</t>
    </r>
    <r>
      <rPr>
        <rFont val="Noto Sans KR"/>
        <color theme="1"/>
        <sz val="11.0"/>
      </rPr>
      <t>투명성</t>
    </r>
    <r>
      <rPr>
        <rFont val="맑은 고딕"/>
        <color theme="1"/>
        <sz val="11.0"/>
      </rPr>
      <t xml:space="preserve"> 확보 및 전보희망부서 신청 시 승진연도 분산 효과
 □ 인사상담 활성화
</t>
    </r>
    <r>
      <rPr>
        <rFont val="Segoe UI Symbol"/>
        <color theme="1"/>
        <sz val="11.0"/>
      </rPr>
      <t>❍</t>
    </r>
    <r>
      <rPr>
        <rFont val="맑은 고딕"/>
        <color theme="1"/>
        <sz val="11.0"/>
      </rPr>
      <t xml:space="preserve"> (인사상담실 운영) 개인 고충을 인사담당자와 수시로 상담할 수 있는 인사시스템 운영
- (운영시기) 연중 수시 (상시 인사 상담)
- (운영방법) 전화, 메신저, 인사관리시스템 등을 통한 인사 상담- (상담내용) 개인 인사고충사항(승진, 전보 등) 상담
- (운영효과) 방문 인사상담 부담 해소 및 직원 편의 증진
</t>
    </r>
    <r>
      <rPr>
        <rFont val="Segoe UI Symbol"/>
        <color theme="1"/>
        <sz val="11.0"/>
      </rPr>
      <t>❍</t>
    </r>
    <r>
      <rPr>
        <rFont val="맑은 고딕"/>
        <color theme="1"/>
        <sz val="11.0"/>
      </rPr>
      <t xml:space="preserve"> (찾아가는 인사상담) 직접 찾아가서 상담하는 적극적 인사 운영- (운영시기) 상</t>
    </r>
    <r>
      <rPr>
        <rFont val="MS UI Gothic"/>
        <color theme="1"/>
        <sz val="11.0"/>
      </rPr>
      <t>․</t>
    </r>
    <r>
      <rPr>
        <rFont val="맑은 고딕"/>
        <color theme="1"/>
        <sz val="11.0"/>
      </rPr>
      <t xml:space="preserve">하반기 연 2회 </t>
    </r>
    <r>
      <rPr>
        <rFont val="Tahoma"/>
        <color theme="1"/>
        <sz val="11.0"/>
      </rPr>
      <t>‣</t>
    </r>
    <r>
      <rPr>
        <rFont val="맑은 고딕"/>
        <color theme="1"/>
        <sz val="11.0"/>
      </rPr>
      <t xml:space="preserve"> 정기인사 전</t>
    </r>
    <r>
      <rPr>
        <rFont val="Noto Sans KR"/>
        <color theme="1"/>
        <sz val="11.0"/>
      </rPr>
      <t>‧</t>
    </r>
    <r>
      <rPr>
        <rFont val="Noto Sans KR"/>
        <color theme="1"/>
        <sz val="11.0"/>
      </rPr>
      <t>후</t>
    </r>
    <r>
      <rPr>
        <rFont val="맑은 고딕"/>
        <color theme="1"/>
        <sz val="11.0"/>
      </rPr>
      <t xml:space="preserve">
- (운영내용) 실</t>
    </r>
    <r>
      <rPr>
        <rFont val="Noto Sans KR"/>
        <color theme="1"/>
        <sz val="11.0"/>
      </rPr>
      <t>‧</t>
    </r>
    <r>
      <rPr>
        <rFont val="Noto Sans KR"/>
        <color theme="1"/>
        <sz val="11.0"/>
      </rPr>
      <t>국‧본부별</t>
    </r>
    <r>
      <rPr>
        <rFont val="맑은 고딕"/>
        <color theme="1"/>
        <sz val="11.0"/>
      </rPr>
      <t xml:space="preserve"> 및 직렬(직류)별 인사간담회 개최 ※ 서면가능- (상담내용) 부서, 직렬별 인사 애로 및 건의사항 청취 반영- (조치사항) 건의 사항별 조치 내역(즉시 반영, 중앙부처 건의 등)을 건의자에 회신, 주기적 검토 및 반영 노력 이행</t>
    </r>
  </si>
  <si>
    <t>전화기 통화 녹음 하는 방법 및 매뉴얼 알려주세요</t>
  </si>
  <si>
    <t>행정전화기의 통화 녹음 기능은 어떤 방식으로 이용할 수 있으며, 녹음 절차와 관련 매뉴얼은 어디에서 확인할 수 있는지 알려주세요</t>
  </si>
  <si>
    <t>부산시청에서는 전화기 통화 녹음을 위한 매뉴얼을 제공하고 있습니다.
관련 내용은 다음과 같습니다.
전화기 설정: 대부분의 전화기는 기본적으로 통화 녹음 기능을 제공하지 않습니다. 따라서, 먼저 전화기 설정에서 녹음 기능을 활성화해야 합니다. 일부 전화기는 별도의 소프트웨어나 앱을 설치해야 할 수도 있습니다.
소프트웨어 설치: 일부 전화기는 자체 녹음 기능을 제공하지 않을 수 있으므로, 필요한 경우 녹음 소프트웨어를 설치해야 합니다. 이 소프트웨어는 통화 내용을 녹음할 수 있는 기능을 제공합니다.
매뉴얼 확인: 부산시청에서는 공식 웹사이트나 내부 문서에서 통화 녹음 관련 매뉴얼을 제공할 수 있습니다. 이 매뉴얼에는 녹음 절차, 주의사항, 법적 고려사항 등이 포함되어 있을 것입니다.
법적 고려사항: 통화 녹음은 법적 문제를 야기할 수 있으므로, 반드시 관련 법률을 확인하고 필요한 경우 법률 자문을 받는 것이 중요합니다.
부산시청의 공식 웹사이트나 내부 문서를 통해 더 자세한 정보를 확인하실 수 있습니다.</t>
  </si>
  <si>
    <t>내용에 오류가 많습니다.
소프트웨어 설치 X, 행정전화는 기본적으로 녹음 기능 제공 중임, 공식 웹사이트라고 하면 부산시 홈페이지라고 연상이 되므로
내부 행정포탈 등으로 수정이 필요합니다.
관련 매뉴얼도 제공되어 있습니다.
총무과에서 제공한 행정전화 녹취방법에 관련 내용이 있습니다.</t>
  </si>
  <si>
    <t>기대답변 :
 1. 통화상태에서 #11을 누른 후 LCD화면의 회의버튼을 누르면 녹취멘트가나오면서 녹취가 시작됩니다.
 2. 녹취 후 LCD화면의 회의종료 버튼을 누르면 녹취가 완료됩니다.</t>
  </si>
  <si>
    <t>410_2505_총무과_주요질문사항_행정전화_녹취방법.pdf</t>
  </si>
  <si>
    <t>총무과 행정전화 녹취방법 및 기타 작동기능방법 Q&amp;A
 1. 녹취를 어떻게 하는지?
 ㅇ 통화상태에서 #11을 누른 후 LCD화면의 회의버튼을 누르면 녹취멘트가나오면서 녹취 시작
 ㅇ 녹취 후 LCD화면의 회의종료 버튼을 누르면 녹취 완료</t>
  </si>
  <si>
    <t>(별도 작업 없음. 문서 잘 나옴)</t>
  </si>
  <si>
    <r>
      <rPr>
        <rFont val="맑은 고딕"/>
        <b/>
        <color theme="1"/>
        <sz val="11.0"/>
      </rPr>
      <t xml:space="preserve">406_2505_총무과_매뉴얼_IP전화기_사용방법알카텔_전화기_사용기관.pdf[2] </t>
    </r>
    <r>
      <rPr>
        <rFont val="맑은 고딕"/>
        <color theme="1"/>
        <sz val="11.0"/>
      </rPr>
      <t xml:space="preserve">
-----
( 흑백/컬러 전화기 부가 기능 &lt;table border="1" class="table table-striped table-hover"&gt;&lt;thead&gt;&lt;tr&gt;&lt;th&gt;기 능&lt;/th&gt;&lt;th&gt;사 용 요 령&lt;/th&gt;&lt;/tr&gt;&lt;/thead&gt;&lt;tbody&gt;&lt;tr&gt;&lt;td&gt;1 호 전환☞ 받은 전화를 다른사람에게 전환&lt;/td&gt;&lt;td&gt;1 원하는 전화번호를 누른 후 수화기를 내려놓는다.※ 호 전환 중에는 보류음이 나간다.&lt;/td&gt;&lt;/tr&gt;&lt;tr&gt;&lt;td&gt;2 당겨 받기☞ 다른 전화 대신 받기&lt;/td&gt;&lt;td&gt;1 수화기를 들어 “*”을 눌러 다른 내선 전화를 대신 받는다.&lt;/td&gt;&lt;/tr&gt;&lt;tr&gt;&lt;td&gt;3 재다이얼☞ 최종 통화한 전화번호로 다시 연결&lt;/td&gt;&lt;td&gt;1 “재다이얼” 버튼( )을 짧게 누른다.2 상대방이 응답하면 통화한다.※ “재다이얼” 버튼을 길게 누르면, 발신 리스트를 확인할 수 있다.&lt;/td&gt;&lt;/tr&gt;&lt;tr&gt;&lt;td&gt;4 착신 전환☞ 걸려오는 전화를지정한 번호로착신시킴&lt;/td&gt;&lt;td&gt;▣ 기능 사용(#33을 누른 후 착신시킬 전화번호를 누른다)※ 착신이 설정되면 해당 아이콘( )이 회전을 한다▣ 기능 해제(#34)&lt;/td&gt;&lt;/tr&gt;&lt;tr&gt;&lt;td&gt;</t>
    </r>
    <r>
      <rPr>
        <rFont val="맑은 고딕"/>
        <color rgb="FFFF0000"/>
        <sz val="11.0"/>
      </rPr>
      <t>5 녹취☞ 통화 내용 녹음&lt;/td&gt;&lt;td&gt;1 통화 상태에서 #11을 누른 후 LCD 화면 오른쪽에 있는 해당 Soft key(회의)를 누른다.2 녹음이 완료되면 LCD 화면 오른쪽에 있는 해당 Soft key(회의 종료)를 누른다.</t>
    </r>
    <r>
      <rPr>
        <rFont val="맑은 고딕"/>
        <color theme="1"/>
        <sz val="11.0"/>
      </rPr>
      <t>&lt;/td&gt;&lt;/tr&gt;&lt;tr&gt;&lt;td&gt;6 부재중 통화☞ 부재중 통화 확인☞ 통화내역 확인(50개)&lt;/td&gt;&lt;td&gt;▣ 부재중 통화 확인1 “부재중/메세지” 버튼(*)을 누른다.2 LCD 화면 왼쪽에 있는 해당 Soft key를 눌러서 응답하지 않은 내부 호또는 외부 호의 부재중 통화 내용을 확인한다.3 삭제 또는 재호출을 한다.※ 확인 후 삭제 또는 재호출하여 통화하지 않으면, LED가 꺼지지 않는다.▣ 통화내역 확인(최근 송수신 50개까지 저장)1 *버튼을 누른 후 LCD 화면 왼쪽에 있는 해당 Soft key(통화기록)를 누른다.&lt;/td&gt;&lt;/tr&gt;&lt;tr&gt;&lt;td&gt;7 통화예약☞ 상대방이 통화중일때 통화종료 후자동 연결&lt;/td&gt;&lt;td&gt;1 상대방이 통화중일 경우2 LCD 화면 왼쪽에 있는 해당 Soft key(콜백) 버튼을 누르면 통화예약이 되어,상대방 통화종료 시 자동으로 통화가 연결됨&lt;/td&gt;&lt;/tr&gt;&lt;tr&gt;&lt;td&gt;8 회의통화☞ 본인 포함 3인이상동시에 같이 통화&lt;/td&gt;&lt;td&gt;▣ 3자 통화1 통화중인 상대방에게 잠시 대기를 요청한 후2 원하는 번호를 다이얼 한다.3 상대방이 응답을 하면, LCD 화면 오른쪽에 있는 해당 Soft key(회의)를 누른다.▣ 3자 이상 통화1 3자 통화 방법을 이용하여 3자 통화를 구성한다.2“추가”를 선택한 후 원하는 번호를 다이얼 한다.3“삽입”을 선택하여 회의에 참석을 시킨다.4 2, 3을 반복하여 인원을 추가한다. (최대 6자 통화 가능)&lt;/td&gt;&lt;/tr&gt;&lt;/tbody&gt;&lt;/table&gt;</t>
    </r>
  </si>
  <si>
    <t>의무교육이라고 공문이 오는게 많은데 의무교육 목록들이 정리되어있는것은 없나요</t>
  </si>
  <si>
    <t>부산광역시 공무원 대상 의무교육 공문이 다수 발송되는데, 모든 의무교육 목록과 세부 내용을 한눈에 확인할 수 있는 공식 자료나 시스템은 무엇인가요?</t>
  </si>
  <si>
    <t>부산시에서 시행하는 의무교육 목록은 감염병의 예방 및 관리에 관한 법률 제18조 5항에 따라 전 직원 대상 의무교육, 감염병 대응 실무자 교육, 예비방역 인력양성 교육으로 정리되어 있습니다.
관련내용은 다음과 같습니다.
전 직원 대상 의무교육
교육대상: 공무원 등
교육시간: 1시간 이상
교육내용: 감염병 위기 대응 체계 및 관련 법령 현황, 감염병 유행 및 위기 대응 주요 사례, 감염병 발생 및 전파 등에 대한 기본 사항 등
지역보건의료기관 등 대상 교육
교육대상: 지역보건의료기관 등
교육시간: 4시간 이상
역학조사반원 대상 교육
교육대상: 역학조사반원
교육시간: 10시간 이상
이러한 교육들은 감염병 대응 인력의 역량 강화를 목적으로 하며, 각 대상별로 맞춤형 교육 프로그램을 제공합니다.</t>
  </si>
  <si>
    <t>ㆍ82257_2025년_상반기_시의회_업무보고시민건강국-최종.pdf (p.41)
https://busanai.busan.go.kr/download/82257_2025년_상반기_시의회_업무보고시민건강국-최종.pdf</t>
  </si>
  <si>
    <t>의무교육 관련 목록 정리된거는 따로 제출하지 않았습니다.
첨부파일 오류와 내용의 오류가 많습니다.
답변은 의무교육 목록에 관한 자료가 없습니다.
의무교육 관련 부서나 업무 담당자에게 문의하시기 바랍니다 라는 식의 멘트가 포함되어야 할 것 같습니다.</t>
  </si>
  <si>
    <t>악성민원 응대 및 대응관련 매뉴얼 알려주세요.</t>
  </si>
  <si>
    <t>악성 민원 발생 시 공무원이 따라야 하는 대응 절차와 보호 매뉴얼은 어디에서 확인할 수 있으며, 단계별 조치 기준은 어떻게 되어 있는지 알려주세요</t>
  </si>
  <si>
    <t>부산시청에서 악성 민원 응대 및 대응과 관련하여, 관련 매뉴얼은 "행정복지센터 안전보안관 교육"을 통해 제공됩니다.
관련내용은 다음과 같습니다.
교육 개요
일시: 2024년 7월 25일(목) 14:00~17:00
장소: 상수도사업본부 대회의실(10층)
참석 대상: “행정복지센터 안전보안관” 참여자 및 사업 담당자, 부산시 관계자 등 70명
교육 내용
1 악성민원응대 매뉴얼 교육
2 노인일자리 및 “행정복지센터 안전보안관” 사업 이해
3 질의응답
세부 일정 및 교육 내용은 사정에 따라 다소 조정될 수 있습니다.</t>
  </si>
  <si>
    <t>ㆍ72663_20240725_노인복지과_보도자료부산시_노인일자리_전문인력_행정복지센터_안전보안관_교육_개최.pdf (p.1, 2, 4)
https://busanai.busan.go.kr/download/72663_20240725_노인복지과_보도자료부산시_노인일자리_전문인력_행정복지센터_안전보안관_교육_개최.pdf</t>
  </si>
  <si>
    <t>관련 근거과 내용에 오류가 있습니다.
해당 내용은 통합민원과에서 제공한 민원인의 위법행위 및 반복민원 대응방안(지침)에 관련 내용이 있습니다.</t>
  </si>
  <si>
    <t>해당 내용만 제외 하고 부기주무관을 통해 생성한 답변 그대로 활용하면 될 것 같습니다.
 오류 : 이 문서는 페이지 1부터 페이지 54까지 총 54페이지로 구성되어 있으며, 각 섹션마다 체계적인 정보와 지침을 제공하고 있어요.
 기대답변 :
 네, 악성민원 응대 및 대응에 관한 매뉴얼을 제공해 드릴게요.
 **‘민원인의 위법행위 및 반복민원 대응방안 지침’**이라는 파일이 있어요. 이 문서는 다음과 같은 정보를 포함하고 있습니다:
 제1장: 민원인의 위법행위 등 대응방안에 대한 목적, 배경, 특이민원의 정의와 유형, 그리고 대응 기본방향 등을 다루고 있어요.
 제2장: 민원처리담당자의 보호를 위한 조치로서, 특이민원 예방 및 차단 방법, 안전한 민원환경 구축 방안, 민원담당자의 근무 여건 개선 등에 대해 상세히 설명하고 있어요.
 제3장: 민원인의 위법행위에 대한 현장 대응 요령으로, 기본 원칙과 함께 구체적인 대응 방법을 제시하고 있으며, 민원담당자의 회복 지원 방안에 대해서도 다루고 있어요.
 제4장: 반복민원 등의 대응 방안으로서, 반복민원 심의·종결 제도와 그 절차를 상세히 설명하고 있어요.
 이 문서는 페이지 1부터 페이지 54까지 총 54페이지로 구성되어 있으며, 각 섹션마다 체계적인 정보와 지침을 제공하고 있어요.
 만약 이 문서를 직접 확인하고 싶으시면, 제가 제공하는 링크를 통해 다운로드하실 수 있어요. 또한, 문서 내에서 특정 부분에 대한 자세한 정보가 필요하다면 말씀해 주세요. 도와드릴 수 있는 부분이 있다면 언제든지 알려주세요!</t>
  </si>
  <si>
    <t>431_2410_통합민원과_업무매뉴얼_행정안전부_민원인의_위법행위_및_반복민원_대응방안지침.pdf</t>
  </si>
  <si>
    <t>2P의 차례 부분 활용</t>
  </si>
  <si>
    <t>민원인의 특이 민원, 악성 민원, 반복 민원, 위법행위 등에 관한 응대 매뉴얼(메뉴얼, 가이드, 안내서, 지침)</t>
  </si>
  <si>
    <r>
      <rPr>
        <rFont val="맑은 고딕"/>
        <b/>
        <color theme="1"/>
        <sz val="11.0"/>
      </rPr>
      <t>431_2410_통합민원과_업무매뉴얼_행정안전부_민원인의_위법행위_및_반복민원_대응방안지침.pdf[23]</t>
    </r>
    <r>
      <rPr>
        <rFont val="맑은 고딕"/>
        <color theme="1"/>
        <sz val="11.0"/>
      </rPr>
      <t xml:space="preserve">
-----
 Ⅷ. 기본원칙 등
1 기본 원칙
□ 행정기관의 장은 민원처리법령에 따라, 민원인의 폭언</t>
    </r>
    <r>
      <rPr>
        <rFont val="Noto Sans KR"/>
        <color theme="1"/>
        <sz val="11.0"/>
      </rPr>
      <t>‧</t>
    </r>
    <r>
      <rPr>
        <rFont val="Noto Sans KR"/>
        <color theme="1"/>
        <sz val="11.0"/>
      </rPr>
      <t>폭행</t>
    </r>
    <r>
      <rPr>
        <rFont val="맑은 고딕"/>
        <color theme="1"/>
        <sz val="11.0"/>
      </rPr>
      <t xml:space="preserve"> 등 위법행위로부터 민원담당자를 의무적으로 보호해야 함
□ 민원인 위법행위에 대해 법적 대응 시 기관 차원 고발이 원칙으로,
고소</t>
    </r>
    <r>
      <rPr>
        <rFont val="Noto Sans KR"/>
        <color theme="1"/>
        <sz val="11.0"/>
      </rPr>
      <t>‧</t>
    </r>
    <r>
      <rPr>
        <rFont val="Noto Sans KR"/>
        <color theme="1"/>
        <sz val="11.0"/>
      </rPr>
      <t>고발</t>
    </r>
    <r>
      <rPr>
        <rFont val="맑은 고딕"/>
        <color theme="1"/>
        <sz val="11.0"/>
      </rPr>
      <t xml:space="preserve"> 등 법적 대응 全 과정을 법적 대응 전담부서가 총괄민원처리법 시행령 제4조(민원처리 담당자의 보호) ② 행정기관의 장은 민원인의 폭언</t>
    </r>
    <r>
      <rPr>
        <rFont val="Noto Sans KR"/>
        <color theme="1"/>
        <sz val="11.0"/>
      </rPr>
      <t>‧</t>
    </r>
    <r>
      <rPr>
        <rFont val="Noto Sans KR"/>
        <color theme="1"/>
        <sz val="11.0"/>
      </rPr>
      <t>폭행</t>
    </r>
    <r>
      <rPr>
        <rFont val="맑은 고딕"/>
        <color theme="1"/>
        <sz val="11.0"/>
      </rPr>
      <t xml:space="preserve"> 등에 대한 효과적인 대응, 재발 방지 또는 피해 최소화 등을 위해 필요한
경우에는 폭언</t>
    </r>
    <r>
      <rPr>
        <rFont val="Noto Sans KR"/>
        <color theme="1"/>
        <sz val="11.0"/>
      </rPr>
      <t>‧</t>
    </r>
    <r>
      <rPr>
        <rFont val="Noto Sans KR"/>
        <color theme="1"/>
        <sz val="11.0"/>
      </rPr>
      <t>폭행</t>
    </r>
    <r>
      <rPr>
        <rFont val="맑은 고딕"/>
        <color theme="1"/>
        <sz val="11.0"/>
      </rPr>
      <t xml:space="preserve"> 등을 행한 민원인을 직접 고발해야 한다. 다만, 피해를 입은 민원 처리 담당자가 고소를 희망하는 경우에는 이를 적극 지원해야 한다. ③ 행정기관의 장은 민원인과 민원 처리 담당자 간에 고소</t>
    </r>
    <r>
      <rPr>
        <rFont val="Noto Sans KR"/>
        <color theme="1"/>
        <sz val="11.0"/>
      </rPr>
      <t>‧</t>
    </r>
    <r>
      <rPr>
        <rFont val="Noto Sans KR"/>
        <color theme="1"/>
        <sz val="11.0"/>
      </rPr>
      <t>고발</t>
    </r>
    <r>
      <rPr>
        <rFont val="맑은 고딕"/>
        <color theme="1"/>
        <sz val="11.0"/>
      </rPr>
      <t xml:space="preserve"> 또는 손해배상 청구
등이 발생한 경우 이를 대응하는 업무를 총괄하는 전담부서를 지정하고, 변호사 선임
등 소송 수행에 필요한 비용의 전부 또는 일부를 예산의 범위에서 지원할 수 있다. 2 전담 대응조직과 보호조치 이행
□ 전담 대응조직 운영
○ 법무 기능을 담당하는 부서를 법적대응 전담부서로 지정하고,
전담부서는 필요시 기관 차원에서 직접 고발하고, 피해공무원이 고소하는 경우에도 고소장 작성~공판 대응까지 全 과정 지원□ 보호조치 이행계획 수립 및 점검
○ 기관별 의무적 보호조치 이행계획을 매년 수립, 이행여부 자체 점검하고,
기관별 빈발 악성민원의 특성 등을 고려한 보호방안 마련
3 위법행위 대응 절차
단계 내용 주관부서1단계
(현장대응)
</t>
    </r>
    <r>
      <rPr>
        <rFont val="Segoe UI Symbol"/>
        <color theme="1"/>
        <sz val="11.0"/>
      </rPr>
      <t>▪</t>
    </r>
    <r>
      <rPr>
        <rFont val="맑은 고딕"/>
        <color theme="1"/>
        <sz val="11.0"/>
      </rPr>
      <t>현행범 신고 및 증거</t>
    </r>
    <r>
      <rPr>
        <rFont val="Noto Sans KR"/>
        <color theme="1"/>
        <sz val="11.0"/>
      </rPr>
      <t>‧</t>
    </r>
    <r>
      <rPr>
        <rFont val="Noto Sans KR"/>
        <color theme="1"/>
        <sz val="11.0"/>
      </rPr>
      <t>증인</t>
    </r>
    <r>
      <rPr>
        <rFont val="맑은 고딕"/>
        <color theme="1"/>
        <sz val="11.0"/>
      </rPr>
      <t xml:space="preserve"> 확보
</t>
    </r>
    <r>
      <rPr>
        <rFont val="Segoe UI Symbol"/>
        <color theme="1"/>
        <sz val="11.0"/>
      </rPr>
      <t>▪</t>
    </r>
    <r>
      <rPr>
        <rFont val="맑은 고딕"/>
        <color theme="1"/>
        <sz val="11.0"/>
      </rPr>
      <t xml:space="preserve">위법행위 관련 사건경위 등 부서장 보고
민원부서
(부서장,동료공무원)
</t>
    </r>
    <r>
      <rPr>
        <rFont val="Cambria Math"/>
        <color theme="1"/>
        <sz val="11.0"/>
      </rPr>
      <t>⇩</t>
    </r>
    <r>
      <rPr>
        <rFont val="맑은 고딕"/>
        <color theme="1"/>
        <sz val="11.0"/>
      </rPr>
      <t xml:space="preserve">
2단계
(특이민원 보고) </t>
    </r>
    <r>
      <rPr>
        <rFont val="Segoe UI Symbol"/>
        <color theme="1"/>
        <sz val="11.0"/>
      </rPr>
      <t>▪“</t>
    </r>
    <r>
      <rPr>
        <rFont val="맑은 고딕"/>
        <color theme="1"/>
        <sz val="11.0"/>
      </rPr>
      <t xml:space="preserve">특이민원 발생보고서” 작성 </t>
    </r>
    <r>
      <rPr>
        <rFont val="Noto Sans KR"/>
        <color theme="1"/>
        <sz val="11.0"/>
      </rPr>
      <t>‧</t>
    </r>
    <r>
      <rPr>
        <rFont val="맑은 고딕"/>
        <color theme="1"/>
        <sz val="11.0"/>
      </rPr>
      <t xml:space="preserve"> 제출
* 피해공무원 등 진술 및 근거자료를 바탕으로 작성
민원부서
→ 전담부서</t>
    </r>
    <r>
      <rPr>
        <rFont val="Cambria Math"/>
        <color theme="1"/>
        <sz val="11.0"/>
      </rPr>
      <t>⇩</t>
    </r>
    <r>
      <rPr>
        <rFont val="맑은 고딕"/>
        <color theme="1"/>
        <sz val="11.0"/>
      </rPr>
      <t xml:space="preserve">
3단계
(법적대응 여부
건의 및 결정)
</t>
    </r>
    <r>
      <rPr>
        <rFont val="Segoe UI Symbol"/>
        <color theme="1"/>
        <sz val="11.0"/>
      </rPr>
      <t>▪</t>
    </r>
    <r>
      <rPr>
        <rFont val="맑은 고딕"/>
        <color theme="1"/>
        <sz val="11.0"/>
      </rPr>
      <t xml:space="preserve">사건 발생경위 및 법적대응 계획을 기관장에 보고
</t>
    </r>
    <r>
      <rPr>
        <rFont val="Segoe UI Symbol"/>
        <color theme="1"/>
        <sz val="11.0"/>
      </rPr>
      <t>▪</t>
    </r>
    <r>
      <rPr>
        <rFont val="맑은 고딕"/>
        <color theme="1"/>
        <sz val="11.0"/>
      </rPr>
      <t>법적대응여부</t>
    </r>
    <r>
      <rPr>
        <rFont val="Noto Sans KR"/>
        <color theme="1"/>
        <sz val="11.0"/>
      </rPr>
      <t>‧</t>
    </r>
    <r>
      <rPr>
        <rFont val="Noto Sans KR"/>
        <color theme="1"/>
        <sz val="11.0"/>
      </rPr>
      <t>방안을</t>
    </r>
    <r>
      <rPr>
        <rFont val="맑은 고딕"/>
        <color theme="1"/>
        <sz val="11.0"/>
      </rPr>
      <t xml:space="preserve"> 기관장이 최종 결정
전담부서
→ 기관장
</t>
    </r>
    <r>
      <rPr>
        <rFont val="Cambria Math"/>
        <color theme="1"/>
        <sz val="11.0"/>
      </rPr>
      <t>⇩</t>
    </r>
    <r>
      <rPr>
        <rFont val="맑은 고딕"/>
        <color theme="1"/>
        <sz val="11.0"/>
      </rPr>
      <t xml:space="preserve">
4단계
(법적대응) </t>
    </r>
    <r>
      <rPr>
        <rFont val="Segoe UI Symbol"/>
        <color theme="1"/>
        <sz val="11.0"/>
      </rPr>
      <t>▪</t>
    </r>
    <r>
      <rPr>
        <rFont val="맑은 고딕"/>
        <color theme="1"/>
        <sz val="11.0"/>
      </rPr>
      <t>법적대응 시 전담부서를 중심으로 고소</t>
    </r>
    <r>
      <rPr>
        <rFont val="Noto Sans KR"/>
        <color theme="1"/>
        <sz val="11.0"/>
      </rPr>
      <t>‧</t>
    </r>
    <r>
      <rPr>
        <rFont val="Noto Sans KR"/>
        <color theme="1"/>
        <sz val="11.0"/>
      </rPr>
      <t>고발</t>
    </r>
    <r>
      <rPr>
        <rFont val="맑은 고딕"/>
        <color theme="1"/>
        <sz val="11.0"/>
      </rPr>
      <t xml:space="preserve"> 등
수사</t>
    </r>
    <r>
      <rPr>
        <rFont val="Noto Sans KR"/>
        <color theme="1"/>
        <sz val="11.0"/>
      </rPr>
      <t>‧</t>
    </r>
    <r>
      <rPr>
        <rFont val="Noto Sans KR"/>
        <color theme="1"/>
        <sz val="11.0"/>
      </rPr>
      <t>재판</t>
    </r>
    <r>
      <rPr>
        <rFont val="맑은 고딕"/>
        <color theme="1"/>
        <sz val="11.0"/>
      </rPr>
      <t xml:space="preserve"> 절차에 체계적으로 대응 전담부서</t>
    </r>
  </si>
  <si>
    <r>
      <rPr>
        <rFont val="맑은 고딕"/>
        <b/>
        <color theme="1"/>
        <sz val="11.0"/>
      </rPr>
      <t>431_2410_통합민원과_업무매뉴얼_행정안전부_민원인의_위법행위_및_반복민원_대응방안지침.pdf[24]</t>
    </r>
    <r>
      <rPr>
        <rFont val="맑은 고딕"/>
        <color theme="1"/>
        <sz val="11.0"/>
      </rPr>
      <t xml:space="preserve">
-----
Ⅸ. 위법행위 현장 대응요령
1 공통 사항
□ (안전한 업무환경 조성) 대면상담은 녹음</t>
    </r>
    <r>
      <rPr>
        <rFont val="Noto Sans KR"/>
        <color theme="1"/>
        <sz val="11.0"/>
      </rPr>
      <t>‧</t>
    </r>
    <r>
      <rPr>
        <rFont val="Noto Sans KR"/>
        <color theme="1"/>
        <sz val="11.0"/>
      </rPr>
      <t>녹화</t>
    </r>
    <r>
      <rPr>
        <rFont val="맑은 고딕"/>
        <color theme="1"/>
        <sz val="11.0"/>
      </rPr>
      <t xml:space="preserve"> 가능(민원 통화는 전체내용 녹음)하고 안전요원 협조가 용이한 곳에서 진행
 ※ 민원실 등에 상담내용이 녹화</t>
    </r>
    <r>
      <rPr>
        <rFont val="Noto Sans KR"/>
        <color theme="1"/>
        <sz val="11.0"/>
      </rPr>
      <t>‧</t>
    </r>
    <r>
      <rPr>
        <rFont val="Noto Sans KR"/>
        <color theme="1"/>
        <sz val="11.0"/>
      </rPr>
      <t>녹음될</t>
    </r>
    <r>
      <rPr>
        <rFont val="맑은 고딕"/>
        <color theme="1"/>
        <sz val="11.0"/>
      </rPr>
      <t xml:space="preserve"> 수 있음을 안내하는 고지문(안내문) 게시
○ 특히, 위법행위 전력이 있는 민원인을 면담해야 하는 경우, 준비된장소(CCTV, 휴대용 장비 확보)에서 청원경찰 등 입회 하 면담○ 민원인의 욕설</t>
    </r>
    <r>
      <rPr>
        <rFont val="Noto Sans KR"/>
        <color theme="1"/>
        <sz val="11.0"/>
      </rPr>
      <t>‧</t>
    </r>
    <r>
      <rPr>
        <rFont val="Noto Sans KR"/>
        <color theme="1"/>
        <sz val="11.0"/>
      </rPr>
      <t>협박‧성희롱으로</t>
    </r>
    <r>
      <rPr>
        <rFont val="맑은 고딕"/>
        <color theme="1"/>
        <sz val="11.0"/>
      </rPr>
      <t xml:space="preserve"> 인해 민원 통화를 종료할 경우,
사전에 녹음된 경고멘트가 송출되는 시스템 구축 권장
* (예) 성희롱 시 민원 담당자가 특정 버튼을 누르면, “성희롱 등으로 관계 법령에 따라 처벌될수 있으며, 추가 상담이 어렵다”는 내용의 사전에 녹음된 안내 멘트 자동 송출
□ (비상대응 훈련) 위법행위 발생 상황에 대비, 민원실</t>
    </r>
    <r>
      <rPr>
        <rFont val="Noto Sans KR"/>
        <color theme="1"/>
        <sz val="11.0"/>
      </rPr>
      <t>‧</t>
    </r>
    <r>
      <rPr>
        <rFont val="Noto Sans KR"/>
        <color theme="1"/>
        <sz val="11.0"/>
      </rPr>
      <t>민원센터</t>
    </r>
    <r>
      <rPr>
        <rFont val="맑은 고딕"/>
        <color theme="1"/>
        <sz val="11.0"/>
      </rPr>
      <t xml:space="preserve"> 등은비상대응팀을 조직하고 모의훈련을 철저하게 실시
○ 협박</t>
    </r>
    <r>
      <rPr>
        <rFont val="Noto Sans KR"/>
        <color theme="1"/>
        <sz val="11.0"/>
      </rPr>
      <t>‧</t>
    </r>
    <r>
      <rPr>
        <rFont val="Noto Sans KR"/>
        <color theme="1"/>
        <sz val="11.0"/>
      </rPr>
      <t>폭행‧위험물</t>
    </r>
    <r>
      <rPr>
        <rFont val="맑은 고딕"/>
        <color theme="1"/>
        <sz val="11.0"/>
      </rPr>
      <t xml:space="preserve"> 소지 등 심각한 위법행위를 억제</t>
    </r>
    <r>
      <rPr>
        <rFont val="Noto Sans KR"/>
        <color theme="1"/>
        <sz val="11.0"/>
      </rPr>
      <t>‧</t>
    </r>
    <r>
      <rPr>
        <rFont val="Noto Sans KR"/>
        <color theme="1"/>
        <sz val="11.0"/>
      </rPr>
      <t>제어할</t>
    </r>
    <r>
      <rPr>
        <rFont val="맑은 고딕"/>
        <color theme="1"/>
        <sz val="11.0"/>
      </rPr>
      <t xml:space="preserve"> 수 있는 안전요원</t>
    </r>
    <r>
      <rPr>
        <rFont val="Noto Sans KR"/>
        <color theme="1"/>
        <sz val="11.0"/>
      </rPr>
      <t>‧</t>
    </r>
    <r>
      <rPr>
        <rFont val="Noto Sans KR"/>
        <color theme="1"/>
        <sz val="11.0"/>
      </rPr>
      <t>청원경찰‧경찰</t>
    </r>
    <r>
      <rPr>
        <rFont val="맑은 고딕"/>
        <color theme="1"/>
        <sz val="11.0"/>
      </rPr>
      <t xml:space="preserve"> 등과 긴밀한 협조체계 마련
□ [위법행위 경고</t>
    </r>
    <r>
      <rPr>
        <rFont val="Noto Sans KR"/>
        <color theme="1"/>
        <sz val="11.0"/>
      </rPr>
      <t>‧</t>
    </r>
    <r>
      <rPr>
        <rFont val="Noto Sans KR"/>
        <color theme="1"/>
        <sz val="11.0"/>
      </rPr>
      <t>퇴거</t>
    </r>
    <r>
      <rPr>
        <rFont val="맑은 고딕"/>
        <color theme="1"/>
        <sz val="11.0"/>
      </rPr>
      <t>] 위법행위 발생 시 ①녹음</t>
    </r>
    <r>
      <rPr>
        <rFont val="Noto Sans KR"/>
        <color theme="1"/>
        <sz val="11.0"/>
      </rPr>
      <t>‧</t>
    </r>
    <r>
      <rPr>
        <rFont val="Noto Sans KR"/>
        <color theme="1"/>
        <sz val="11.0"/>
      </rPr>
      <t>녹화</t>
    </r>
    <r>
      <rPr>
        <rFont val="맑은 고딕"/>
        <color theme="1"/>
        <sz val="11.0"/>
      </rPr>
      <t xml:space="preserve"> 확인, ②진정 요청 및 법령 저촉사항 경고, ③민원실 퇴거 요청 및 경찰 신고○ 담당자는 징후 감지 시 상급자 또는 동료에게 즉시 도움을 요청하고,
상급자는 담당자 개인이 아닌 비상대응팀이 대응토록 조치
 * 담당자 外 주변 동료도 이상 징후 감지 시 즉시 상급자에게 보고
□ [특이민원 발생 보고] 상황 종료 후 특이민원 발생 보고서 작성</t>
    </r>
    <r>
      <rPr>
        <rFont val="Noto Sans KR"/>
        <color theme="1"/>
        <sz val="11.0"/>
      </rPr>
      <t>‧</t>
    </r>
    <r>
      <rPr>
        <rFont val="Noto Sans KR"/>
        <color theme="1"/>
        <sz val="11.0"/>
      </rPr>
      <t>보고</t>
    </r>
  </si>
  <si>
    <r>
      <rPr>
        <rFont val="맑은 고딕"/>
        <b/>
        <color theme="1"/>
        <sz val="11.0"/>
      </rPr>
      <t>431_2410_통합민원과_업무매뉴얼_행정안전부_민원인의_위법행위_및_반복민원_대응방안지침.pdf[25~29]</t>
    </r>
    <r>
      <rPr>
        <rFont val="맑은 고딕"/>
        <color theme="1"/>
        <sz val="11.0"/>
      </rPr>
      <t xml:space="preserve">
-----
</t>
    </r>
    <r>
      <rPr>
        <rFont val="맑은 고딕"/>
        <b/>
        <color rgb="FFFF0000"/>
        <sz val="11.0"/>
      </rPr>
      <t>유형별 현장대응 가이드라인</t>
    </r>
  </si>
  <si>
    <t>근무시간 중 개인사정으로 연가(외출)사용 후 돌아와서 시간외근무를 하면 시간외근무가 인정이 되는지 여부가 궁금해요.</t>
  </si>
  <si>
    <t>근무시간 중 개인사정으로 연가나 외출을 사용한 뒤 복귀하여 근무를 계속하는 경우, 그날의 시간외근무 인정 가능 여부와 적용 기준은 무엇인가요?</t>
  </si>
  <si>
    <t>근무시간 중 개인적인 사정으로 연가(외출)를 사용한 후, 복귀하여 시간외근무를 하는 경우 시간외근무 수당 지급이 인정됩니다. 이는 지방공무원 복무규정에 따라 연가를 사용한 경우에도 시간외근무 수당을 지급받을 수 있습니다. 다만, 연가를 사용한 날의 시간외근무 시간은 월 단위 복무규정상 정규 근무시간에서 감한 후 시간외근무시간을 계산합니다.</t>
  </si>
  <si>
    <t>ㆍ214_2501_예산담당관_업무매뉴얼_행정안전부_지방공무원보수업무_등_처리지침.pdf (p.343)
https://busanai.busan.go.kr/download/214_2501_예산담당관_업무매뉴얼_행정안전부_지방공무원보수업무_등_처리지침.pdf</t>
  </si>
  <si>
    <t>관련근거의 페이지(PDF 페이지 바로가기로는 340P, 실제 표기되어 있는 페이지는 336P)의 오류
내용도 앞 문장은 맞는데 연가를 사용한 날의 ~ 는 
&gt;&gt; 연가, 공가 등을 사용한 자는 당일 시간외근무 제외나 불가능으로 변경해야할 것 같습니다.</t>
  </si>
  <si>
    <t>부기주무관을 통해 생성한 답변인데 해당 내용으로 그대로 나오면 될 것 같습니다.
 기대답변 :
 네, 질문하신 내용에 대해 답변드리겠습니다.
 우선, 제공해주신 문서들을 살펴보면 '시간외근무’와 관련된 지침들이 있습니다. 특히 **“시간외근무 중 개인용무시간 제외”**라는 부분이 중요한데요. 이를 통해 시간외근무를 산정할 때 개인용무시간은 제외하고 실제로 본연의 업무를 수행한 시간만을 인정한다는 것을 알 수 있습니다.
 구체적으로 말씀드리면:
 근무당일 지각이나 외출 또는 반일연가·공가를 사용한 공무원이 시간외근무명령을 받고 초과근무를 한 경우에는 시간외근무를 인정하며, 그 계산방법은 평일 정규 근무시간 외의 시간외근무 계산과 동일하다고 되어 있습니다.
 즉, 근무 중에 개인적인 사유로 연가나 외출을 사용하고 나서 다시 근무지로 돌아와 시간외근무를 했다면, 그 시간외근무는 인정됩니다. 단, 이는 시간외근무명령에 따라 이루어진 것이어야 하며, 실제로 본연의 업무를 수행한 시간에 한정됩니다.
 또한, 육아시간을 사용한 경우에도 동일한 원칙이 적용되며, 시간외근무명령을 받아 초과근무를 했을 때 시간외근무로 인정된다고 명시되어 있습니다.
 따라서, 근무시간 중 개인사정으로 연가(외출)를 사용하고 난 후에 시간외근무명령을 받아 추가로 근무하셨다면, 그 시간은 시간외근무로 인정될 수 있습니다. 하지만 이는 개인의 용무로 인해 사용하지 않은 실제 근무시간에 대해서만 해당된다는 점을 유의하셔야 합니다.
 추가적인 문의사항이 있으시면 언제든지 물어보세요! 도움이 되었길 바랍니다.</t>
  </si>
  <si>
    <t>214_2501_예산담당관_업무매뉴얼_행정안전부_지방공무원보수업무_등_처리지침.pdf</t>
  </si>
  <si>
    <t>340</t>
  </si>
  <si>
    <t>(3) 휴식권 보장 일 8시간을 넘는 시간외근무는 가급적 대체휴무 부여 다. 시간외근무시간 산정(영 제15조제5항) 1) 일반대상자(시간외근무수당만 해당) 가) 지급대상 - 현업공무원 등(「지방공무원 복무규정」 제5조에 따른 공무원) 이외에 일반적인 출・퇴근시간 내 근무를 원칙으로 하는 공무원(「지방공무원 복무규정」 제2조의 근무시간이 적용되는 공무원) 나) 시간외근무시간 산정방법 - 시간외근무명령에 따라 1일 1시간 이상 시간외근무를 한 경우 평일은 1시간을 공제한 후 분단위까지 합산하고, 휴일 및 토요일은 공제 없이 분단위까지 합산하여 월간으로 계산한다. 다만, 월간 계산 시 분단위 이하는 제외한다. (1) 평일 정규 근무시간 이후 시간외근무 - 시간외근무명령에 따라 1시간 이상 시간외근무를 한 경우 1시간을 공제한 후 매분 단위까지 합산한다. * 월간 시간외근무시간 계산시 분단위 이하는 계산하지 아니함. (2) 조기출근으로 인한 정규 출근시간 이전의 시간외근무 - 시간외근무명령에 따라 1시간 이상 조기 출근하여 실제 본연의 업무에 대한 시간외근무에 한하여 당일 정규 퇴근시간 이후의 시간외근무시간과 합산하여 1시간을 공제한 후 매분 단위까지 산정한다. (3) 지각・외출 및 반일연가・공가 사용자의 시간외근무 - 근무당일 지각이나 외출 또는 반일연가・공가를 사용한 공무원이 시간외 근무명령을 받고 초과근무를 한 경우에는 시간외근무를 인정하며, 그 계산방법은 평일 정규 근무시간 외의 시간외근무 계산과 동일하다. * 1일(8시간) 연가・공가 등을 사용한 자는 제외 (4) 육아시간 사용자의 시간외근무 - 「지방공무원 복무규정」제7조의7에 따른 육아시간을 사용한 공무원이 시간외근무명령을 받고 초과근무를 한 경우에는 시간외근무를 인정하며, 그 계산방법은 평일 정규 근무시간 외의 시간외근무 계산과 동일하다. 336 지방공무원보수업무 등 처리지침</t>
  </si>
  <si>
    <t>근무시간 개인사정으로 인한 연가사용 후 시간외근무시 인정 여부 확인</t>
  </si>
  <si>
    <t>각종 시스템 사용권한 신청을 할수 있는 프로그램은 없나요</t>
  </si>
  <si>
    <t>부산광역시 소속 공무원이 다양한 내부 시스템 사용 권한을 신청하거나 변경할 수 있는 공식 프로그램이나 포털은 무엇이며, 신청 절차는 어떻게 되나요?</t>
  </si>
  <si>
    <t>부산시청에서는 각종 시스템 사용권한 신청을 위한 프로그램을 운영하고 있습니다. 이 프로그램은 접근 권한 관리 시스템으로, 사용자는 이 시스템을 통해 시스템 접근 권한을 신청하고 관리할 수 있습니다. 접근 권한 관리 시스템은 부산시청의 정보화 정책과에서 관리하며, 사용자는 해당 시스템을 통해 접근 권한 신청, 변경, 철회 등의 작업을 수행할 수 있습니다.</t>
  </si>
  <si>
    <t>ㆍ351_2410_정보화정책과_업무매뉴얼_정보화정책과_부산광역시_개인정보처리시스템_접근권한_관리_지침.pdf (p.1)
https://busanai.busan.go.kr/download/351_2410_정보화정책과_업무매뉴얼_정보화정책과_부산광역시_개인정보처리시스템_접근권한_관리_지침.pdf</t>
  </si>
  <si>
    <t>시스템 사용자 권한을 총괄적으로 신청할 수 있는 프로그램은 없습니다.
대부분 온나라 문서 공문을 통해서 신청 받거나 담당자 연락을 통해 권한 신청을 하고 있습니다.
고로 첨부파일도 오류입니다.</t>
  </si>
  <si>
    <t>인사랑 접속이 안될 때 해결방안은?</t>
  </si>
  <si>
    <t>부산광역시 인사시스템(인사랑)에 접속이 불가할 때, 문제를 확인하고 정상 접속을 복구하는 방법은 무엇인가요?</t>
  </si>
  <si>
    <t>부산시청 인사랑 시스템 접속 오류 발생 시, 해결 방안은 다음과 같습니다.
네트워크 연결 확인: 인터넷 연결 상태를 점검하고, 네트워크 설정을 확인합니다.
시스템 재부팅: 시스템 자체의 일시적인 문제를 해결하기 위해 시스템을 재부팅합니다.
접근 권한 확인: 사용자 계정의 접근 권한을 확인하고, 필요한 경우 권한을 조정합니다.
관리자 문의: 시스템 관리자에게 문의하여 문제를 해결합니다.
보안 소프트웨어 업데이트: 보안 소프트웨어를 최신 버전으로 업데이트하여 보안 문제를 해결합니다.
로그 확인: 시스템 로그를 확인하여 오류의 원인을 파악하고, 필요한 조치를 취합니다.
백업 데이터 복구: 데이터 손실이 발생한 경우, 백업 데이터를 복구합니다.
보안 점검: 시스템 보안 점검을 수행하여 취약점을 파악하고, 보안 조치를 강화합니다.</t>
  </si>
  <si>
    <t>관련 매뉴얼이 없습니다. 고로 해당 매뉴얼은 오류입니다.
인사랑 접속 관련 매뉴얼이 없어 인사랑 담당자에게 문의바랍니다. 라는 식의 답변에 되어야 할 것으로 보입니다.</t>
  </si>
  <si>
    <t>긴급출퇴근 링크는?</t>
  </si>
  <si>
    <t>긴급출퇴근 접속 링크는 어디에서 확인할 수 있나요?</t>
  </si>
  <si>
    <t>부산시청 긴급출퇴근 지원 프로그램 관련 링크는 다음과 같습니다.
1. 부산광역시 공식 홈페이지: https://www.busan.go.kr/
2. 부산광역시 인사혁신과: https://www.busan.go.kr/organization/organization01
위 링크를 통해 부산시청 긴급출퇴근 지원 프로그램에 대한 자세한 정보를 확인하실 수 있습니다.</t>
  </si>
  <si>
    <t>긴급출퇴근에 대한 매뉴얼은 없지만
AI부기 메신저에 긴급출퇴근 버튼이 적용되는 만큼 해당 답변은 제대로 나와야 할 것으로 보입니다.
http://99.1.2.126:48080/intro.html 링크 제공과 함께 AI부기 메신저의 출 버튼을 클릭하면 된다는 메시지가 나오게끔
조치 바랍니다.</t>
  </si>
  <si>
    <t>기대답변
 긴급출퇴근 링크는 아래와 같습니다.
 http://99.1.2.126:48080/intro.html</t>
  </si>
  <si>
    <t>1286_부산시_긴급_출퇴근_서비스_접속_매뉴얼_20251204.pdf</t>
  </si>
  <si>
    <t>8. 긴급출퇴근 링크(행정포털 오류, 인사랑 출퇴근)
  http://99.1.2.126:48080/intro.html 
 ------
 긴급 출퇴근 관련 별도 문서를 만들었음. 
 이를 참조하지 않고 간단 질문 대응으로 처리할지 논의 필요</t>
  </si>
  <si>
    <t>긴급출퇴근제를 사용하기 위해 사전에 필요한 절차 안내, 긴급출퇴근 링크(URL, 주소) 확인, 인사랑 출퇴근 주소(링크, URL) 안내</t>
  </si>
  <si>
    <t>SQG026</t>
  </si>
  <si>
    <t>컴퓨터 및 프린트 수리관련 연락처는?</t>
  </si>
  <si>
    <t>부산광역시청 내 컴퓨터 및 프린터 고장이나 수리 요청 시 연락할 수 있는 곳의 연락처, 요청 절차는 무엇인가요?</t>
  </si>
  <si>
    <t>부산시청에서 컴퓨터 및 프린트 수리 관련 연락처는 부산광역시 정보화정책과(051-888-2355)입니다.</t>
  </si>
  <si>
    <t xml:space="preserve">ㆍ36122_2025-803_2025년_장애인_집합정보화_교육기관_선정_결과_공고.pdf (p.2)
https://busanai.busan.go.kr/download/36122_2025-803_2025년_장애인_집합정보화_교육기관_선정_결과_공고.pdf </t>
  </si>
  <si>
    <t>관련 근거 매뉴얼이 없습니다.
답변에서 전화번호 및 해당 과도 오류입니다.
관련 내용에 대한 정보도 없고 수리 관련 담당 과도 없습니다. 해당 건은 부서에서 자체적으로 처리해야할 것으로 답변해주시면 됩니다.</t>
  </si>
  <si>
    <t>임기제 급여 지출 방법 상세하게 알려주세요</t>
  </si>
  <si>
    <t>부산광역시 소속 임기제 공무원의 급여를 지급할 때, 내부 규정과 회계 절차에 따라 신청, 승인, 지급까지 진행되는 단계별 방법과 관련 서류는 무엇인가요?</t>
  </si>
  <si>
    <t>부산시청 임기제 급여 지출 방법에 대해 안내해드리겠습니다.
예산 확보: 먼저, 임기제 공무원의 급여를 지급하기 위해 필요한 예산을 확보해야 합니다. 이는 부산시청의 예산 계획에 따라 결정되며, 필요한 예산을 편성하고 승인받아야 합니다.
급여 산정: 임기제 공무원의 급여는 직급, 경력, 호봉 등에 따라 산정됩니다. 부산시청의 인사 담당 부서는 각 공무원의 경력과 자격 등을 고려하여 적절한 급여를 산정합니다.
급여 지급: 산정된 급여는 매월 정해진 날짜에 지급됩니다. 급여 지급은 부산시청의 회계 담당 부서에서 처리하며, 급여명세서와 함께 지급됩니다.
세금 및 4대 보험료 공제: 급여 지급 시 세금과 4대 보험료(국민연금, 건강보험, 고용보험, 산재보험)가 공제됩니다. 이는 관련 법령에 따라 자동으로 공제되며, 공제된 금액을 제외한 금액이 지급됩니다.
급여 지급 내역 관리: 부산시청은 급여 지급 내역을 체계적으로 관리하며, 이를 통해 급여의 적정성을 확인하고, 필요한 경우 수정하거나 보완합니다.
이러한 과정을 통해 부산시청에서는 임기제 공무원의 급여가 적절하게 지급되고 관리됩니다.</t>
  </si>
  <si>
    <t>지출 방법에 대한 질의인데 예산확보는 상관이 없어보입니다.
지출 방법 상세 내역은 관련 매뉴얼이 없는거 같습니다.
그 외 임기제 급여 산정 관련은 예산담당관에서 제출한 지방공무원보수업무 등 처리지침에 관련 내용이 있습니다.
 - 보수(64P), 연봉(202p, 204p), 상여금 등 다양한 내용이 있습니다.</t>
  </si>
  <si>
    <t>ㅇㅇ 업무 담당 직원 내선번호 어떻게 되나요?</t>
  </si>
  <si>
    <t>부산광역시 예(행정포털) 업무 담당 직원의 내선번호를 확인할 수 있는 조회 방법은 무엇인가요?</t>
  </si>
  <si>
    <t xml:space="preserve">죄송합니다, 저는 내선번호와 같은 내부 정보에 접근할 수 없습니다. 해당 정보를 얻으려면 회사의 인사부나 IT 부서에 문의하시는 것이 좋습니다. 일반적으로 회사 내부에서는 인사부나 IT 부서가 직원들의 연락처 정보를 관리하고 있습니다. </t>
  </si>
  <si>
    <t xml:space="preserve">업무분장 관련 자료가 없으므로 이상없습니다. </t>
  </si>
  <si>
    <t>행정포털 사용자 명단에서 시청직원(사업소 포함)만 좁혀서 검색하면 될 것같습니다.
 기대답변 :
 행정포털 업무 담당 직원의 부서와 전화번호는 다음과 같습니다.
 부서 : 행정자치국 정보화정책과
 전화번호 : 051-888-2396
 담당업무
 ○ 시도 통합행정정보, 행정포털 및 재해복구(DR)시스템 운영
  - 차세대 시도행정정보시스템 도입 추진
  - 시도행정 및 행정포털 기능 개선 및 활성화
 ○ 정보시스템 서비스 연속성 확보 관련 사무
  - 업무연속성 계획 수립 및 시행
  - 재해복구센터 및 시스템 운영·관리(모의훈련 등)
 ○ 범정부 정보시스템 관련 업무(등급 관리 등)
 ○ 정보시스템 자료 백업 및 소산
  - 정보시스템 백업체계 구성 및 취약점 점검 개선
 ○ 수혜적 공공서비스 목록관리 및 ‘보조금24’ 운영 관리
 ○ 클라우드 기반 지능형 통합데이터센터 건립에 관한 사항
  - 전력, 냉각 등 공조시설, 통합배선, 관제실 구축 등
 ○ 행정 업무 지원 시스템 운영 관리
  - 행정 웹하드, 프린터 토너절감, 전자팩스시스템 등</t>
  </si>
  <si>
    <t>별도서비스처리</t>
  </si>
  <si>
    <t>행정포털 사용자 명단</t>
  </si>
  <si>
    <r>
      <rPr>
        <rFont val="&quot;맑은 고딕&quot;"/>
        <color rgb="FF0432FF"/>
        <sz val="11.0"/>
      </rPr>
      <t xml:space="preserve">담당자 이음으로 확인하도록 가이드 제공하는 것이 어떨까 함. 
 주신 내용은 너무 많은 인원들이 있고 계속 변경될 수 있는 사항이라 현 내용을 기준으로 가이드 하기에는 이슈가 있을 것으로 보임. 
 기존 행정포털 사용자 명단은 RAG 학습 데이터에서 제외하고 논의 필요
</t>
    </r>
    <r>
      <rPr>
        <rFont val="&quot;맑은 고딕&quot;"/>
        <color rgb="FF6AA84F"/>
        <sz val="11.0"/>
      </rPr>
      <t>&gt;&gt; 담당자 이음으로 제공</t>
    </r>
  </si>
  <si>
    <t>(질의문 구체적인 내용으로 변경 필요 / 해당 csv -&gt; pdf 변환 파일 오인식 확률 매우 높음)</t>
  </si>
  <si>
    <t>2025년 정례회 해도위 일정 상세하게 알려주세요</t>
  </si>
  <si>
    <t>부산광역시의 2025년 정례회 중 해양도시위원회 회의 일정과 회기별 세부 의사일정을 확인할 수 있는 방법은 무엇인가요?</t>
  </si>
  <si>
    <t>2025년 부산시의회 정례회 관련 일정은 2025년 6월 4일 10:00에 부산광역시의회 본회의장에서 진행됩니다.</t>
  </si>
  <si>
    <t>ㆍ36068_2025-798_제329회_부산광역시의회정례회_집회_공고.pdf (p.1)
https://busanai.busan.go.kr/download/36068_2025-798_제329회_부산광역시의회정례회_집회_공고.pdf
ㆍ36069_제329회_부산광역시의회정례회_집회_공고문-hwp.pdf (p.1)
https://busanai.busan.go.kr/download/36069_제329회_부산광역시의회정례회_집회_공고문-hwp.pdf</t>
  </si>
  <si>
    <t>일정에 관한 정보는 현재 실시간 업데이트가 불가능하기도 하고
관련 정보가 정리된 내용이 없기 때문에(미리 정해져있지 않음)
해당 내용은 없다고 표출하는게 맞을거 같습니다.</t>
  </si>
  <si>
    <t>용역 계약 절차가 어떻게 되나요</t>
  </si>
  <si>
    <t>용역 계약을 추진할 때, 사전절차, 계약요청, 계약체결 등 계약 추진 절차는 어떻게 되나요?</t>
  </si>
  <si>
    <t>부산시청의 용역 계약 절차는 크게 계획 수립, 입찰 공고, 입찰 및 낙찰자 선정, 계약 체결, 용역 수행, 용역 완료 및 평가의 단계로 진행됩니다.
관련내용은 다음과 같습니다.
계획 수립: 용역 수행의 필요성과 목적, 용역 범위, 예산 등을 포함한 용역 계획을 수립합니다.
입찰 공고: 용역 계획에 따라 입찰 공고를 하며, 공고에는 용역 내용, 참가 자격, 입찰 방법, 낙찰자 선정 방법 등이 포함됩니다.
입찰 및 낙찰자 선정: 공고된 입찰에 따라 입찰서를 제출한 업체들을 평가하고, 가장 적합한 업체를 낙찰자로 선정합니다.
계약 체결: 낙찰자와 용역 계약을 체결하며, 계약서에는 용역 내용, 계약 금액, 계약 기간, 용역 수행 조건 등이 명시됩니다.
용역 수행: 낙찰된 업체는 계약서에 따라 용역을 수행하며, 부산시청의 감독 하에 작업을 진행합니다.
용역 완료 및 평가: 용역이 완료되면, 부산시청에서는 용역 수행 결과를 평가하고, 필요한 경우 추가 작업을 요청하거나 최종 보고서를 받습니다.
이러한 절차는 부산시청뿐만 아니라 대부분의 공공기관에서 공통적으로 적용되는 절차입니다.</t>
  </si>
  <si>
    <t>관련 문서는 회계재산담당관에서 제출한 2025년 계약업무 통합운영 매뉴얼, 계약업무 참고자료, 2024년 개정판 용역계약 길라잡이에 관련 내용이 나와있습니다.
용역의 경우 추정금액이 1억원 이상일 경우 계약심사 필요, 사전규격 공개, 20억 이상 계약심의 필요 등
여러 절차들에 대한 답변이 포함되어야 할 것 같습니다.
관련 근거 문서가 있는 경우에는 일반적인 답변은 효용성이 없을거 같습니다.
계약업무 참고자료 7P에 간단하게 요약된 내용이 있습니다. 그 외 자료들은 추가 내용이나 세부적인 내용에 대한 설명자료라고 보시면 될 것 같습니다.</t>
  </si>
  <si>
    <t>3. 계약 집행 흐름도에서 10P의 계약 체결까지만 내용 전달
 기대답변 :
 부서에서 회계과로 계약요청을 하기 위한 절차는 다음과 같습니다
 1. 사업부서
  - 계약심사: 추정금액에 따라 계약심사를 진행합니다
  &gt; 종합공사 5억원, 전문공사 3억원, 용역 1억원, 물품 2천만원 이상 시 심사 필요
  - 사전규격공개(5천만원 이상): 용역(과업지시서 등), 물품(규격서, 제작시방서 등)을 G2B에 공개합니다
  - 계약심의: 광역지자체 기준으로 추정가격 공사 70억원, 용역·물품 20억원 이상 시 심의합니다
 2. 계약의뢰
  - 사업부서에서 계약부서로 계약의뢰를 진행합니다
 3. 일상감사
  - 추정가격에 따라 일상감사를 진행합니다
  &gt; 종합공사 5억원, 전문공사 3억원, 용역 2억원, 물품 2천만원 이상 시 감사 필요
 4. 입찰공고 (1인 견적 수의계약 제외)
  - 계약부서에서 입찰공고를 진행합니다
  &gt; 공고방법: G2B 및 시홈페이지
  &gt; 공고기간: 용역·물품, 공사, 협상에 의한 계약 등에 따라 다릅니다
 5. 입찰 및 적격심사
  - 계약부서에서 입찰 및 적격심사를 진행합니다
  &gt; 적격심사 대상: 입찰을 하는 사업만 심사합니다
 6. 계약체결
  - 계약부서에서 계약을 체결합니다
  &gt; 계약문서의 종류: 품의서·계획서, 계약서, 입찰유의서, 설계서, 물량내역서, 과업내용서 등
 이 절차를 따라 부서가 회계과로 계약요청을 진행할 수 있습니다.
 용역 관련 계약업무에 대한 흐름도 등 자세한 사항은 첨부파일 용역계약 길라잡이 14P 등을 참고하시면 됩니다.</t>
  </si>
  <si>
    <t>478_2505_회계재산담당관_업무매뉴얼_회계재산담당관_계약업무_참고자료회계재산담당관외부용.pdf
 473_2411_회계재산담당관_업무매뉴얼_한국지방재정공제회_2024년_개정판_용역계약_길라잡이한국지방재정공제회.pdf</t>
  </si>
  <si>
    <t>9, 10
 14</t>
  </si>
  <si>
    <t>9~10P 참조
 용역에 대한 질문만 있기 때문에
 2번째 파일 14P 흐름도에 대한 링크도 제공되면 좋을거 같은데 확인 바랍니다.</t>
  </si>
  <si>
    <r>
      <rPr>
        <rFont val="맑은 고딕"/>
        <b/>
        <color theme="1"/>
        <sz val="11.0"/>
      </rPr>
      <t xml:space="preserve">478_2505_회계재산담당관_업무매뉴얼_회계재산담당관_계약업무_참고자료회계재산담당관외부용.pdf[9] 
</t>
    </r>
    <r>
      <rPr>
        <rFont val="맑은 고딕"/>
        <color theme="1"/>
        <sz val="11.0"/>
      </rPr>
      <t xml:space="preserve">-----
</t>
    </r>
    <r>
      <rPr>
        <rFont val="맑은 고딕"/>
        <color rgb="FFFF0000"/>
        <sz val="11.0"/>
      </rPr>
      <t>[P.9 ~ P.12까지가 전체 절차인데 이 내용을 모두 참고해야 하는지 확인 필요]</t>
    </r>
    <r>
      <rPr>
        <rFont val="맑은 고딕"/>
        <color theme="1"/>
        <sz val="11.0"/>
      </rPr>
      <t xml:space="preserve">
3. 계약집행 흐름도
사업부서
○ 계약심사 : 추정금액 종합공사 5억원, 전문공사 등 3억원, 용역 1억원, 물품 2천만원 이상 (조달청 의뢰계약, 협상에 의한 계약 제외)
※ 공사원가 사전검토 : 추정가격 100억원 이상인 공사 → 조달청에 공사원가 사전검토 요청○ 사전규격공개(5천만원 이상) : 용역(과업지시서 등), 물품(규격서, 제작시방서 등)
 g2b 공개 5일(긴급3일)
○ 계약심의 : 광역지자체 - 추정가격 공사 70억원, 용역</t>
    </r>
    <r>
      <rPr>
        <rFont val="MS UI Gothic"/>
        <color theme="1"/>
        <sz val="11.0"/>
      </rPr>
      <t>․</t>
    </r>
    <r>
      <rPr>
        <rFont val="맑은 고딕"/>
        <color theme="1"/>
        <sz val="11.0"/>
      </rPr>
      <t>물품 20억원 이상
 (긴급한 재해복구사업, 지역경제 활성화를 위하여 예산을 조기집행할 필요가 있는 사업 제외)
계약의뢰↓
일상감사
○ 대 상 : 추정가격 종합공사 5억원, 전문공사 등 3억원, 용역 2억원, 물품 2천만원 이상 (조달청 의뢰계약 제외)
○ 시 기 : 계약부서에서 입찰공고 직전 일상감사 부서로 일상감사 의뢰
(예외 : PQ 설계공모, 협상에 의한 계약은 발주부서가 의뢰, 단, 협상계약(용역2억↑,물품2천만↑은
 계약부서 타당성검토 받은 후 요청)</t>
    </r>
  </si>
  <si>
    <t>일반지출 e호조 절차가 어떻게 되나요</t>
  </si>
  <si>
    <t>일반지출을 집행할 때 e호조(지방재정시스템)에서 어떤 단계로 처리해야 하는지 전체 절차를 알려주세요.</t>
  </si>
  <si>
    <t>일반지출 e호조 절차는 지출결의 요청 등록, 분개 등록, 분개 승인 요청, 지급명령 등록, 결재 요청, 결재 완료, e-Banking 전송으로 진행됩니다.
관련내용은 다음과 같습니다.
지출결의 요청 등록: 지출결의 요청을 등록합니다. 이때, 채주 정보와 분개 정보를 입력해야 합니다.
분개 등록: 지출결의 등록 시 입력한 분개가 자산등록 대상이라면 자산등록 버튼을 클릭하여 자산등재를 완료해야 합니다.
분개 승인 요청: 본청 회계부서 복식부기 담당자에게 분개 승인 요청을 합니다.
지급명령 등록: 분개 승인이 완료된 자료를 지급명령 등록합니다. 이때 명령구분, 세부사업, 통계목, 적요, 거래처 등의 정보를 확인합니다.
결재 요청: 지출담당자가 결재 요청을 합니다. 이때 세부사업, 통계목, 적요, 거래처 등의 정보가 실제 서류와 일치하고 정당한지 확인합니다.
결재 완료: 결재가 완료되면 자료는 e-Banking 시스템으로 전송됩니다. e-Banking 전송 후에는 자료의 수정이 불가능합니다.</t>
  </si>
  <si>
    <t>ㆍ477_2505_회계재산담당관_업무매뉴얼_메타넷디지털_일반지출_절차_및_삭제_회계재산담당관_경리팀.pdf (p.9)
https://busanai.busan.go.kr/download/477_2505_회계재산담당관_업무매뉴얼_메타넷디지털_일반지출_절차_및_삭제_회계재산담당관_경리팀.pdf</t>
  </si>
  <si>
    <r>
      <rPr>
        <rFont val="Malgun Gothic"/>
        <color theme="1"/>
        <sz val="11.0"/>
      </rPr>
      <t xml:space="preserve">관련 근거는 맞습니다.
답변에서 수정이 필요할 것으로 보입니다.
해당 문서의 8P에서 일반지출 상세 흐름도가 있습니다.
- 답변예시 -
0. 핵심 요약
사전품의 등록 → 전자결재 → 품의등록 → 팀장 승인 → 원인행위 확정 → 자금배정 → 지출결의 → 분개승인 → 지급명령 → e-Banking 지급
(모든 단계는 예산, 채주정보, 회계처리 일치 여부 확인이 필수)
1. 사전품의 등록
예산이 없어도 가능하며, 타 부서 사업(재배정예산 포함) 선택 가능.
세부사업, 과목, 금액 등 기본 정보 입력 후 전자결재시스템으로 결재요청.
2. 전자결재 (온나라 등)
기안문 작성 후 결재 완료.
반드시 지출품의결재요청 화면에서 연계한 자료로 결재 진행해야 함.
3. 결재 완료 후 품의 등록
결재액·배정액 한도 내에서 품의 등록 가능 (분할 등록 가능).
별도 승인 절차 없이 회계부서로 원인행위요청 자동 연계됨.
4. 전자결재 생략 대상
연계 없이 바로 지출품의 등록 가능.
등록 후 팀장 승인 절차 진행.
5. 팀장 승인
담당자가 등록한 지출품의를 팀장이 확인 후 승인.
사업, 통계목, 채주 정보 등 실제 결재 내역과 일치 여부 확인.
6. 원인행위 등록
회계담당자가 품의 내역을 검토 후 지출원인행위 등록 및 재무관 결재요청.
세부사업, 통계목, 적요, 채주정보 등 검증.
7. 원인행위 확정
재무관 결재로 지출 확정(원인행위 확정).
</t>
    </r>
    <r>
      <rPr>
        <rFont val="Segoe UI Symbol"/>
        <color theme="1"/>
        <sz val="11.0"/>
      </rPr>
      <t xml:space="preserve">
</t>
    </r>
    <r>
      <rPr>
        <rFont val="맑은 고딕"/>
        <color theme="1"/>
        <sz val="11.0"/>
      </rPr>
      <t>8. 자금배정요구 등록
업무담당자가 금회 지급액을 입력해 배정요구 등록 후 팀장 승인요청.
9. 자금배정 승인 단계
팀장 승인 →자금담당부서 등록 및 관리관 승인요청 → 관리관 승인 시 세출과목별 자금배정액 생성.
10. 지출결의 요청 등록
채주, 금액, 분개 정보 입력.
자금배정 방식에 따라 순서 다름:
수시배정: 자금배정 후 진행
지출결의요구배정: 결의요청 후 자금배정 승인
채주정보 변경 시 거래처정정승인 필요.
자산 분개 시 자산등록 필수.
11. 분개 승인
복식부기 담당자가 분개 적정성 검토 (자산여부, 내용연수 등 확인).
12. 지급명령 등록 및 결재
지급명령 등록 → 결재요청 → 재무관 결재.
세부사업, 통계목, 거래처 등 실제 서류와 일치 확인.
결재 후 e-Banking 시스템으로 전송 (수정 불가).
13. e-Banking 지급
금고은행 전자이체 시스템이 지급명령 자료를 받아 채주에게 대금 지급.
관서의 경우 지출원 통장 입금 후 채주 지급(통합지출관제).</t>
    </r>
  </si>
  <si>
    <t>0. 핵심 요약
 사전품의 등록 → 전자결재 → 품의등록 → 팀장 승인 → 원인행위 확정 → 자금배정 → 지출결의 → 분개승인 → 지급명령 → e-Banking 지급
 (모든 단계는 예산, 채주정보, 회계처리 일치 여부 확인이 필수)
 1. 사전품의 등록
 예산이 없어도 가능하며, 타 부서 사업(재배정예산 포함) 선택 가능.
 세부사업, 과목, 금액 등 기본 정보 입력 후 전자결재시스템으로 결재요청.
 2. 전자결재 (온나라 등)
 기안문 작성 후 결재 완료.
 반드시 지출품의결재요청 화면에서 연계한 자료로 결재 진행해야 함.
 3. 결재 완료 후 품의 등록
 결재액·배정액 한도 내에서 품의 등록 가능 (분할 등록 가능).
 별도 승인 절차 없이 회계부서로 원인행위요청 자동 연계됨.
 4. 전자결재 생략 대상
 연계 없이 바로 지출품의 등록 가능.
 등록 후 팀장 승인 절차 진행.
 5. 팀장 승인
 담당자가 등록한 지출품의를 팀장이 확인 후 승인.
 사업, 통계목, 채주 정보 등 실제 결재 내역과 일치 여부 확인.
 6. 원인행위 등록
 회계담당자가 품의 내역을 검토 후 지출원인행위 등록 및 재무관 결재요청.
 세부사업, 통계목, 적요, 채주정보 등 검증.
 7. 원인행위 확정
 재무관 결재로 지출 확정(원인행위 확정).
 8. 자금배정요구 등록
 업무담당자가 금회 지급액을 입력해 배정요구 등록 후 팀장 승인요청.
 9. 자금배정 승인 단계
 팀장 승인 →자금담당부서 등록 및 관리관 승인요청 → 관리관 승인 시 세출과목별 자금배정액 생성.
 10. 지출결의 요청 등록
 채주, 금액, 분개 정보 입력.
 자금배정 방식에 따라 순서 다름:
 수시배정: 자금배정 후 진행
 지출결의요구배정: 결의요청 후 자금배정 승인
 채주정보 변경 시 거래처정정승인 필요.
 자산 분개 시 자산등록 필수.
 11. 분개 승인
 복식부기 담당자가 분개 적정성 검토 (자산여부, 내용연수 등 확인).
 12. 지급명령 등록 및 결재
 지급명령 등록 → 결재요청 → 재무관 결재.
 세부사업, 통계목, 거래처 등 실제 서류와 일치 확인.
 결재 후 e-Banking 시스템으로 전송 (수정 불가).
 13. e-Banking 지급
 금고은행 전자이체 시스템이 지급명령 자료를 받아 채주에게 대금 지급.
 관서의 경우 지출원 통장 입금 후 채주 지급(통합지출관제).</t>
  </si>
  <si>
    <t>477_2505_회계재산담당관_업무매뉴얼_메타넷디지털_일반지출_절차_및_삭제_회계재산담당관_경리팀.pdf</t>
  </si>
  <si>
    <t>8, 9</t>
  </si>
  <si>
    <r>
      <rPr>
        <rFont val="&quot;맑은 고딕&quot;"/>
        <color rgb="FF000000"/>
        <sz val="11.0"/>
      </rPr>
      <t xml:space="preserve">표 내용 제외 오른쪽 내용만 참고해서 
내용 작성해주시면 됩니다.
-----
</t>
    </r>
    <r>
      <rPr>
        <rFont val="&quot;맑은 고딕&quot;"/>
        <color rgb="FF0000FF"/>
        <sz val="11.0"/>
      </rPr>
      <t xml:space="preserve">[왼쪽 그림의 절차가 있어야 우측 텍스트 내용이 의미가 있는 것으로 보임. 표 내용만 봤을 때에는 각 내용들이 절차를 나타내는 것인지 확인이 어려움] </t>
    </r>
    <r>
      <rPr>
        <rFont val="&quot;맑은 고딕&quot;"/>
        <color rgb="FF000000"/>
        <sz val="11.0"/>
      </rPr>
      <t xml:space="preserve">
</t>
    </r>
    <r>
      <rPr>
        <rFont val="&quot;맑은 고딕&quot;"/>
        <color rgb="FF38761D"/>
        <sz val="11.0"/>
      </rPr>
      <t xml:space="preserve">&gt;&gt; 생성형 AI로 해당 내용으로 답변 생성해달라고 했을때의 기대답변입니다. 왼쪽 그림의 절차가 없어도 잘 나오는거 같은데 RAG 검색 유사도가 잘 안나와서 그런지 확인 바랍니다.
</t>
    </r>
    <r>
      <rPr>
        <rFont val="&quot;맑은 고딕&quot;"/>
        <color rgb="FF000000"/>
        <sz val="11.0"/>
      </rPr>
      <t xml:space="preserve">
</t>
    </r>
    <r>
      <rPr>
        <rFont val="&quot;맑은 고딕&quot;"/>
        <color rgb="FFFF0000"/>
        <sz val="11.0"/>
      </rPr>
      <t>-&gt; 데이터 넣어보고 답이 안 나올 경우 부산시 공유 요청 (12.16)</t>
    </r>
  </si>
  <si>
    <r>
      <rPr>
        <rFont val="맑은 고딕"/>
        <b/>
        <color theme="1"/>
        <sz val="11.0"/>
      </rPr>
      <t>477_2505_회계재산담당관_업무매뉴얼_메타넷디지털_일반지출_절차_및_삭제_회계재산담당관_경리팀.pdf[8, 9]</t>
    </r>
    <r>
      <rPr>
        <rFont val="맑은 고딕"/>
        <color theme="1"/>
        <sz val="11.0"/>
      </rPr>
      <t xml:space="preserve">
-----
</t>
    </r>
    <r>
      <rPr>
        <rFont val="맑은 고딕"/>
        <color rgb="FFFF0000"/>
        <sz val="11.0"/>
      </rPr>
      <t xml:space="preserve">[표 왼쪽에 있는 내용이 이미지라 인식이 되지 않음. 정보를 참조할 수 없음]
</t>
    </r>
    <r>
      <rPr>
        <rFont val="맑은 고딕"/>
        <color theme="1"/>
        <sz val="11.0"/>
      </rPr>
      <t xml:space="preserve">
일반지출 상세 흐름도
사전품의를 등록해 전자결재시스템에 결재요청. 예산이 없어도 등록가능하며 재배정예산의 경우 타부서의 사업도 선택가능. 세부사업, 과목, 금액 등 간단한 정보만 입력해 전자결재시스템으로 결재요청. 자치단체에서 사용하는 전자결재 시스템(온나라 등)에서 기안문을 작성해 결재까지 완료하는 작업. 반드시 지출품의결재요청 화면에서 연계한 자료를 가지고 결재를 진행해야
하며 자세한 작업 방법은 해당 시스템의 매뉴얼을 참고. 전자결재 시스템에서 결재가 완료된 후 결재 내역을 바탕
으로 품의를 등록하는 화면. 결재액과 배정액 한도 내에서
품의를 등록. (분할등록 가능) 입력한 자료는 별도의 승인
없이 회계부서로 원인행위요청 됨. 전자결재 생략 가능 대상의 경우 연계를 하지 않고 바로
지출품의를 등록하는 화면. 입력한 품의는 담당 팀장에게
승인요청 됨. 기존 지출품의등록과 동일. 담당자가 등록한 지출품의를 해당 팀장이 확인해 승인처리
하는 화면. 세부사업, 통계목, 채주 정보 등이 실제 결재한
내역과 일치하는지 확인. 원인행위 업무 담당자가 사업부서에서 올라온 품의 내역을
확인해 지출원인행위로 등록하고 재무관에게 결재요청 처리하는 화면. 세부사업, 통계목, 적요, 채주정보 등이 서류와 일치하고 정당한지 확인. 원인담당자가 등록한 지출원인행위 정보를 확인하고 결재
처리해 원인행위 확정을 하는 화면. 원인행위 확정은 지출을 확정하는 행위를 의미함. 지출품의를 등록한 업무담당자가 지출결의를 위한 자금 배정요구 정보를 등록하는 화면. 금회 지급할 금액을 배정
요구해 담당 팀장에게 승인요청 함. 자치단체에서 지출결의요구배정을 하는 경우 생략. 등록된 자금수시배정요구 자료를 각 사업부서 자금요구승인자가 승인처리 하는 화면. 입력된 자금배정액이 금회 지출액과 일치하는지 확인 후 승인처리. 각 부서에서 승인까지 완료된 자금수시배정 내역을 확인해
배정등록하고 자금관리관에서 승인요청 하는 화면. 지출될
자료에 해당하는 회계의 자금담당부서에서 작업. 자금배정 담당자가 입력한 자금배정요청 내역들을 승인처리 하는 화면. 자금관리관의 승인이 완료되면 각 세출과목에 자금배정액이 생성됨. </t>
    </r>
  </si>
  <si>
    <t>청사 내 설비 관련 담당 문의는 어디에 하나요</t>
  </si>
  <si>
    <t>청사 내 시설·설비(전기, 냉난방, 배관 등) 이상이나 점검 필요 시, 담당자 문의는 어떻게 하나요?</t>
  </si>
  <si>
    <t xml:space="preserve">부산시청 청사 내 설비와 관련된 문의는 부산시청 시설관리과로 문의하시면 됩니다.
관련번호는 051-888-2515입니다. </t>
  </si>
  <si>
    <t>업무분장 관련 자료가 없습니다. 그리고 내용 또한 오류입니다.
시설 관리는 보통 총무과 청사팀에서 맡고 있습니다.
자료가 없고 문의에 대해 알려줄 과나 담당자도 없기 때문에 해당 자료가 없다고만 표출되면 됩니다.</t>
  </si>
  <si>
    <t>행정포털 사용자 명단에서 시청직원(사업소 포함)만 좁혀서 검색하면 될 것같습니다.
 이름은 제외했습니다
 기대답변 :
 행정포털 업무 담당 직원의 부서와 전화번호는 다음과 같습니다.
 부서 : 행정자치국 총무과
 전화번호 : 051-888-1874
 담당업무
 업무계획 및 시의회(예산, 감사) 관련 업무보고
 청사 기계설비(냉·난방, 공조, 열원) 유지관리
 청사 소방계획 수립 및 소방훈련에 관한 사항
 청사 자동제어설비(기계분야) 유지관리에 관한 사항</t>
  </si>
  <si>
    <r>
      <rPr>
        <rFont val="&quot;맑은 고딕&quot;"/>
        <color rgb="FF0432FF"/>
        <sz val="11.0"/>
      </rPr>
      <t xml:space="preserve">담당자 이음으로 확인하도록 가이드 제공하는 것이 어떨까 함. 
 주신 내용은 너무 많은 인원들이 있고 계속 변경될 수 있는 사항이라 현 내용을 기준으로 가이드 하기에는 이슈가 있을 것으로 보임. 
 기존 행정포털 사용자 명단은 RAG 학습 데이터에서 제외하고 논의 필요
</t>
    </r>
    <r>
      <rPr>
        <rFont val="&quot;맑은 고딕&quot;"/>
        <color rgb="FF6AA84F"/>
        <sz val="11.0"/>
      </rPr>
      <t>&gt;&gt; 담당자 이음으로 제공</t>
    </r>
  </si>
  <si>
    <t>(해당 csv -&gt; pdf 변환 파일 오인식 확률 매우 높음)</t>
  </si>
  <si>
    <t>시 청사 내 편의시설 정보 상세히 안내해주세요</t>
  </si>
  <si>
    <t>시 청사 내에 설치된 각종 편의시설(휴게공간, 모유수유실, 무인민원발급기, 카페·식당 등)의 위치, 이용 가능 시간, 이용 절차 등의 상세 정보를 알려주세요</t>
  </si>
  <si>
    <t>부산시청 청사 내 편의시설은 장애인, 노인, 임산부 등 이동에 불편이 있는 분들을 위한 다양한 시설과 설비를 포함하고 있습니다. 이러한 편의시설은 이동과 시설 이용의 편리함을 도모하고 정보 접근을 용이하게 하기 위해 마련되었습니다. 주요 편의시설로는 다음과 같은 것들이 있습니다.
장애인 편의시설: 휠체어 접근이 가능한 경사로, 장애인 전용 주차구역, 시각장애인용 점자 블록, 청각장애인용 경광등, 휠체어 사용자를 위한 화장실 등이 있습니다.
노인 편의시설: 노약자를 위한 낮은 손잡이, 넓은 보행 공간, 시니어 전용 좌석 등이 마련되어 있습니다.
임산부 편의시설: 임산부 전용 주차구역, 임산부 우선 좌석, 수유실 등이 있습니다.
기타 편의시설: 휠체어 대여 서비스, 유모차 대여 서비스, 휠체어 사용자를 위한 전용 화장실, 장애인용 기저귀 교환대 등이 있습니다.
이러한 편의시설은 청사 내 다양한 곳에 설치되어 있으며, 모든 이용자가 편리하게 이용할 수 있도록 지속적으로 개선되고 있습니다. 청사 방문 시 이러한 편의시설을 적극적으로 활용하여 보다 편리한 방문이 되시길 바랍니다.</t>
  </si>
  <si>
    <t>관련 근거 자료가 없기 때문에
자세한 내용을 쓰게 되면 할루시네이션이 생길 가능성이 높습니다.
보통 일반적으로 공공기관에는 편의시설이 설치되어 있지만
세부적인 내용이 다를수 있기 때문에 해당 내용이 없다는 식으로 내용이 나와야 할 것으로 보입니다.</t>
  </si>
  <si>
    <t>기대답변 : 
 ● 휴게공간(쉼터)
 26F: 직원취미클럽 공간
 6F: 쉼터(옆에 AED 비치)
 2F: 아주라휴게실(통합민원과 내)
 ● 모유수유실(모성쉼터)
 25F: 권익보호담당관 모성쉼터
 8F: 총무과 인근 모성쉼터
 ● 식당·카페
 3F 직원식당
 1F 시청매점, 카페 ‘가온비’
 ● 헬스장(체력단련실)
 26F 체력단련실
 ● 기타 주요 편의시설
 열린도서관: 3F
 어린이도서관(들락날락): 1F
 무료법률상담실: 1F
 기록관·열린상담실: B1
 AED: 1F, 2F, 3F, 6F, 26F 등 다수 설치</t>
  </si>
  <si>
    <t>408_2505_총무과_주요질문사항_시청사_층별_안내.pdf</t>
  </si>
  <si>
    <t>1, 2</t>
  </si>
  <si>
    <t>문서 전체 참조</t>
  </si>
  <si>
    <t>부산광역시청 시청사 내 층별 안내 및 편의시설 정보</t>
  </si>
  <si>
    <t>근무성적평정의 평정 순서는 어떻게 되나요?</t>
  </si>
  <si>
    <t>근무성적평정은 어떤 순서와 절차에 따라 진행되는지 알려주세요.</t>
  </si>
  <si>
    <t>부산시청 근무성적평정의 평정 순서는 전체서열 조정, 성과목표 설정, 평정단위 승진후보자 근무성적 평정, 최종서열 평정등급 결정, 평정점 결정, 평정자, 확인자, 자료 제출입니다.
관련내용은 다음과 같습니다.
전체서열 조정: 평정대상 공무원의 전체 순위를 조정합니다.
성과목표 설정: 각 평정단위별로 성과목표를 설정합니다.
평정단위 승진후보자 근무성적 평정: 승진후보자에 대한 근무성적을 평가합니다.
최종서열 평정등급 결정: 평정대상 공무원의 최종 서열을 결정합니다.
평정점 결정: 평정대상 공무원의 평정점을 결정합니다.
평정자: 평정대상 공무원의 근무성적을 평가하는 사람입니다.
확인자: 평정대상 공무원의 근무성적을 확인하는 사람입니다.
자료 제출: 평정결과를 근무성적평정위원회에 제출합니다.</t>
  </si>
  <si>
    <t>ㆍ84014_2022년_동래구_정기종합감사_결과보고서공개용.pdf (p.59)
https://busanai.busan.go.kr/download/84014_2022년_동래구_정기종합감사_결과보고서공개용.pdf</t>
  </si>
  <si>
    <t xml:space="preserve">첨부파일 오류입니다.
해당 질의는 2가지로 해석 될 수 있습니다.
1. 실제 평정 업무를 수행하는데 있어서 업무 순서가 어떻게 되는지?
2. 평정 서열 순서가 어떻게 정해지는지?
실제 질의는 1번이 약간 더 가까우나 공통업무 질문사항에 대한 사항을 조사한 것이고
보통 직원들의 궁금증은 업무 수행 순서보다는 서열 순서가 어떻게 정해지는지에 초점이 맞춰져 있기 때문에
2번으로 해석해주시면 될 것 같습니다.
인사과에서 제출한 2025년도 부산광역시 인사운영 기본계획 22P에 평정시스템 운영이라는 내용이 있습니다.
기대답변 
평정은 단순 근무태도 점검이 아니라, 아래 세 가지 항목을 정량·정성평가 방식으로 종합 반영하여 점수화함.
근무경력(시정기여도)
- 장기간 휴직, 사업소 근무, 교육파견 등 업무회피성 근무자는 감점.
- 일정기간만 성실히 근무해 승진하려는 행태 방지 목적.
주요업무 성과
- 시정 핵심사업, 공약사업, 현안 추진 성과를 중심으로 가시적 성과 창출자 우대.
- 실질적 성과(성과지표 달성, 공약사업 기여도 등)가 높을수록 고평정.
직무수행능력
- 동료나 상급자가 인정하는 역량과 책임감, 협업 태도 반영.
- 업무 소홀, 역량부족, 타인에게 업무 전가자는 감점 대상.
→ 이 세 항목의 합산 결과로 개인별 점수가 형성되며, 동일 직급·직렬 내에서 상대적 서열(순위) 이 매겨짐.
</t>
  </si>
  <si>
    <t>평정은 단순 근무태도 점검이 아니라, 아래 세 가지 항목을 정량·정성평가 방식으로 종합 반영하여 점수화함.
 근무경력(시정기여도)
 - 장기간 휴직, 사업소 근무, 교육파견 등 업무회피성 근무자는 감점.
 - 일정기간만 성실히 근무해 승진하려는 행태 방지 목적.
 주요업무 성과
 - 시정 핵심사업, 공약사업, 현안 추진 성과를 중심으로 가시적 성과 창출자 우대.
 - 실질적 성과(성과지표 달성, 공약사업 기여도 등)가 높을수록 고평정.
 직무수행능력
 - 동료나 상급자가 인정하는 역량과 책임감, 협업 태도 반영.
 - 업무 소홀, 역량부족, 타인에게 업무 전가자는 감점 대상.
 → 이 세 항목의 합산 결과로 개인별 점수가 형성되며, 동일 직급·직렬 내에서 상대적 서열(순위) 이 매겨짐.</t>
  </si>
  <si>
    <t>22, 23</t>
  </si>
  <si>
    <t xml:space="preserve">품질 3.0등급 자료로 정리해서 주신신 폴더 안에 
25년도 인사운영 기본계획 파일이 있습니다.
-----
</t>
  </si>
  <si>
    <t>평정시스템 운영 안내, 근무성적평정의 평정 순서 안내</t>
  </si>
  <si>
    <r>
      <rPr>
        <rFont val="맑은 고딕"/>
        <b/>
        <color theme="1"/>
        <sz val="11.0"/>
      </rPr>
      <t xml:space="preserve">263_2401_인사과_기본계획_인사과_2024년도_부산광역시_인사운영_기본계획.pdf[22] </t>
    </r>
    <r>
      <rPr>
        <rFont val="맑은 고딕"/>
        <color theme="1"/>
        <sz val="11.0"/>
      </rPr>
      <t xml:space="preserve">
-----
</t>
    </r>
    <r>
      <rPr>
        <rFont val="맑은 고딕"/>
        <b/>
        <color rgb="FFFF0000"/>
        <sz val="11.0"/>
      </rPr>
      <t xml:space="preserve">[2025년도 자료가 없음. 확인 필요] 
</t>
    </r>
    <r>
      <rPr>
        <rFont val="맑은 고딕"/>
        <color theme="1"/>
        <sz val="11.0"/>
      </rPr>
      <t xml:space="preserve">
□ 합리적인 가산점 부여
</t>
    </r>
    <r>
      <rPr>
        <rFont val="Segoe UI Symbol"/>
        <color theme="1"/>
        <sz val="11.0"/>
      </rPr>
      <t>❍</t>
    </r>
    <r>
      <rPr>
        <rFont val="맑은 고딕"/>
        <color theme="1"/>
        <sz val="11.0"/>
      </rPr>
      <t xml:space="preserve"> 운영개요
- (관련근거) 「지방공무원 평정규칙」제23조 ~ 제25조
- (부여가점) 최대 5점
- (부여방법) 가점항목별 부여기준에 따라 각 가산점 부여
</t>
    </r>
    <r>
      <rPr>
        <rFont val="Segoe UI Symbol"/>
        <color theme="1"/>
        <sz val="11.0"/>
      </rPr>
      <t>❍</t>
    </r>
    <r>
      <rPr>
        <rFont val="맑은 고딕"/>
        <color theme="1"/>
        <sz val="11.0"/>
      </rPr>
      <t xml:space="preserve"> 가산점 부여 기준
가점항목 부여기준 비고직무관련 자격증 가산점
(평정규칙제23조)
</t>
    </r>
    <r>
      <rPr>
        <rFont val="Cambria Math"/>
        <color theme="1"/>
        <sz val="11.0"/>
      </rPr>
      <t>∘</t>
    </r>
    <r>
      <rPr>
        <rFont val="맑은 고딕"/>
        <color theme="1"/>
        <sz val="11.0"/>
      </rPr>
      <t xml:space="preserve"> 직렬별 직무관련 자격증 소지자
▷ 해당계급 또는 상위계급 인정 자격증 : 0.50점
최대
0.50점인사교류 가산점
(평정규칙제24조제2항)
</t>
    </r>
    <r>
      <rPr>
        <rFont val="Cambria Math"/>
        <color theme="1"/>
        <sz val="11.0"/>
      </rPr>
      <t>∘</t>
    </r>
    <r>
      <rPr>
        <rFont val="맑은 고딕"/>
        <color theme="1"/>
        <sz val="11.0"/>
      </rPr>
      <t xml:space="preserve"> 교류 임용되어 1년 이상 근무한 경우
▷ 부산시역 외 근무지 인사교류 : 매월 0.07점, 최대 1.68점
▷ 부산시역 내 근무지 인사교류 : 매월 0.02점, 최대 0.48점
최대
1.68점특정업무 가산점
(평정규칙제24조제3항)
</t>
    </r>
    <r>
      <rPr>
        <rFont val="Cambria Math"/>
        <color theme="1"/>
        <sz val="11.0"/>
      </rPr>
      <t>∘</t>
    </r>
    <r>
      <rPr>
        <rFont val="맑은 고딕"/>
        <color theme="1"/>
        <sz val="11.0"/>
      </rPr>
      <t xml:space="preserve"> 재난업무 담당자(시민안전실에서 대상자 추천) ▷ 2년 초과 후 1개월마다 0.05점 가산
 ☞ 근무성적평정위원회 심사결정
최대
0.75점전문직위 가산점
(평정규칙제24조제4항)
</t>
    </r>
    <r>
      <rPr>
        <rFont val="Cambria Math"/>
        <color theme="1"/>
        <sz val="11.0"/>
      </rPr>
      <t>∘</t>
    </r>
    <r>
      <rPr>
        <rFont val="맑은 고딕"/>
        <color theme="1"/>
        <sz val="11.0"/>
      </rPr>
      <t xml:space="preserve"> 전문관 임명된 자
▷ 3년 초과 4년 이하 근무경력 1개월마다 0.05점 가산
▷ 4년 초과 5년 이하 근무경력 1개월마다 0.06점 가산
▷ 5년 초과 근무경력 1개월마다 0.08점 가산
최대 5점실적 가산점
(평정규칙제25조의2)
</t>
    </r>
    <r>
      <rPr>
        <rFont val="Cambria Math"/>
        <color theme="1"/>
        <sz val="11.0"/>
      </rPr>
      <t>∘</t>
    </r>
    <r>
      <rPr>
        <rFont val="맑은 고딕"/>
        <color theme="1"/>
        <sz val="11.0"/>
      </rPr>
      <t xml:space="preserve"> 평정대상 기간 중 탁월한 근무실적이 있는 경우
▷ 7개 항목 부여기준에 따라 점수 부여
 ☞ 근무성적평정위원회 심사결정
최대 3점</t>
    </r>
    <r>
      <rPr>
        <rFont val="Segoe UI Symbol"/>
        <color theme="1"/>
        <sz val="11.0"/>
      </rPr>
      <t>◾</t>
    </r>
    <r>
      <rPr>
        <rFont val="맑은 고딕"/>
        <color theme="1"/>
        <sz val="11.0"/>
      </rPr>
      <t xml:space="preserve"> 2023년 대비 달라지는 점(인사규칙 2024. 11. 1. 시행) </t>
    </r>
    <r>
      <rPr>
        <rFont val="Segoe UI Symbol"/>
        <color theme="1"/>
        <sz val="11.0"/>
      </rPr>
      <t>◦</t>
    </r>
    <r>
      <rPr>
        <rFont val="맑은 고딕"/>
        <color theme="1"/>
        <sz val="11.0"/>
      </rPr>
      <t xml:space="preserve"> 전문분야 근무자 실적가산점 폐지(전문분야 근무자로 지정되어 연속하여 1년 이상 근무한 직원
</t>
    </r>
  </si>
  <si>
    <t>BSC 성과평가 내 주요요소들은 무엇이 있나요?</t>
  </si>
  <si>
    <t>BSC 성과평가를 구성하는 핵심 요소와 평가 관점은 무엇인지 구체적으로 알려주세요.</t>
  </si>
  <si>
    <t>부산시청의 근무성적평가(BSC 성과평가)의 주요 요소는 다음과 같습니다.
업무 성과: 업무 수행의 효율성과 효과성을 평가합니다. 이는 목표 달성 정도, 업무 수행의 질, 문제 해결 능력 등을 포함합니다.
업무 태도: 직원의 태도와 행동을 평가합니다. 이는 책임감, 성실성, 협력성, 의사소통 능력 등을 포함합니다.
역량 및 전문성: 직원의 역량과 전문성을 평가합니다. 이는 업무 수행에 필요한 기술, 지식, 경험 등을 포함합니다.
조직 기여도: 조직 목표 달성에 기여한 정도를 평가합니다. 이는 팀워크, 리더십, 혁신성 등을 포함합니다.
고객 만족도: 직원의 업무 수행이 고객 만족도에 미친 영향을 평가합니다. 이는 고객 서비스, 고객 만족도 조사 결과 등을 포함합니다.
이러한 요소들은 평가의 객관성과 공정성을 확보하기 위해 체계적으로 관리되며, 각 요소는 정량적 및 정성적 평가를 통해 종합적으로 평가됩니다.</t>
  </si>
  <si>
    <t>해당 BSC(성과 지표, 성과평가) 관련된 매뉴얼이 없습니다.
성과 지표, 성과 평가 계획 등 관련 온나라 문서는 많은데
해당 문서들은 각 세부 지표별 시행계획, 지표정의서 등 지엽적인 내용이라
근거자료로 활용되기에는 어렵습니다.
근거자료가 없을 경우에는 일반적인 답변이 나와야 하고
부산시청의 &lt;&lt; 이런 내용은 빼는게 좋을거 같습니다.
그리고 마지막 줄에 BSC 관련 자세한 사항은 담당부서나 업무 담당자에게 문의하시기 바랍니다. 라는 멘트가 필요합니다.</t>
  </si>
  <si>
    <t>시 본청 당직시 주의사항에 대해서 알려줘</t>
  </si>
  <si>
    <t>시 본청 당직 근무 시 준수해야 할 주요 의무사항과 근무 중 유의해야 할 점은 무엇인가요?</t>
  </si>
  <si>
    <t>부산시청 본청 당직 시 주의사항은 다음과 같습니다.
보안 관리: 당직자는 보안 규정을 철저히 준수해야 합니다. 출입 통제, 문서 보관 및 관리, CCTV 모니터링 등을 통해 보안 사고를 예방해야 합니다.
비상 상황 대처: 비상 상황 발생 시 신속하게 대처해야 합니다. 화재, 재난, 응급 상황 등 다양한 비상 상황에 대비하여 비상 연락망과 대처 방안을 숙지하고 있어야 합니다.
문서 관리: 중요한 문서나 자료는 안전하게 보관하고, 불필요한 문서는 즉시 폐기해야 합니다. 문서 보안을 위해 암호화 및 접근 제한을 설정하는 것도 중요합니다.
민원 처리: 당직자는 민원 접수 및 처리를 담당합니다. 민원인의 요구사항을 신속하고 정확하게 처리하며, 민원인의 불편을 최소화해야 합니다.
청사 관리: 청사 내외부를 청결하게 유지하고, 시설물을 안전하게 관리해야 합니다. 특히, 야간에는 시설물의 이상 유무를 점검하고, 필요한 경우 즉시 조치를 취해야 합니다.
보고 및 연락: 당직자는 상급자에게 정기적으로 상황을 보고하고, 필요한 경우 즉시 연락할 수 있도록 준비해야 합니다.
비상 연락망 유지: 비상 상황 발생 시 신속하게 연락할 수 있도록 비상 연락망을 항상 최신 상태로 유지해야 합니다.
이러한 주의사항을 준수하여 부산시청 본청의 당직 업무를 원활하게 수행할 수 있습니다.</t>
  </si>
  <si>
    <r>
      <rPr>
        <rFont val="Malgun Gothic"/>
        <color theme="1"/>
        <sz val="11.0"/>
      </rPr>
      <t>해당 근거자료는 인사과에서 제출한 당직원근무자료를 참고하시면 됩니다.
첫번째 페이지에 당직근무자 임무가 표시되어 있습니다.
기대답변(해당 내용 그대로 출력해도 무방)
1. 평상시
- 청사내외 방범·방호·방화 및 보안상태 순찰·점검
- 청원경찰과 정상근무시간외근무자의 복무확인 및 산하기관 당직상황 확인감독
- 문서수발</t>
    </r>
    <r>
      <rPr>
        <rFont val="MS Gothic"/>
        <color theme="1"/>
        <sz val="11.0"/>
      </rPr>
      <t>․</t>
    </r>
    <r>
      <rPr>
        <rFont val="맑은 고딕"/>
        <color theme="1"/>
        <sz val="11.0"/>
      </rPr>
      <t>인계, 당직민원처리 등
★ (시)근조기</t>
    </r>
    <r>
      <rPr>
        <rFont val="MS Gothic"/>
        <color theme="1"/>
        <sz val="11.0"/>
      </rPr>
      <t>‧</t>
    </r>
    <r>
      <rPr>
        <rFont val="맑은 고딕"/>
        <color theme="1"/>
        <sz val="11.0"/>
      </rPr>
      <t>근조화 및 (노조)근조기</t>
    </r>
    <r>
      <rPr>
        <rFont val="MS Gothic"/>
        <color theme="1"/>
        <sz val="11.0"/>
      </rPr>
      <t>‧</t>
    </r>
    <r>
      <rPr>
        <rFont val="맑은 고딕"/>
        <color theme="1"/>
        <sz val="11.0"/>
      </rPr>
      <t>근조화</t>
    </r>
    <r>
      <rPr>
        <rFont val="MS Gothic"/>
        <color theme="1"/>
        <sz val="11.0"/>
      </rPr>
      <t>‧</t>
    </r>
    <r>
      <rPr>
        <rFont val="맑은 고딕"/>
        <color theme="1"/>
        <sz val="11.0"/>
      </rPr>
      <t>상조물품 신청 안내
- 담당자(총무과 황정민)에게 아래 내용 명시하여 문자로 신청
(신청직원)문자신청 → (총무과담당자) 업체 접수 및 신청자에 문자 답장
→ (용역업체) 기 설치 및 화환·물품 배송 및 장례(결혼)식 후 기 회수
- 16시까지 신청 시 당일 배송 가능, 이후 시간 익일 배송
【신청시 필수 포함 내용 】
① 구분 (예시) 부고(모친상) / 결혼(신부)
② 대상직원 부서명/ 직급/ 성명/ 휴대폰번호
③ 관계(이름) (예시) 모(김00)
④ 일시(별세일·발인일/결혼일·결혼시각)
⑤ 구체적인 배송 주소 (예시) 00장례식장 00호(부산광역시 00구00로00)
⑥ 공무원 노조조합원 또는 후원회원 여부 ※ 노조 상조물품 같이 접수됨
2. 비상시
- 긴급사태 발생 시 즉시 보고 및 신속 대처
- 청사 화재 시 긴급조치
※ 재난상황실에서 관리하는 자연재난·사회재난 상황 동향도 파악, 신속 보고</t>
    </r>
  </si>
  <si>
    <t>1. 평상시
 - 청사내외 방범·방호·방화 및 보안상태 순찰·점검
 - 청원경찰과 정상근무시간외근무자의 복무확인 및 산하기관 당직상황 확인감독
 - 문서수발․인계, 당직민원처리 등
 ★ (시)근조기‧근조화 및 (노조)근조기‧근조화‧상조물품 신청 안내
 - 담당자(총무과 황정민)에게 아래 내용 명시하여 문자로 신청
 (신청직원)문자신청 → (총무과담당자) 업체 접수 및 신청자에 문자 답장
 → (용역업체) 기 설치 및 화환·물품 배송 및 장례(결혼)식 후 기 회수
 - 16시까지 신청 시 당일 배송 가능, 이후 시간 익일 배송
 【신청시 필수 포함 내용 】
 ① 구분 (예시) 부고(모친상) / 결혼(신부)
 ② 대상직원 부서명/ 직급/ 성명/ 휴대폰번호
 ③ 관계(이름) (예시) 모(김00)
 ④ 일시(별세일·발인일/결혼일·결혼시각)
 ⑤ 구체적인 배송 주소 (예시) 00장례식장 00호(부산광역시 00구00로00)
 ⑥ 공무원 노조조합원 또는 후원회원 여부 ※ 노조 상조물품 같이 접수됨
 2. 비상시
 - 긴급사태 발생 시 즉시 보고 및 신속 대처
 - 청사 화재 시 긴급조치
 ※ 재난상황실에서 관리하는 자연재난·사회재난 상황 동향도 파악, 신속 보고</t>
  </si>
  <si>
    <t>306_2504_인사과_업무매뉴얼_인사과_당직원근무자료.pdf</t>
  </si>
  <si>
    <t>당직근무 교육자료
 � 근무현황
  m 당직근무 : 일·숙직 각 4명(5급 1, 6급 이하 3) ※ 3일 이상 연휴인 경우 : 일·숙직 각 5명(4급 1, 5급 1, 6급 이하 3)
 ★ 당직근무시간 준수 : 숙직 18:00~익일 09:00 / 일직 09:00~18:00
 【합동근무】▹당직 시작 후 1시간, 당직 종료 전 2시간은 전원 합동근무
  - 숙직 : 18:00~19:00, 익일 07:00~09:00
  - 일직 : 09:00~10:00, 16:00~18:00
 【교대근무】▹당직책임관의 지시에 따라 일정한 시간을 정하여 교대로 근무 가능 ※ 비번자 대기 : 당직실 또는 당직휴게실 (사무실 등 다른 장소 대기 불가)
 � 당직근무자 임무
  m 평상시
  - 청사내외 방범·방호·방화 및 보안상태 순찰·점검
  - 청원경찰과 정상근무시간외근무자의 복무확인 및 산하기관 당직상황 확인감독 - 문서수발․인계, 당직민원처리 등
 ★ (시)근조기‧근조화 및 (노조)근조기‧근조화‧상조물품 신청 안내
 - 담당자(총무과 황정민)에게 아래 내용 명시하여 문자(010-4539-2183)로 신청
  (신청직원)문자신청 → (총무과담당자) 업체 접수 및 신청자에 문자 답장
  → (용역업체) 기 설치 및 화환·물품 배송 및 장례(결혼)식 후 기 회수
 - 16시까지 신청 시 당일 배송 가능, 이후 시간 익일 배송
 【신청시 필수 포함 내용 】
 ① 구분 (예시) 부고(모친상) / 결혼(신부)
 ② 대상직원 부서명/ 직급/ 성명/ 휴대폰번호
 ③ 관계(이름) (예시) 모(김00)
 ④ 일시(별세일·발인일/결혼일·결혼시각)
 ⑤ 구체적인 배송 주소 (예시) 00장례식장 00호(부산광역시 00구00로00)
 ⑥ 공무원 노조조합원 또는 후원회원 여부 ※ 노조 상조물품 같이 접수됨 m 비상시
  - 긴급사태 발생 시 즉시 보고 및 신속 대처
  - 청사 화재 시 긴급조치
  ※ 재난상황실에서 관리하는 자연재난·사회재난 상황 동향도 파악, 신속 보고</t>
  </si>
  <si>
    <t>시 본청 당직시 주의사항 안내</t>
  </si>
  <si>
    <r>
      <rPr>
        <rFont val="맑은 고딕"/>
        <b/>
        <color theme="1"/>
        <sz val="11.0"/>
      </rPr>
      <t>299_2502_인사과_업무매뉴얼_인사과_당직원근무자료.pdf[1]</t>
    </r>
    <r>
      <rPr>
        <rFont val="맑은 고딕"/>
        <color theme="1"/>
        <sz val="11.0"/>
      </rPr>
      <t xml:space="preserve">
-----
</t>
    </r>
    <r>
      <rPr>
        <rFont val="맑은 고딕"/>
        <color rgb="FFFF0000"/>
        <sz val="11.0"/>
      </rPr>
      <t>[306 문서와 동일 내용의 문서가 있음. 전화번호가 제외된 이전 버전의 문서로 보임]</t>
    </r>
  </si>
  <si>
    <t>시 본청 주차장 승용차 요일제에 대해서 알려줘</t>
  </si>
  <si>
    <t>시 본청 주차장에서 운영되는 승용차 요일제의 적용 대상, 운영 방식, 예외 기준, 단속·관리 절차를 포함한 전체 운영 규정을 상세히 설명해주세요.</t>
  </si>
  <si>
    <t>부산시청 본청 주차장에서는 승용차 요일제를 시행하고 있습니다.
관련 정보는 다음과 같습니다.
대상 차량: 부산시청 본청 주차장을 이용하는 모든 차량
참여 방법: 월요일부터 금요일까지 중 2일은 승용차를 운행하지 않고, 3일은 운행하는 방식으로 참여
참여 혜택: 주차료 50% 감면, 자동차세 5% 감면, 환경개선부담금 5% 감면 등
제외 대상: 장애인, 국가유공자, 고엽제 후유증 환자, 생업곤란자, 임산부, 다자녀 가정, 친환경 자동차 등
신청 방법: 부산시청 홈페이지에서 신청하거나, 부산시청 주차관리과에 방문하여 신청
승용차 요일제는 대기오염을 줄이고, 교통 체증을 완화하기 위해 시행되는 제도입니다. 참여하시면 주차료 감면 등의 혜택을 받을 수 있으니, 많은 참여 부탁드립니다.</t>
  </si>
  <si>
    <t>해당 질의에 대한 근거문서가 없습니다.
보통 질의는 직원 대상에 대한 질의가 많으므로 민원이라고 명시하지 않으면
내부 직원에 관한 질의라고 보시면 됩니다.
직원 관련 규정에 대한 근거문서가 존재하지 않습니다.
자세한 사항은 관련 부서 또는 업무 담당자에게 문의하시기 바랍니다.
라고 답변해주시면 될거 같습니다.</t>
  </si>
  <si>
    <t>기대답변 :
 ㅇ 직원의 차량은 승용차요일제 1일과 선택요일 1일을 포함하여 총 2일을 지정하여 등록
 ㅇ 승용차요일제 1일은 시청 교통혁신과, 구청, 행정복지센터에서 신청
 ㅇ 차량 등록을 위해서는 "직원정기권 등록 신청서" 엑셀파일을 첨부한 후, 각 과에서 취합을 받아 공문으로 신청
 ㅇ 차량 해지도 동일한 절차로 공문으로 신청
 ㅇ 요일제 제외 차량대상은 3가지
 ① 경차, 수소차, 하이브리드 전기차: 차량등록증 첨부
 ② 장애인, 국가유공자의 차량: 본인 차량에 한하여 신청가능, 증빙서류를 제출
 ③ 유아 동승 차량:재원증명서와 주민등록등본을 제출, 해당 유아가 초등학교에 입학하면 유아 동승 차량은 자동 해제</t>
  </si>
  <si>
    <t>409_2505_총무과_주요질문사항_직원주차장_이용_안내.pdf</t>
  </si>
  <si>
    <t>ㅇ대상: 전직원
 1. 직원 정기권 등록방법?
 ㅇ 직원의 차량은 승용차요일제 1일과 선택요일 1일을 포함하여 총 2일을 지정하여 등록
 ㅇ 승용차요일제 1일은 시청 교통혁신과, 구청, 행정복지센터에서 신청
 ㅇ 차량 등록을 위해서는 "직원정기권 등록 신청서" 엑셀파일을 첨부한 후, 각 과에서 취합을 받아 공문으로 신청
 ㅇ 차량 해지도 동일한 절차로 공문으로 신청
 2. 승용차 요일제 신청방법?
 ㅇ 요일제 제외 차량대상은 3가지
 ① 경차, 수소차, 하이브리드 전기차: 차량등록증 첨부
 ② 장애인, 국가유공자의 차량: 본인 차량에 한하여 신청가능, 증빙서류를 제출
 ③ 유아 동승 차량:재원증명서와 주민등록등본을 제출, 해당 유아가 초등학교에 입학하면 유아 동승 차량은 자동 해제
 3. 출입구 전광판에 “기간만료일” 문구가 뜨면?
 ㅇ 정기권 등록 4년 경과 된 차량은 만료일 30일 전부터 주차장 출입구 전광판에 "기간만료00전" 안내 문구가 표출됨. 이 경우, 신청 절차는 차량 등록 시와 동일하게 공문을 통해 재등록을 신청
 ㅇ 미신청 시 민원인에게 부과되는 일반 요금이 부과되며, 1일 최대 8,000원 발생
 4. 주차장 이용시간은?
 ㅇ 매일, 24시간 운영</t>
  </si>
  <si>
    <t>직원 차량 등록 방법 및 절차, 시청사 내 직원 주차 등록 방법, 시청 청사 내 차량 등록 및 주차에 관한 설명, 본청 주차장 승용차 요일제에 대한 안내</t>
  </si>
  <si>
    <t>개인 사물함 및 케비닛 열쇠를 잃어버리면 어떻게 다시 받을 수 있나요?</t>
  </si>
  <si>
    <t>개인 사물함·캐비닛 열쇠를 분실했을 때 재발급이나 교체를 받기 위한 절차와 담당 부서는 어디인가요?</t>
  </si>
  <si>
    <t>부산시청 본청 개인 사물함 및 케비닛 열쇠를 잃어버린 경우, 재발급 절차는 다음과 같습니다.
열쇠 재발급 신청서 작성: 재발급을 원하는 경우, 부산시청 본청의 해당 부서에 방문하여 열쇠 재발급 신청서를 작성해야 합니다.
신분증 제출: 신청서와 함께 본인의 신분증을 제출해야 합니다. 신분증은 본인 확인을 위한 필수 서류입니다.
수수료 납부: 열쇠 재발급에 대한 수수료가 있을 수 있으며, 해당 수수료를 납부해야 합니다.
열쇠 수령: 모든 절차가 완료되면, 재발급된 열쇠를 수령할 수 있습니다. 수령은 신청한 부서를 방문하여 진행합니다.
각 단계는 부서의 상황에 따라 다소 차이가 있을 수 있으므로, 정확한 절차는 부산시청 본청의 해당 부서에 문의하여 확인하는 것이 좋습니다.</t>
  </si>
  <si>
    <t>해당 질의에 대한 근거문서가 없습니다.
직원 관련 규정에 대한 근거문서가 존재하지 않습니다.
자세한 사항은 관련 부서 또는 업무 담당자에게 문의하시기 바랍니다.
라고 답변해주시면 될거 같습니다.</t>
  </si>
  <si>
    <t>사무관리비로 선풍기를 구입할 수 있나요?</t>
  </si>
  <si>
    <t>사무관리비 예산으로 선풍기 같은 사무용 비품을 구입할 수 있는지, 가능 여부와 제한 기준을 알려주세요.</t>
  </si>
  <si>
    <t>부산시청 사무관리비로 선풍기 구입이 가능합니다. 사무용품 구입은 일반수용비로 분류되며, 이는 사무실 운영에 필요한 다양한 물품 구입을 포함합니다. 따라서 선풍기와 같은 사무용품 구입은 사무관리비의 일환으로 처리될 수 있습니다.</t>
  </si>
  <si>
    <t>첨부파일 오류입니다.
사무관리비, 공공운영비 등 회계 관련 질문은 예산쪽 질문으로 분류해야합니다
예산담당관에서 제출한 2025년도 지방자치단체 예산편성 운영기준 및 기금운영계획 수립기준
파일의 101P에 일반운영비 중 사무관리비 관련 내용이 있습니다.
답변은 이상없습니다.</t>
  </si>
  <si>
    <t>101, 102</t>
  </si>
  <si>
    <t>그룹 편 성 목 설 정 ( 통 계 목 포 함 ) 비고100 101 인건비 04. 기간제근로자등 보수
 1. 기간제근로자 예산편성
 가. 인부임 및 급량(간식)비, 부상치료비, 피복비, 여비 등
 근로자고용에 따라 관련법령에 근거하여 고용주가 부담해야
 하는 경비 단, 사무보조근로자와 시설부대비를 수반
 하는 건설사업의 근로자임금은 계상할 수 없음
 나. 특정사업수행을 위한 근로자임금은 사업완료 후 근로관계를
 종료
 다. 소요예산은 고용목적 및 내용에 따라 산정
 라. 「기간제 및 단시간근로자 보호 등에 관한 법률」에 따라
 채용되는 근로자 임금 편성
 2. 인사관계법령에 의한 「지방공무원 인사제도 운영지침」
 및 「지방공무원 균형인사운영지침」에 의하여 채용되는 대체
 인력 근로자임금
 3. 기간제근로자등 보수는 ｢최저임금법｣이 정하는 사항을
 준수하여 편성
 ※ 다음 연도의 최저임금은 고용노동부장관이 매년 8.5일까지 결정‧고시
 하므로 예산편성시 이를 반영
 200 물건비
 201 일반운영비 1. 일반운영비는 자치단체의 행정활동수행을 위해 기본적으로
 필요한 경비이면서 경상적 소모적 경비로 과다편성 운영시
 예산의 낭비요인이 될 수도 있음
 2. 일반운영비 "통계목"을 사무관리비와 공공운영비, 행사
 운영비로 대분류한 것은 목의 세분화에 따른 통계목 변경의
 복잡성 등을 감안, 이를 탄력적으로 운영하기 위한 것임
 01. 사무관리비
 1. 일반수용비
 가. 관서운영에 소요되는 수용비
 1) 당직용 침구 구입 및 세탁비
 2) 기본사무용품비 : 부서내 일반사무비와 기타용품비
 3) 기타수용비 : 범용 S/W 구입비, 도서구입비, 기기구입비,
 소규모 수선비, 일반수수료, 관보구독료 등
 나. 필기구, 용지대 등 사무용 잡품비
 다. 자료 및 보고서, 책자, 각종양식, 전단 등 업무수행에
 따른 일체의 인쇄물 및 유인물의 제작비
 라. 현수막, 간판 등의 안내·홍보물 제작비 및 기관(관서)의
 간판, 명패, 감사패, 상패 등 제작비</t>
  </si>
  <si>
    <t>사무관리비로 구매 가능한 물품 목록, 사무관리비로 구입 가능한 물품 목록, 사무관리비 사용방법, 선풍기(사무용품)</t>
  </si>
  <si>
    <t>보도자료가 배포되는 과정에 대해서 알고싶어요</t>
  </si>
  <si>
    <t>보도자료를 작성한 후 시청 내부 검토부터 언론사 배포까지 어떤 절차를 거치는지 단계별로 알려주세요.</t>
  </si>
  <si>
    <t>부산시청에서 보도자료가 배포되는 과정은 보도자료 작성, 배포, 홍보물 게시, 신문광고, SNS 등 기타 홍보로 진행됩니다.
관련내용은 다음과 같습니다.
보도자료 작성
배포일시와 담당자를 명확히 기입합니다.
사고 상황을 요약 기술하고, 대응 상황, 수습 복구 계획, 시민 당부 사항 등을 작성합니다.
배포
언론의 마감시간(조간: 오후 5시, 석간: 오전 10시) 이전 자료를 배포합니다.
방송은 화면 제작에 필요한 시간을 고려하여 배포합니다.
필요시 주기적으로 배포 가능하나 보도 시점을 명확히 합니다.
홍보물 게시
가로등, 대형 현수막, 포스터, X배너 등 다양한 홍보물을 게시합니다.
신문광고, 신문기사 등을 통해 보도자료를 배포합니다.
SNS 등 기타 홍보
부산시청 홈페이지, 부산시 안전하이소 블로그, 부산시 안전하이소 인스타그램 등을 활용합니다.
유튜브 동영상, 전단지, 리플릿 제작 등을 통해 홍보합니다.</t>
  </si>
  <si>
    <t>보도자료도 관련 문서가 없습니다.
보도자료 배포에 대한 근거문서가 존재하지 않습니다.
자세한 사항은 관련 부서 또는 업무 담당자에게 문의하시기 바랍니다.
라고 답변해주시면 될거 같습니다.</t>
  </si>
  <si>
    <t>기대답변 :
  a. (배포 D-7~10) 배포 예정 보도자료 목록 취합 (보도지원팀 → 실국본부)
  b. (배포 D-3) 보도자료 초안 작성·제출 (담당부서 → 보도지원팀 담당자)
  * 작성참고 : https://www.busan.go.kr/nbtnewsBU
  ※ 실·국·본부별 보도지원팀 담당자 명단
  c. (배포 D-2~1) 보도자료 최종 확정 (검토본 작성·회신, 부서확인)
  d. (배포 D-day)
  가. 배포일(월~금, 일) 오전 07시 市 보도자료 언론사 일괄 배포 (이메일 발송, 홈페이지 게시 등)
  * 정기배포 시간 외 배포는 실국 보도지원팀 담당자와 사전 협의 必
  나. 배포 이후 언론사별 보도 계획에 따른 언론보도 진행
  - (통상 보도시점) 인터넷 언론 : 배포일 주간 / 방송사 : 배포일 저녁·익일 아침 / 신문 지면 : 배포일 익일 조간</t>
  </si>
  <si>
    <t>4. (참고) 시정 보도자료 정기배포 프로세스
  a. (배포 D-7~10) 배포 예정 보도자료 목록 취합 (보도지원팀 → 실국본부)
  b. (배포 D-3) 보도자료 초안 작성·제출 (담당부서 → 보도지원팀 담당자)
  * 작성참고 : https://www.busan.go.kr/nbtnewsBU
  ※ 실·국·본부별 보도지원팀 담당자 명단
  c. (배포 D-2~1) 보도자료 최종 확정 (검토본 작성·회신, 부서확인)
  d. (배포 D-day)
  가. 배포일(월~금, 일) 오전 07시 市 보도자료 언론사 일괄 배포 (이메일 발송, 홈페이지 게시 등)
  * 정기배포 시간 외 배포는 실국 보도지원팀 담당자와 사전 협의 必
  나. 배포 이후 언론사별 보도 계획에 따른 언론보도 진행
  - (통상 보도시점) 인터넷 언론 : 배포일 주간 / 방송사 : 배포일 저녁·익일 아침 / 신문 지면 : 배포일 익일 조간</t>
  </si>
  <si>
    <t>현재 비어있는 시청 내 회의실은 어디가 있나요?</t>
  </si>
  <si>
    <t>현재 시 청사 내에서 실시간으로 예약 가능하거나 비어 있는 회의실을 확인할 수 있는 시스템(또는 절차), 조회 방법, 이용 조건을 상세히 설명해주세요.</t>
  </si>
  <si>
    <t xml:space="preserve">부산시청 내 현재 비어있는 회의실은 1층 대회의실 및 로비입니다.
관련 정보는 다음과 같습니다.
1. 위치: 부산광역시 부산진구 중앙대로 1001 (연산동)
2. 시설: 대회의실 및 로비
3. 특징: 대규모 회의나 행사를 위한 공간으로, 다양한 용도로 사용 가능합니다.
이외에 다른 회의실 정보가 필요하실 경우, 언제든지 말씀해주세요! </t>
  </si>
  <si>
    <t>해당 정보는 실시간 연동을 해야하므로
답변은 회의실 실시간 연동은 현재 미적용이라 확인이 불가능합니다.
자세한 사항은 관련 부서 또는 업무 담당자에게 문의하시기 바랍니다.
라고 답변해주시면 될 거 같습니다.</t>
  </si>
  <si>
    <t>기대답변 :
 다음 위치에서 확인 가능합니다.
 행정포털 - 개인서비스 - 회의장 클릭 후 원하는 날짜 예약</t>
  </si>
  <si>
    <t>옷걸이는 정수 물품인가요?</t>
  </si>
  <si>
    <t>사무실 비품 중 옷걸이는 정수에 해당하는지, 구입 가능 여부와 관련 기준은 무엇인가요?</t>
  </si>
  <si>
    <t>부산시청 물품 관리 규정에서는 옷걸이를 정수 물품으로 명시하지 않았습니다. 따라서 옷걸이는 정수 물품에 해당하지 않습니다.</t>
  </si>
  <si>
    <t xml:space="preserve">ㆍ1125_압축2025년_부산문화재단_규정집2025227.pdf (p.99)
https://busanai.busan.go.kr/download/1125_압축2025년_부산문화재단_규정집2025227.pdf </t>
  </si>
  <si>
    <t>근거자료 오류입니다.
정수 관련 근거자료가 없기 때문에 확인이 불가능하고 자세한 사항은 문의 하라는 식의 답변으로
표출되면 됩니다</t>
  </si>
  <si>
    <t>2024년과 2025년에 변경되는 주요 복지정책은 무엇이 있나요</t>
  </si>
  <si>
    <t>2024년과 2025년에 시행되거나 변경되는 복지정책 중 주요 항목과 적용 방식, 차이점 등을 알려주세요</t>
  </si>
  <si>
    <t>2024년과 2025년에 부산광역시의 주요 복지정책은 새롭게 시작합니다, 이렇게 달라집니다로 구분됩니다.
관련내용은 다음과 같습니다.
새롭게 시작합니다.
병원 안심동행 서비스 시행
퇴원환자 안심돌봄 서비스 시행
최중증 발달장애인 단계별 1:1 돌봄체계 구축
장애인복지관 무료급식 지원
장애인 시티투어버스 운영
이렇게 달라집니다.
기초생활수급자 선정기준 완화 및 긴급복지 생계비 인상
기초생활보장제도 선정기준 변경
일상 돌봄 서비스 사업 확대 시행
고독사 위험군 지원
자활근로 참여자 급여 인상
장애인연금 기초급여액 인상
여성장애인 출산비용 지원금 인상
노인 맞춤 돌봄 서비스 지원 확대
기초연금 지급액 인상
노인 일자리 수당(활동비) 상향 지원
아이돌봄 서비스 지원 확대
부산형 아이돌봄(입원 아동 돌봄) 서비스 이용 확대
한부모가족, 청소년 부모 자녀 양육비 지원 확대
첫 만남 이용권 지급액 확대
0~1세아 부모 급여 지원 확대
자립준비청년(보호 종료 아동) 자립수당 인상</t>
  </si>
  <si>
    <t>ㆍ45798_2024년도_복지시책안내.pdf (p.5, 15)
https://busanai.busan.go.kr/download/45798_2024년도_복지시책안내.pdf</t>
  </si>
  <si>
    <t>부기 질문은 일단 내부직원에 대한 질의를 우선 가정하는게 좋을거 같습니다.
민원에 대한 내용을 알려달라는 식의 프롬프트가 없다면
내부직원에 대한 질의 우선으로 답변해주시면 될것 같습니다.
인사과에서 제출한 2025년도 부산광역시 맞춤형복지제도 운영계획에 보시면 요약 부분에 2025년도 달라지는 내용이라고 정리된 내용이 있습니다.
해당 내용을 참조해서 자료 작성해주시면 됩니다.</t>
  </si>
  <si>
    <t>기대 답변 :
 &lt;2025년도 달라지는 내용&gt;
 ❖ 복지포인트 
  ·기본 포인트 인상(1,012P → 1,050P)
  ·육아시간 등 사용 업무대행자에 대한 포인트 제공(시간당 1P)
  ·중소상공인 지원 및 지역경제 활성화를 위한 지역화폐(동백전) 의무 배정
  (5급 이상 500P, 6급 이하 200P)▹한시적 
 ❖ 단체보장보험 
  ·치아 치료비(임플란트·브릿지·틀니 통합 3개 한도, 개당 30만원) 지급
  ·폭행피해 위로금 100만원 지급(악성민원, 구조구급 활동 등 공무 중 피해 포함)
  ·피싱금융사기(자녀 포함) 500만원 한도 보상</t>
  </si>
  <si>
    <t>290_2501_인사과_기타_인사과_2025년도_부산광역시_맞춤형복지제도_운영계획.pdf</t>
  </si>
  <si>
    <t>&lt;table border="1" class="table table-striped table-hover"&gt;&lt;thead&gt;&lt;tr&gt;&lt;th&gt;주무관&lt;/th&gt;&lt;th&gt;공무원복지팀장&lt;/th&gt;&lt;th&gt;인사과장&lt;/th&gt;&lt;th&gt;행정자치국장&lt;/th&gt;&lt;th&gt;행정부시장&lt;/th&gt;&lt;/tr&gt;&lt;/thead&gt;&lt;tbody&gt;&lt;tr&gt;&lt;td&gt;김효경&lt;/td&gt;&lt;td&gt;김갑수&lt;/td&gt;&lt;td&gt;구정모&lt;/td&gt;&lt;td&gt;조영태&lt;/td&gt;&lt;td&gt;전결 2025. 1. 8.이준승&lt;/td&gt;&lt;/tr&gt;&lt;tr&gt;&lt;td&gt;협조자&lt;/td&gt;&lt;td&gt;송찬희안전보건팀장최정옥중소상공인지원과장&lt;/td&gt;&lt;td&gt;&lt;/td&gt;&lt;td&gt;&lt;/td&gt;&lt;td&gt;&lt;/td&gt;&lt;/tr&gt;&lt;/tbody&gt;&lt;/table&gt; &lt;table border="1" class="table table-striped table-hover"&gt;&lt;thead&gt;&lt;tr&gt;&lt;th&gt;등록번호&lt;/th&gt;&lt;th&gt;인사과-988&lt;/th&gt;&lt;/tr&gt;&lt;/thead&gt;&lt;tbody&gt;&lt;tr&gt;&lt;td&gt;등록일자&lt;/td&gt;&lt;td&gt;2025. 1. 8.&lt;/td&gt;&lt;/tr&gt;&lt;tr&gt;&lt;td&gt;결재일자&lt;/td&gt;&lt;td&gt;2025. 1. 8.&lt;/td&gt;&lt;/tr&gt;&lt;tr&gt;&lt;td&gt;공개구분&lt;/td&gt;&lt;td&gt;대국민 공개&lt;/td&gt;&lt;/tr&gt;&lt;/tbody&gt;&lt;/table&gt; 2025년도 부산광역시 맞춤형복지제도 운영계획 요 약 □ 운영근거 ᄋ「지방공무원법」 제77조(능률 증진을 위한 사항) ᄋ「부산광역시 공무원 후생복지에 관한 조례」 □ 운영개요 ᄋ (운영기간) 2025. 1. 1. ~ 12. 31. ※ 포인트 사용기간 : ‘25. 11. 30.한 ᄋ (대 상) 5,587명* (시 소속 공무원, 시의원, 청원경찰, 공무직) * 24. 10. 31. 기준 인원으로 25. 1. 1.자 실제 배정 인원 변동 ᄋ (주요내용) 맞춤형 복지포인트 지급 및 단체보장보험 운영 ᄋ (예 산 액) 9,662,310천원 (공무원 및 공무직 등) &lt;2025년도 달라지는 내용&gt; ❖ 복지포인트 ·기본 포인트 인상(1,012P → 1,050P) ·육아시간 등 사용 업무대행자에 대한 포인트 제공(시간당 1P) ·중소상공인 지원 및 지역경제 활성화를 위한 지역화폐(동백전) 의무 배정 (5급 이상 500P, 6급 이하 200P)▹한시적 ❖ 단체보장보험 ·치아 치료비(임플란트·브릿지·틀니 통합 3개 한도, 개당 30만원) 지급 ·폭행피해 위로금 100만원 지급(악성민원, 구조구급 활동 등 공무 중 피해 포함) ·피싱금융사기(자녀 포함) 500만원 한도 보상</t>
  </si>
  <si>
    <t>2025년에 변경되는 주요 복지정책</t>
  </si>
  <si>
    <t>장기재직휴가 기준 및 사용방법</t>
  </si>
  <si>
    <t>장기재직휴가를 부여받기 위한 기준과 산정 방법, 신청 절차 및 사용 방법을 단계별로 알려주세요.</t>
  </si>
  <si>
    <t>부산광역시의 공무원 장기재직휴가 기준은 재직기간에 따라 사용일수가 정해져 있으며, 사용 방법은 휴양시설 이용 시 숙박료 지원이 가능합니다.
관련내용은 다음과 같습니다.
재직기간별 장기재직휴가 사용일수
5년 이상 9년 이하: 5일
10년 이상 19년 이하: 15일
20년 이상 29년 이하: 25일
30년 이상: 25일
사용 방법
장기재직휴가 기간 동안 휴양시설을 이용해야 하며, 국내외 숙박업소로 등록된 모든 시설(호텔, 리조트, 펜션 등)에서 지원이 가능합니다.
본청, 직속기관, 사업소, 시의회 소속 공무원 및 청원경찰이 대상이며, 소방재난본부는 제외됩니다.
휴양시설 숙박료만 지원되며, 기타 시설 및 장비 이용료는 지원되지 않습니다.
이용금액이 200,000원을 초과할 경우 최대 200,000원까지 지원되며, 실제 이용금액만 지원됩니다.
장기재직휴가 기간 내 숙박료 합산 신청이 가능합니다.
휴가 전, 후, 중간에 토, 일요일 및 공휴일이 포함될 수 있습니다.
이러한 기준과 사용 방법을 통해 부산광역시 공무원들은 장기재직휴가를 보다 효과적으로 활용할 수 있습니다.</t>
  </si>
  <si>
    <t>2, 3, 4</t>
  </si>
  <si>
    <t>Ⅱ 세부 시행지침
 1. 시행원칙
 가. 업무에 지장이 없는 범위 내에서 부서장* 책임 하 실시
  * 직제 기준, 「부산광역시 행정기구 설치 조례 시행규칙」에 명시된 부서
 구 분 승인권자(부서장) 비고본 청 과 장
 직속기관
 인재개발원 과 장
 보건환경연구원 과 장(팀‧소장)
 농업기술센터 팀 장
 사업소 팀 장(5급 이상)
 - 휴가 시작일 기준 1주일 전 승인(차세대인사랑 복무 승인) 후 실시 * 과장급 이상은 직상, 국장급 및 3급 사업소장은 본청 지도‧감독부서 실‧국장 승인
 나. 재직기간 별 해당 기간 내 반드시 사용
 - ’23.10.11. 「부산광역시 공무원 복무 조례」개정으로 확대된 장기재직휴가 일수가 6개월 내 소멸 예정인 자는 신설·확대된 장기재직휴가 5일에 한하여 소멸유예기간을 적용하여 ’24. 4. 1.한 사용 가능 *대상자 : ’23.10.2. 기준 재직기간이 9년 6월 ~ 11월 또는, 재직기간이 29년 6월 ~ 11월인 자다. 휴가 기간은 2일 이상 분할사용 가능
 - 최소 2일 이상 사용
  *사용 예시 - (10일 기준시) 3일/3일/2일/2일, 2일/8일, 2일Ⅹ5회 등
 - 토‧일요일 및 공휴일은 휴가기간에 산입하지 않음
 라. 부서 현원의 1/3 이내로 휴가대상자 선정
 마. 장기간 휴가사용을 위해 연가 연계사용 권장
 - 연계사용 희망자는 반드시 휴가계획 결재 시 명기
  *사용 예시 - 장기재직휴가 5일+연가 3일(O), 장기재직휴가 3일+연가 2일(O)
 2. 재직기간 산정
 가.「공무원연금법」 제25조에 따른 공무원연금공단의 퇴직급여재직기간(연월수로 계산)
 나. 공무원연금공단 재직기간 산정‧확인 ‣ 붙임 참고자료
 3. 시행방법
  가능일수 사전등록
 (차세대 인사시스템)
 복무시스템 승인(직원→승인권자) - 등록: 부서별 서무 - 승인: 휴가 시작전
  ※ 업무대행자 지정 철저
 가. 복무시스템 승인 및 실시(휴가 희망직원 ⇒ 부서장)
 - 차세대인사랑(복무관리시스템) 상 결재를 득한 후 휴가 실시 * 휴가신청 시 차세대인사랑 등록방법
  √ 휴가구분 : 연가외휴가관리 - 특별휴가 - ‘장기재직휴가’로 등록
  √ 휴가사유 : [예시] ‘(금회) 20년차 1회 5일, (잔여일수) 20일
 - 부서장은 휴가 기간 중 업무대행자 지정 등 확인 후 승인 * 주요 현안 등 업무 공백이 우려될 경우 휴가 조정 등
 &lt; 자치구・군 등 인사교류 파견자의 장기재직휴가&gt;
 ① 파견자 장기재직휴가 시행 : 파견기관 소속부서장 결재 후 휴가 시행
  부서장 결재 후 원소속기관 부서로 공문 발송
  ② 원소속기관 부서 복무 조치 : 차세대인사랑 시스템 등록 및 결재
  ※ 파견자는 부산시 장기재직휴가 시행지침 적용
 4. 시행시기 : 2024. 7. 1.</t>
  </si>
  <si>
    <t>SQG006</t>
  </si>
  <si>
    <t>DRM 암호 초기화 방법</t>
  </si>
  <si>
    <t>DRM(자료유출방지시스템, 문서암호화시스템) 암호가 잠기거나 분실된 경우, 초기화 방법을 알려주세요.</t>
  </si>
  <si>
    <t xml:space="preserve">부산광역시 공무원 장기재직휴가 DRM 암호 초기화 방법에 대한 정보를 찾을 수 없습니다. DRM 암호 초기화는 보안과 관련된 중요한 절차이므로, 관련 기관이나 담당 부서에 문의하여 정확한 안내를 받는 것이 좋습니다. 일반적으로 이러한 절차는 내부 IT 부서나 보안 담당자가 관리하며, 사용자 매뉴얼이나 공식 문서를 통해 안내받을 수 있습니다. </t>
  </si>
  <si>
    <t>인사고충 신청 방법</t>
  </si>
  <si>
    <t>인사 관련 고충을 겪을 때, 인사고충을 공식적으로 신청하는 절차와 필요 서류, 처리 과정을 단계별로 알려주세요</t>
  </si>
  <si>
    <t>부산광역시 공무원의 인사고충 신청 방법은 다음과 같습니다.
온라인 신청: 부산광역시 인사혁신담당관실에 온라인으로 신청할 수 있습니다. 부산광역시 홈페이지에서 “공무원 인사고충” 메뉴를 통해 신청서를 작성하고 제출할 수 있습니다.
서면 신청: 직접 부산광역시 인사혁신담당관실을 방문하여 서면 신청서를 제출할 수 있습니다.
상담 및 안내: 인사혁신담당관실에서는 인사고충 상담 및 안내를 제공하고 있으며, 필요시 상담을 통해 신청 방법을 안내받을 수 있습니다.
인사고충 신청 시, 신청자의 개인정보와 인사고충 내용을 명확하게 기재해야 하며, 신청서에는 인사고충의 구체적인 내용과 해결을 원하는 방안 등을 포함해야 합니다.</t>
  </si>
  <si>
    <t>관련 근거 문서는 인사과에서 제출한 2025년도 부산광역시 인사운영 기본계획 11P에 
관련 내용이 있습니다.
내용 중 인사혁신담당관실, 홈페이지 신청, 서면 신청서, 개인정보 명확 기재 등은 할루시네이션입니다.</t>
  </si>
  <si>
    <t>기대답변:
 ❍ (인사상담실 운영) 개인 고충을 인사담당자와 수시로 상담할 수 있는
 인사시스템 운영
 - (운영시기) 연중 수시 (상시 인사 상담)
 - (운영방법) 전화, 온톡메신저, 인사관리시스템 등을 통한 인사 상담
 - (상담내용) 개인 인사고충사항(승진, 전보 등) 상담
 - (운영효과) 방문 인사상담 부담 해소 및 직원 편의 증진
 ❍ (찾아가는 인사상담) 직접 찾아가서 상담하는 적극적 인사 운영
 - (운영시기) 상․하반기 연 2회 ‣ 정기인사 전‧후
 - (운영내용) 실‧국‧본부별 및 직렬(직류)별 인사간담회 개최 ※ 서면가능
 - (상담내용) 부서, 직렬별 인사 애로 및 건의사항 청취 반영
 - (조치사항) 건의 사항별 조치 내역(즉시 반영, 중앙부처 건의 등)을
 건의자에 안내, 주기적 모니터링 및 반영 노력 이행</t>
  </si>
  <si>
    <t xml:space="preserve">24년도 자료랑 동일한 것으로 보임
저한테 6월에 보내주셨던 등급 분류 자료 중 등급 3.0에 관련 문서 있는것으로 나옵니다 
 </t>
  </si>
  <si>
    <r>
      <rPr>
        <rFont val="맑은 고딕"/>
        <b/>
        <color theme="1"/>
        <sz val="11.0"/>
      </rPr>
      <t>263_2401_인사과_기본계획_인사과_2024년도_부산광역시_인사운영_기본계획.pdf[11]</t>
    </r>
    <r>
      <rPr>
        <rFont val="맑은 고딕"/>
        <color theme="1"/>
        <sz val="11.0"/>
      </rPr>
      <t xml:space="preserve">
-----
</t>
    </r>
    <r>
      <rPr>
        <rFont val="맑은 고딕"/>
        <color rgb="FFFF0000"/>
        <sz val="11.0"/>
      </rPr>
      <t xml:space="preserve">[2025년도 자료가 없음. 확인 필요] </t>
    </r>
    <r>
      <rPr>
        <rFont val="맑은 고딕"/>
        <color theme="1"/>
        <sz val="11.0"/>
      </rPr>
      <t xml:space="preserve">
3. 소통과 배려, 공감의 인사
◆ 인사정보 공개 강화를 통해 인사의 공정성 및 투명성을 제고하고, 예측가능성 확보를 통해 안정적 근무환경 조성
 □ 인사사전 예고제
</t>
    </r>
    <r>
      <rPr>
        <rFont val="Segoe UI Symbol"/>
        <color theme="1"/>
        <sz val="11.0"/>
      </rPr>
      <t>❍</t>
    </r>
    <r>
      <rPr>
        <rFont val="맑은 고딕"/>
        <color theme="1"/>
        <sz val="11.0"/>
      </rPr>
      <t xml:space="preserve"> (운영시기) 연간 상</t>
    </r>
    <r>
      <rPr>
        <rFont val="Noto Sans KR"/>
        <color theme="1"/>
        <sz val="11.0"/>
      </rPr>
      <t>‧</t>
    </r>
    <r>
      <rPr>
        <rFont val="Noto Sans KR"/>
        <color theme="1"/>
        <sz val="11.0"/>
      </rPr>
      <t>하반기</t>
    </r>
    <r>
      <rPr>
        <rFont val="맑은 고딕"/>
        <color theme="1"/>
        <sz val="11.0"/>
      </rPr>
      <t xml:space="preserve"> 정기인사 전
</t>
    </r>
    <r>
      <rPr>
        <rFont val="Segoe UI Symbol"/>
        <color theme="1"/>
        <sz val="11.0"/>
      </rPr>
      <t>❍</t>
    </r>
    <r>
      <rPr>
        <rFont val="맑은 고딕"/>
        <color theme="1"/>
        <sz val="11.0"/>
      </rPr>
      <t xml:space="preserve"> (운영내용) 인사방침, 승진 기준 등을 행정게시판에 공개
- (사전예고) 인사방침, 승진 및 전보임용 기준, 인사일정 등- (정보공개) 실국별 승진연도별 분포도(전직렬) + 부서별 결원 현황- (전보일자) 6급이하 공무원 전보시행일 확정 시행(2.1자, 8.1자)
※ 조직개편 등 불가피한 사유 발생 시 전보일자 조정
</t>
    </r>
    <r>
      <rPr>
        <rFont val="Segoe UI Symbol"/>
        <color theme="1"/>
        <sz val="11.0"/>
      </rPr>
      <t>❍</t>
    </r>
    <r>
      <rPr>
        <rFont val="맑은 고딕"/>
        <color theme="1"/>
        <sz val="11.0"/>
      </rPr>
      <t xml:space="preserve"> (운영효과) 인사의 공정성</t>
    </r>
    <r>
      <rPr>
        <rFont val="Noto Sans KR"/>
        <color theme="1"/>
        <sz val="11.0"/>
      </rPr>
      <t>‧</t>
    </r>
    <r>
      <rPr>
        <rFont val="Noto Sans KR"/>
        <color theme="1"/>
        <sz val="11.0"/>
      </rPr>
      <t>투명성</t>
    </r>
    <r>
      <rPr>
        <rFont val="맑은 고딕"/>
        <color theme="1"/>
        <sz val="11.0"/>
      </rPr>
      <t xml:space="preserve"> 확보 및 전보희망부서 신청 시 승진연도 분산 효과
</t>
    </r>
    <r>
      <rPr>
        <rFont val="맑은 고딕"/>
        <color rgb="FFFF0000"/>
        <sz val="11.0"/>
      </rPr>
      <t xml:space="preserve"> □ 인사상담 활성화
</t>
    </r>
    <r>
      <rPr>
        <rFont val="Segoe UI Symbol"/>
        <color rgb="FFFF0000"/>
        <sz val="11.0"/>
      </rPr>
      <t>❍</t>
    </r>
    <r>
      <rPr>
        <rFont val="맑은 고딕"/>
        <color rgb="FFFF0000"/>
        <sz val="11.0"/>
      </rPr>
      <t xml:space="preserve"> (인사상담실 운영) 개인 고충을 인사담당자와 수시로 상담할 수 있는 인사시스템 운영
- (운영시기) 연중 수시 (상시 인사 상담)
- (운영방법) 전화, 메신저, 인사관리시스템 등을 통한 인사 상담- (상담내용) 개인 인사고충사항(승진, 전보 등) 상담
- (운영효과) 방문 인사상담 부담 해소 및 직원 편의 증진
</t>
    </r>
    <r>
      <rPr>
        <rFont val="Segoe UI Symbol"/>
        <color rgb="FFFF0000"/>
        <sz val="11.0"/>
      </rPr>
      <t>❍</t>
    </r>
    <r>
      <rPr>
        <rFont val="맑은 고딕"/>
        <color rgb="FFFF0000"/>
        <sz val="11.0"/>
      </rPr>
      <t xml:space="preserve"> (찾아가는 인사상담) 직접 찾아가서 상담하는 적극적 인사 운영- (운영시기) 상</t>
    </r>
    <r>
      <rPr>
        <rFont val="MS UI Gothic"/>
        <color rgb="FFFF0000"/>
        <sz val="11.0"/>
      </rPr>
      <t>․</t>
    </r>
    <r>
      <rPr>
        <rFont val="맑은 고딕"/>
        <color rgb="FFFF0000"/>
        <sz val="11.0"/>
      </rPr>
      <t xml:space="preserve">하반기 연 2회 </t>
    </r>
    <r>
      <rPr>
        <rFont val="Tahoma"/>
        <color rgb="FFFF0000"/>
        <sz val="11.0"/>
      </rPr>
      <t>‣</t>
    </r>
    <r>
      <rPr>
        <rFont val="맑은 고딕"/>
        <color rgb="FFFF0000"/>
        <sz val="11.0"/>
      </rPr>
      <t xml:space="preserve"> 정기인사 전</t>
    </r>
    <r>
      <rPr>
        <rFont val="Noto Sans KR"/>
        <color rgb="FFFF0000"/>
        <sz val="11.0"/>
      </rPr>
      <t>‧</t>
    </r>
    <r>
      <rPr>
        <rFont val="Noto Sans KR"/>
        <color rgb="FFFF0000"/>
        <sz val="11.0"/>
      </rPr>
      <t>후</t>
    </r>
    <r>
      <rPr>
        <rFont val="맑은 고딕"/>
        <color rgb="FFFF0000"/>
        <sz val="11.0"/>
      </rPr>
      <t xml:space="preserve">
- (운영내용) 실</t>
    </r>
    <r>
      <rPr>
        <rFont val="Noto Sans KR"/>
        <color rgb="FFFF0000"/>
        <sz val="11.0"/>
      </rPr>
      <t>‧</t>
    </r>
    <r>
      <rPr>
        <rFont val="Noto Sans KR"/>
        <color rgb="FFFF0000"/>
        <sz val="11.0"/>
      </rPr>
      <t>국‧본부별</t>
    </r>
    <r>
      <rPr>
        <rFont val="맑은 고딕"/>
        <color rgb="FFFF0000"/>
        <sz val="11.0"/>
      </rPr>
      <t xml:space="preserve"> 및 직렬(직류)별 인사간담회 개최 ※ 서면가능- (상담내용) 부서, 직렬별 인사 애로 및 건의사항 청취 반영- (조치사항) 건의 사항별 조치 내역(즉시 반영, 중앙부처 건의 등)을 건의자에 회신, 주기적 검토 및 반영 노력 이행</t>
    </r>
  </si>
  <si>
    <t>전자서명신청 방법</t>
  </si>
  <si>
    <t>행정전자서명(GPKI)을 발급받으려면 어떤 절차를 거쳐야 하며, 신청 방법과 필요 서류는 무엇인가요?</t>
  </si>
  <si>
    <t>부산광역시 공무원의 전자서명 신청 방법은 다음과 같습니다.
전자서명 신청서 작성: 전자서명 신청서를 작성해야 합니다. 신청서는 부산광역시 홈페이지에서 다운로드하거나, 부산광역시 전자서명 담당 부서에 문의하여 받을 수 있습니다.
신분증 제출: 전자서명 신청 시 신분증을 제출해야 합니다. 신분증은 주민등록증, 운전면허증, 여권 등이 가능합니다.
전자서명 인증센터 방문: 신분증과 신청서를 지참하여 부산광역시 전자서명 인증센터를 방문합니다.
본인 확인 및 인증: 전자서명 인증센터에서 본인 확인 및 인증을 진행합니다. 본인 확인 방법은 신분증 확인, 지문 인식 등이 있습니다.
전자서명 등록: 본인 확인 및 인증이 완료되면 전자서명을 등록합니다. 등록 후에는 전자서명을 사용할 수 있습니다.
전자서명 신청 절차는 부산광역시 홈페이지에서 자세한 내용을 확인하거나, 전자서명 담당 부서에 문의하여 자세한 안내를 받을 수 있습니다.</t>
  </si>
  <si>
    <t>관련 문서는 정보화정책과에서 제출한
행정전자서명 사용자 매뉴얼Ver1.4 입니다.
재발급과 인사이동 시 인증서 이동에 대한 내용은 없습니다.
해당 내용이 있는 파일은 행정전자서명(GPKI) 발급 갱신 이동 안내 파일인데
해당 파일은 아직 미제출상태입니다.
기대답변 (행정전자서명 발급 갱신 이동 안내 파일 포함)
[행정전자서명 신규, 재발급, 비밀번호 분실 시]
1. 공문 신청(정보화정책과) 
＃기간제 직원 신청시 근무기간 반드시 명시
* 구군은 구군 전산팀,상수도사업본부는경영지원부 정보관리팀, 소방재난본부는 119종합 상황실로 신청
2. 문자메시지 수신 후 gpki.go.kr에 접속하여 인증서 발급
※ 행정망에서만 가능
 - 메뉴: 인증서관리/발급 (구분: 개인용, 행정기관)
 - 기관명: 부산광역시
***14일내 발급 필요, 14일 초과시 재 신청(공문 재발송 필요)***</t>
  </si>
  <si>
    <t>[행정전자서명 신규, 재발급, 비밀번호 분실 시]
 1. 공문 신청(정보화정책과) 
 ＃기간제 직원 신청시 근무기간 반드시 명시
 * 구군은 구군 전산팀,상수도사업본부는경영지원부 정보관리팀, 소방재난본부는 119종합 상황실로 신청
 2. 문자메시지 수신 후 gpki.go.kr에 접속하여 인증서 발급
 ※ 행정망에서만 가능
  - 메뉴: 인증서관리/발급 (구분: 개인용, 행정기관)
  - 기관명: 부산광역시
 ***14일내 발급 필요, 14일 초과시 재 신청(공문 재발송 필요)***</t>
  </si>
  <si>
    <r>
      <rPr>
        <rFont val="&quot;맑은 고딕&quot;"/>
        <color rgb="FF000000"/>
        <sz val="11.0"/>
      </rPr>
      <t>1228_2511_부산광역시_업무매뉴얼_부산광역시_행정전자서명GPKI_발급_갱신_이동_안내.pdf</t>
    </r>
    <r>
      <rPr>
        <rFont val="&quot;맑은 고딕&quot;"/>
        <color rgb="FFFF0000"/>
        <sz val="11.0"/>
      </rPr>
      <t xml:space="preserve">
</t>
    </r>
  </si>
  <si>
    <t>&amp;행정전자서명(개인용) 신청 안내&amp;
 [신규, 재발급, 비밀번호 분실]
 1. 첨부한 한글파일 서식 작성해서 공문에 첨부하여 신청(정보화정책과)해주세요. ＃기간제 직
 원 신청시 근무기간 반드시 명시
 * 구군은 구군 전산팀,상수도사업본부는경영지원부 정보관리팀, 소방재난본부는 119종합
 상황실로 신청
 2. 공문 수신후 발급가능 처리를 하면발급 가능하다는 휴대전화 문자메세지가 갑니다
 ***14일내 발급하지 않으면발급이 되지 않고 재 신청해야 하므로시일을 넘기지 않도록 합니
 다.(공문 재발송 필요)***
 문자메시지 확인후
 gpki.go.kr에 접속하여 이름과 주민번호를 입력하고
 휴대폰으로 인증번호 수신하여 인증서를발급으시면 됩니다.(※ 행정망에서만 가능) - 메뉴: 인증서관리/발급 (구분: 개인용, 행정기관) - 기관명: 부산광역시
 [인증서 갱신]
 ○ 별도 공문 신청 없이 가능한 기간: 인증서 유효기간 100일전부터 만료일시까지 갱신가능
 (유효기간 만료시 공문 신청)
 ○ 인증서 유효기간: 2년 3개월
 ○ 방법: gpki.go.kr 접속 → 인증서관리/갱신 (구분: 개인용, 행정기관)
 &amp; '행정전자서명' 이동방법 &amp;
 요약: 행정전자서명 파일 압축하여 내 온메일 또는온톡으로 보내놓기
 → 사용할 PC에서 온메일 또는 온톡 열어서 저장하기
 ★ 온메일 이용시는 행정포털의 로그인계정과 비밀번호(id/pw) 숙지 ★
 1] (이동전 PC) 행정전자서명 파일을 압축: GPKI폴더 전체 - 행정전자서명 저장위치: C드라이브 /GPKI (폴더전체 압축)
 2] (이동전 PC) 온메일 '내게쓰기' 또는 온톡으로 본인에게 압축파일한 파일 보내기
 3] (이동후 PC) 온메일 또는 온톡열어서 압축파일 PC저장후 압축풀기
 --저장위치:C드라이브 (GPKI폴더 전체가 있어야 됨) * C&amp;GPKI&amp;certificate&amp;class2 폴더내 '본인이름으로 된 파일이 4개' 있는지 확인
 ※ [class2]만 복사하면 안됨, [GPKI]폴더 전체 복사. 행정전자서명 홈페이지는 인증관리센터에서 운영하므로 홈페이지에서 발급 중 각종 기술적오
 류 발생시
 인증관리센터 콜센터 1661-9088로 문의 바랍니다</t>
  </si>
  <si>
    <t>&gt;&gt;&gt; (질문 변경시 검색됨)
'행정 전자서명신청 방법'</t>
  </si>
  <si>
    <t>SQG008</t>
  </si>
  <si>
    <t>관내,외 출장 여비 정산 방법</t>
  </si>
  <si>
    <t>관내·관외 출장 시 여비 정산을 위한 처리 절차를 단계별로 명확히 설명해주세요.</t>
  </si>
  <si>
    <t>부산광역시 공무원의 관내 및 관외 출장 여비 정산 방법은 다음과 같습니다.
관내 출장 여비 정산
관내 출장 시에는 업무용 차량을 사용하여 업무를 수행하며, 수당 성격의 출장 여비는 보조금으로 지급이 제한됩니다.
공용 교통카드를 발급하여 사용하거나, 업무 시 사용한 차량에 소요되는 통행료, 주유비, 주차료 등 실비변상적 성격의 경비는 보조금에서 지출이 가능합니다.
출장지에서 "보조금전용카드 등"을 사용할 수 없는 경우 등 특별한 사유가 있는 경우에는 현금 또는 개인카드 등을 사용하거나 사전에 정액으로 여비를 지급할 수 있습니다.
출장 이행 여부를 확인할 수 있는 증거서류를 제출하는 때 해당 운임을 지급할 수 있습니다.
관외 출장 여비 정산
관외 출장자가 여비 중 운임과 숙박비를 결제할 때에는 "보조금전용카드 등"을 사용해야 합니다.
"보조금전용카드 등"을 사용할 수 없는 경우에는 현금 또는 개인카드 등을 사용한 후 현금영수증, 카드매출전표 등의 증거서류를 갖추어 여비 지급을 신청할 수 있습니다.
시설 종사자가 아닌 자와 업무 상 출장업무를 수행하는 경우에는 종사자에 대한 관외 출장 여비 지급기준에 따라 교통비, 일비, 숙박비를 지급하며, 숙박비는 40,000원을 한도로 지급합니다.
친지 집 등에서 숙박하거나 2인 이상이 공동으로 숙박한 경우, 숙박비를 지출하지 않은 인원수 범위 내에서 1인당 20,000원을 추가로 지급할 수 있습니다.</t>
  </si>
  <si>
    <t>ㆍ47816_최종2025년_사회복지법인시설_업무가이드.pdf (p.220, 222)
https://busanai.busan.go.kr/download/47816_최종2025년_사회복지법인시설_업무가이드.pdf
ㆍ45894_2024년_부산광역시_사회복지법인시설_업무가이드.pdf (p.224)
https://busanai.busan.go.kr/download/45894_2024년_부산광역시_사회복지법인시설_업무가이드.pdf</t>
  </si>
  <si>
    <t>근거자료 오류입니다.
출장 관련 근거자료가 없으므로
일반적인 답변 및 관련 부서나 업무 담당자에게 문의 라는 멘트가 있으면 됩니다.</t>
  </si>
  <si>
    <t>기대답변:
 1. 정산 대상
  - 국내출장자의 운임과 숙박비가 정산 대상
 2. 정산 절차
  가. 정산 신청
  - 출장자는 출장 종료 다음 날부터 정산 기간 내에 세부 사용내역을 확인할 수 있는 증거서류를 갖추어 회계관계공무원에게 정산 신청
  - 대리 신청 가능: 서무담당자 또는 2인 이상 출장 시 대표 1인이 신청 가능
  - 정부구매카드 사용 시: 카드대금 결제일을 고려하여 정산 신청
  나. 신청내역 확인
  - 서무담당자가 출장자의 신청내역을 검토 가능
  다. 여비 지급
  - 회계관계공무원이 여비정산시스템에 지급액 및 조정사유를 등록 후, 예산이 충분하면 디지털 예산회계시스템으로 지체 없이 지급
  라. 약식 정산
  - e-사람에서 카드 사용내역 확인 시 부서장 결재 생략 가능
 3. 정산 방법
  가. 증거서류 제출 생략 가능
  - 정부구매카드로 결제하고 e-사람에서 사용내역 확인 가능하면 증거서류 제출·보관 생략 가능
  - 확인이 불가한 경우에는 증거서류 제출 필요
  나. 증거서류 제출 필요
  - 카드 미사용 시, 운임·숙박비 세부내역 확인 가능한 증거서류 제출
  - 증거서류 예시: 세금계산서, 신용카드 매출전표, 현금영수증, 철도·버스·비행기·선박 승차권, 고속도로 통행영수증
  다. 숙박비 지급 기준
  - 숙박 목적 경비만 지급
  - 호텔 부대 서비스(룸서비스, 객실전화 등) 제외
  - 숙박비 지급 확인 가능 증거서류 필요
  - 카드 매출전표 업종 불명확 시, 회계담당자가 확인 후 지급 가능
  - 편도 영수증만 제출 시, 왕복 운임 명백하면 왕복 지급 가능
  라. 정부구매카드 예시
  - 카드 사용 시 결제일에 맞춰 국고에서 카드사로 지급
  - 업종 미확인 시 전화 확인 후 지급
  - 카드 미사용·증거서류 미제출 시, 일비·식비만 지급
 4. 결제수단 사용 예외
  가. 신용카드 가맹점 없는 지역(산간·도서벽지)
  - 현금 사용 후 간이영수증 + 확인서 제출 → 회계담당 확인 후 지급
  - 간이영수증 불가 시 확인서 제출 가능
  - 운임 영수증 없는 경우, 숙박비·식비 증거서류로 운임 지급 가능
  나. 외부 민간인 출장
  - 소속기관장이 예외적으로 정액여비 지급 가능
  - 등급별 정액여비 기준
  제1호 : (운임)77,000원, (숙박비)25,000원, (일비)25,000원, (식비)25,000원
  제2호 : (운임)55,000원, (숙박비)25,000원, (일비)25,000원, (식비)25,000원
  다. 친지 집 또는 공동 숙박
  - 친지 집 숙박 시 1인 20,000원 지급
  - 공동 숙박 시 총 숙박비 지출 고려하여 미지출 인원에 1인 20,000원 추가 지급
  - 정액여비 지급 시 별도 숙박비 추가 불가
 5. 워크숍·세미나 참석
  가. 주관기관 공문에 숙박비 명시 시 선지급 가능
  나. 금액 미명시 시 사전 확인 후 지급, 후에 정산 가능
 6. 기타 예외
  가. 비밀유지 등 특별사유로 카드 결제 곤란 시, 소속기관장이 정액여비 지급 가능
  나. 정액여비 지급 기준은 외부 민간인과 동일</t>
  </si>
  <si>
    <t>268_2405_인사과_업무매뉴얼_행정안전부_출장관리_매뉴얼.pdf</t>
  </si>
  <si>
    <t>12, 13, 14, 15, 16</t>
  </si>
  <si>
    <r>
      <rPr>
        <rFont val="Arial"/>
        <color rgb="FF00B050"/>
        <sz val="11.0"/>
      </rPr>
      <t xml:space="preserve">&gt;&gt; 질의문 172번과 동일하게 처리바랍니다.(해당 문서에 관내, 관외 출장 처리방법 명시되어 있음)
</t>
    </r>
    <r>
      <rPr>
        <rFont val="Arial"/>
        <color rgb="FF0000FF"/>
        <sz val="11.0"/>
      </rPr>
      <t xml:space="preserve">&gt;&gt; 문서명, 페이지 172번과 동기화 완료
</t>
    </r>
    <r>
      <rPr>
        <rFont val="Arial"/>
        <color rgb="FFFF0000"/>
        <sz val="11.0"/>
      </rPr>
      <t xml:space="preserve">&gt;&gt; [25.12.18] 해당 문서의 해당 페이지에서 유의미한 정보는 전부다 이미지로 되어 있어 FAQ 에서 해당 문서를 안내하도록 별도로 처리하는게 맞을것 같습니다.
</t>
    </r>
    <r>
      <rPr>
        <rFont val="Arial"/>
        <color rgb="FF00B050"/>
        <sz val="11.0"/>
      </rPr>
      <t>&gt;&gt; FAQ 처리</t>
    </r>
  </si>
  <si>
    <t>SQG023</t>
  </si>
  <si>
    <t>홈페이지 관리자 메뉴 변경 방법</t>
  </si>
  <si>
    <t>시청 홈페이지에서 관리자 메뉴를 추가, 수정, 삭제하려면 어떤 절차와 시스템을 이용해야 하는지 단계별로 알려주세요.</t>
  </si>
  <si>
    <t>부산광역시 홈페이지 관리자 메뉴 변경 방법은 다음과 같습니다.
부산광역시 홈페이지에 접속합니다.
관리자 계정으로 로그인합니다.
관리자 메뉴에서 “사이트 관리” 또는 "메뉴 관리"와 같은 메뉴를 찾습니다.
메뉴 관리 메뉴에서 원하는 메뉴를 추가하거나 삭제할 수 있습니다.
메뉴를 추가하려면 “메뉴 추가” 버튼을 클릭하고, 메뉴를 삭제하려면 해당 메뉴를 선택한 후 “삭제” 버튼을 클릭합니다.
메뉴의 순서를 변경하려면 메뉴를 선택한 후 드래그하여 원하는 위치로 이동시킵니다.
이 과정은 부산광역시 홈페이지의 관리자 인터페이스 구조에 따라 다를 수 있으므로, 구체적인 메뉴 이름이나 위치는 해당 홈페이지의 관리자 도움말이나 도움말을 참고하는 것이 좋습니다.</t>
  </si>
  <si>
    <t>근거문서가 없기 때문에 일반적인 답변 및 자세한 사항은 관련 부서나 업무 담당자에게 문의바랍니다. 
라는 답변이 필요합니다.</t>
  </si>
  <si>
    <t>대한공제회비 변경 방법</t>
  </si>
  <si>
    <t>직원 개인별 대한공제회비를 변경하려면 어떤 절차와 신청 방법을 따라야 하는지 알려주세요</t>
  </si>
  <si>
    <t>부산광역시 공무원의 대한공제회비 변경 방법은 다음과 같습니다.
대한공제회 홈페이지 접속: 대한공제회 공식 홈페이지에 접속합니다.
로그인: 개인 회원으로 로그인합니다.
공제회비 관리: “공제회비 관리” 메뉴를 선택합니다.
공제회비 변경 신청: “공제회비 변경 신청” 메뉴를 선택하여 변경하고자 하는 내용을 입력합니다.
신청서 제출: 변경 신청서를 제출합니다.
승인 대기: 대한공제회에서 변경 신청을 검토하고 승인 여부를 결정합니다.
변경 완료: 승인된 경우, 공제회비가 변경됩니다.
이 과정은 대한공제회의 정책이나 시스템에 따라 다소 차이가 있을 수 있으므로, 구체적인 절차는 대한공제회의 고객센터나 담당 부서에 문의하여 확인하는 것이 좋습니다.</t>
  </si>
  <si>
    <t>행정정보공동이용 권한 신청 방법</t>
  </si>
  <si>
    <t>행정정보 공동이용 시스템을 사용하기 위해 필요한 권한은 어떻게 신청하며, 신청 절차와 담당 부서는 어디인가요?</t>
  </si>
  <si>
    <t>부산광역시 행정정보공동이용 권한 신청 방법은 다음과 같습니다.
신청서 작성: 행정정보공동이용 신청(동의)서를 작성합니다. 이 때, 신청서에는 신청자의 성명, 서명(또는 인), 법정대리인(해당하는 경우)의 서명이 필요합니다.
제출 방법: 작성된 신청서를 부산광역시청 담당부서(OO시.도청 OOO실)에 우편, 방문 등의 방법으로 제출합니다.
권한 승인: 부산광역시청 담당부서에서 신청서를 검토한 후, 행정정보공동이용 권한을 승인합니다.
권한 확인: 승인된 권한은 행정정보공동이용 시스템을 통해 확인할 수 있습니다.
관련 문의사항은 부산광역시청 OO시.도청 OOOOOO실로 문의하시면 자세한 안내를 받으실 수 있습니다.</t>
  </si>
  <si>
    <t>ㆍ40604_정보통신보조기기_보급사업_관리지침_전문201912-hwp.pdf (p.17)
https://busanai.busan.go.kr/download/40604_정보통신보조기기_보급사업_관리지침_전문201912-hwp.pdf
ㆍ40602_2021년_정보통신보조기기_신청서_및_첨부서류-hwp.pdf (p.5)
https://busanai.busan.go.kr/download/40602_2021년_정보통신보조기기_신청서_및_첨부서류-hwp.pdf</t>
  </si>
  <si>
    <t>근거자료 오류입니다.
통합민원과에서 제출한 행정안전부 행정정보공동이용에 대한 자료가 있긴 하지만
해당 자료는 총괄적인 자료이고 신청 관련 내용은 각 기관에서 행정정보공동이용 자체를 사용하기 위한
신청 절차에 대한 내용이므로
실제 내부 직원의 권한 신청 방법과는 맞지 않습니다.
따라서 근거 문서가 없기 때문에 일반적인 답변 및 자세한 사항은 ~ 라는 답변이 필요합니다</t>
  </si>
  <si>
    <t>기대답변 : 
 업무처리담당자 : 열람권한 신청 [예시5] → 분임(보조)공동이용관리자 승인 후 사용
  ○ 행정정보 공동이용시스템(next.share.go.kr) 접속하여 열람권한 신청
  ※ 부서장과 분임공동이용관리자가 다를 경우만 내부결재(예시2) 득한 후 진행
  ☞ [접근권한관리] → [열람권한 신청] 화면에서 이용사무를 선택 후, 사무분장 첨부 후 신청
  ▶ 이용사무명을 아는 경우
  - [접근권한관리] &gt; 좌측 메뉴 탭 항목 중 &gt; [열람권한 신청] 메뉴 클릭
  ① 이용사무명에 권한 신청할 이용사무명 입력 ex. (범죄경력유무조회 사무 권한을 받아야하는 경우 [범죄]와 같이 초성부분만 입력)
  ② [조회], 검색된 목록에서 권한 신청할 이용사무명 클릭
  ③ 담당업무 작성 및 업무분장표 업로드
  ④ [신청] 버튼 클릭
  ⑤ 분임(보조)공동이용관리자 승인 후 열람 진행 가능
  ▶ 이용사무명을 모를 경우
  - [접근권한관리] &gt; 좌측 메뉴 탭 항목 중 &gt; [열람권한 신청] 메뉴 클릭
  ① 검색조건 항목 중 [공동이용정보명] 부분 [검색]버튼 클릭
  ② 팝업된 작은 창에서 열람이 필요한 공동이용정보명 입력 후 검색 후 선택
  ex. (출입국에관한사실증명을 죄회해야하는 경우 [출입국] 초성부분만 입력하여 검색)
  ③ 검색된 목록 중 권한 신청할 이용사무명 클릭
  ④ 담당업무 작성 및 업무분장표 업로드
  ⑤ [신청] 버튼 클릭
  ⑥ 분임(보조)공동이용관리자 승인 후 열람 진행 가능
  ※ 보안서약서는 e하나로민원 접속 후 온라인 서약으로 대체</t>
  </si>
  <si>
    <t>1261_행정정보공동이용_권한관리_매뉴얼_250101.pdf</t>
  </si>
  <si>
    <t>3. 업무처리담당자 : 열람권한 신청 [예시5] → 분임(보조)공동이용관리자 승인 후 사용
  ○ 행정정보 공동이용시스템(next.share.go.kr) 접속하여 열람권한 신청
  ※ 부서장과 분임공동이용관리자가 다를 경우만 내부결재(예시2) 득한 후 진행
  ☞ [접근권한관리] → [열람권한 신청] 화면에서 이용사무를 선택 후, 사무분장 첨부 후 신청
  ▶ 이용사무명을 아는 경우
  - [접근권한관리] &gt; 좌측 메뉴 탭 항목 중 &gt; [열람권한 신청] 메뉴 클릭
  ① 이용사무명에 권한 신청할 이용사무명 입력 ex. (범죄경력유무조회 사무 권한을 받아야하는 경우 [범죄]와 같이 초성부분만 입력)
  ② [조회], 검색된 목록에서 권한 신청할 이용사무명 클릭
  ③ 담당업무 작성 및 업무분장표 업로드
  ④ [신청] 버튼 클릭
  ⑤ 분임(보조)공동이용관리자 승인 후 열람 진행 가능
  ▶ 이용사무명을 모를 경우
  - [접근권한관리] &gt; 좌측 메뉴 탭 항목 중 &gt; [열람권한 신청] 메뉴 클릭
  ① 검색조건 항목 중 [공동이용정보명] 부분 [검색]버튼 클릭
  ② 팝업된 작은 창에서 열람이 필요한 공동이용정보명 입력 후 검색 후 선택
  ex. (출입국에관한사실증명을 죄회해야하는 경우 [출입국] 초성부분만 입력하여 검색)
  ③ 검색된 목록 중 권한 신청할 이용사무명 클릭
  ④ 담당업무 작성 및 업무분장표 업로드
  ⑤ [신청] 버튼 클릭
  ⑥ 분임(보조)공동이용관리자 승인 후 열람 진행 가능
  ※ 보안서약서는 e하나로민원 접속 후 온라인 서약으로 대체</t>
  </si>
  <si>
    <t>행정정보공동이용 권한신청 방법 안내, 행정정보 공동이용 권한 신청 방법, 행정 정보 공동 이용 권한 신청 방법</t>
  </si>
  <si>
    <t>SQG021</t>
  </si>
  <si>
    <t>e호조+ 품의 등록 방법</t>
  </si>
  <si>
    <t>e호조 시스템(지방재정시스템) 사용 방법과 품의서를 등록하려면 어떤 절차를 거쳐야 하는지 알려주세요</t>
  </si>
  <si>
    <t>부산광역시 e호조+ 품의 등록 방법은 연계정보 조회, 지출지급명령 결재 및 이체, 교부결정 및 통보, 교부결정 확정입니다.
관련내용은 다음과 같습니다.
연계정보 조회: e호조+의 “공공민간(지방보조금) 품의등록” 메뉴(21220)에서 연계정보를 조회합니다.
지출지급명령 결재 및 이체: 연계정보를 통해 지출지급명령을 결재하고, 금고은행으로 이체를 완료합니다.
교부결정 및 통보: e호조+에서 “공공민간(지방보조금) 품의등록” 메뉴에서 연계정보를 조회하여 품의를 등록합니다.
교부결정 확정: 보조사업자가 보탬e에서 “민간교부결정결과조회” 메뉴(92040)를 통해 교부결정을 확정합니다.
이 과정을 통해 부산광역시 e호조+에서 지방보조금 관련 품의를 등록하고 처리할 수 있습니다.</t>
  </si>
  <si>
    <t>ㆍ328_2503_재정협력담당관_업뮤매뉴얼_행정안전부_2025년_지방보조금_관리가이드.pdf (p.26)
https://busanai.busan.go.kr/download/328_2503_재정협력담당관_업뮤매뉴얼_행정안전부_2025년_지방보조금_관리가이드.pdf</t>
  </si>
  <si>
    <t>근거자료 오류, 답변 내용 오류입니다.
이 질의는 다른 부서 질의에서 답변한 내용입니다. 
일반지출 e호조 절차가 어떻게 되나요 라고 질문을 했는데(원자력과)
그 질의에서는 관련 근거는 맞고 답변에서 수정이 필요했습니다.
회계재산담당관 일반지출 절차 및 삭제 라는 문서의 8P에서 일반지출 상세 흐름도가 있습니다.
- 답변예시 -
0. 핵심 요약
사전품의 등록 → 전자결재 → 품의등록 → 팀장 승인 → 원인행위 확정 → 자금배정 → 지출결의 → 분개승인 → 지급명령 → e-Banking 지급
(모든 단계는 예산, 채주정보, 회계처리 일치 여부 확인이 필수)
1. 사전품의 등록
예산이 없어도 가능하며, 타 부서 사업(재배정예산 포함) 선택 가능.
세부사업, 과목, 금액 등 기본 정보 입력 후 전자결재시스템으로 결재요청.
2. 전자결재 (온나라 등)
기안문 작성 후 결재 완료.
반드시 지출품의결재요청 화면에서 연계한 자료로 결재 진행해야 함.
3. 결재 완료 후 품의 등록
결재액·배정액 한도 내에서 품의 등록 가능 (분할 등록 가능).
별도 승인 절차 없이 회계부서로 원인행위요청 자동 연계됨.
4. 전자결재 생략 대상
연계 없이 바로 지출품의 등록 가능.
등록 후 팀장 승인 절차 진행.
5. 팀장 승인
담당자가 등록한 지출품의를 팀장이 확인 후 승인.
사업, 통계목, 채주 정보 등 실제 결재 내역과 일치 여부 확인.
6. 원인행위 등록
회계담당자가 품의 내역을 검토 후 지출원인행위 등록 및 재무관 결재요청.
세부사업, 통계목, 적요, 채주정보 등 검증.
7. 원인행위 확정
재무관 결재로 지출 확정(원인행위 확정).
8. 자금배정요구 등록
업무담당자가 금회 지급액을 입력해 배정요구 등록 후 팀장 승인요청.
9. 자금배정 승인 단계
팀장 승인 →자금담당부서 등록 및 관리관 승인요청 → 관리관 승인 시 세출과목별 자금배정액 생성.
10. 지출결의 요청 등록
채주, 금액, 분개 정보 입력.
자금배정 방식에 따라 순서 다름:
수시배정: 자금배정 후 진행
지출결의요구배정: 결의요청 후 자금배정 승인
채주정보 변경 시 거래처정정승인 필요.
자산 분개 시 자산등록 필수.
11. 분개 승인
복식부기 담당자가 분개 적정성 검토 (자산여부, 내용연수 등 확인).
12. 지급명령 등록 및 결재
지급명령 등록 → 결재요청 → 재무관 결재.
세부사업, 통계목, 거래처 등 실제 서류와 일치 확인.
결재 후 e-Banking 시스템으로 전송 (수정 불가).
13. e-Banking 지급
금고은행 전자이체 시스템이 지급명령 자료를 받아 채주에게 대금 지급.
관서의 경우 지출원 통장 입금 후 채주 지급(통합지출관제).</t>
  </si>
  <si>
    <r>
      <rPr>
        <rFont val="Malgun Gothic"/>
        <color theme="1"/>
        <sz val="11.0"/>
      </rPr>
      <t xml:space="preserve">표 내용 제외 오른쪽 내용만 참고해서 
내용 작성해주시면 됩니다.
-----
</t>
    </r>
    <r>
      <rPr>
        <rFont val="Arial"/>
        <color rgb="FF0432FF"/>
        <sz val="11.0"/>
      </rPr>
      <t>[답변 참조 문서명이 기입되어 있지 않았음. 이 문서가 맞는지 확인 필요 + 표 내용 우측 텍스트 인식으로 답변 요청을 하신 것인지도 확인 필요]</t>
    </r>
    <r>
      <rPr>
        <rFont val="Arial"/>
        <color theme="1"/>
        <sz val="11.0"/>
      </rPr>
      <t xml:space="preserve"> 
</t>
    </r>
    <r>
      <rPr>
        <rFont val="Arial"/>
        <color rgb="FF0432FF"/>
        <sz val="11.0"/>
      </rPr>
      <t>[왼쪽 그림의 절차가 있어야 우측 텍스트 내용이 의미가 있는 것으로 보임. 표 내용만 봤을 때에는 각 내용들이 절차를 나타내는 것인지 확인이 어려움 - 115번 동일]</t>
    </r>
    <r>
      <rPr>
        <rFont val="Arial"/>
        <color theme="1"/>
        <sz val="11.0"/>
      </rPr>
      <t xml:space="preserve">
</t>
    </r>
    <r>
      <rPr>
        <rFont val="Arial"/>
        <color rgb="FF00B050"/>
        <sz val="11.0"/>
      </rPr>
      <t>&gt;&gt; 115번과 동일, 제목에 일반지출 상세흐름도라고 명시되어 있는데도 불구하고 절차에 대한 확인이 어려운지 확인이 필요합니다. RAG 유사도 문제도 같이 확인 필요</t>
    </r>
  </si>
  <si>
    <r>
      <rPr>
        <rFont val="맑은 고딕"/>
        <b/>
        <color theme="1"/>
        <sz val="11.0"/>
      </rPr>
      <t>477_2505_회계재산담당관_업무매뉴얼_메타넷디지털_일반지출_절차_및_삭제_회계재산담당관_경리팀.pdf[8, 9]</t>
    </r>
    <r>
      <rPr>
        <rFont val="맑은 고딕"/>
        <color theme="1"/>
        <sz val="11.0"/>
      </rPr>
      <t xml:space="preserve">
-----
</t>
    </r>
    <r>
      <rPr>
        <rFont val="맑은 고딕"/>
        <color rgb="FFFF0000"/>
        <sz val="11.0"/>
      </rPr>
      <t xml:space="preserve">[표 왼쪽에 있는 내용이 이미지라 인식이 되지 않음. 정보를 참조할 수 없음]
</t>
    </r>
    <r>
      <rPr>
        <rFont val="맑은 고딕"/>
        <color theme="1"/>
        <sz val="11.0"/>
      </rPr>
      <t xml:space="preserve">
일반지출 상세 흐름도
사전품의를 등록해 전자결재시스템에 결재요청. 예산이 없어도 등록가능하며 재배정예산의 경우 타부서의 사업도 선택가능. 세부사업, 과목, 금액 등 간단한 정보만 입력해 전자결재시스템으로 결재요청. 자치단체에서 사용하는 전자결재 시스템(온나라 등)에서 기안문을 작성해 결재까지 완료하는 작업. 반드시 지출품의결재요청 화면에서 연계한 자료를 가지고 결재를 진행해야
하며 자세한 작업 방법은 해당 시스템의 매뉴얼을 참고. 전자결재 시스템에서 결재가 완료된 후 결재 내역을 바탕
으로 품의를 등록하는 화면. 결재액과 배정액 한도 내에서
품의를 등록. (분할등록 가능) 입력한 자료는 별도의 승인
없이 회계부서로 원인행위요청 됨. 전자결재 생략 가능 대상의 경우 연계를 하지 않고 바로
지출품의를 등록하는 화면. 입력한 품의는 담당 팀장에게
승인요청 됨. 기존 지출품의등록과 동일. 담당자가 등록한 지출품의를 해당 팀장이 확인해 승인처리
하는 화면. 세부사업, 통계목, 채주 정보 등이 실제 결재한
내역과 일치하는지 확인. 원인행위 업무 담당자가 사업부서에서 올라온 품의 내역을
확인해 지출원인행위로 등록하고 재무관에게 결재요청 처리하는 화면. 세부사업, 통계목, 적요, 채주정보 등이 서류와 일치하고 정당한지 확인. 원인담당자가 등록한 지출원인행위 정보를 확인하고 결재
처리해 원인행위 확정을 하는 화면. 원인행위 확정은 지출을 확정하는 행위를 의미함. 지출품의를 등록한 업무담당자가 지출결의를 위한 자금 배정요구 정보를 등록하는 화면. 금회 지급할 금액을 배정
요구해 담당 팀장에게 승인요청 함. 자치단체에서 지출결의요구배정을 하는 경우 생략. 등록된 자금수시배정요구 자료를 각 사업부서 자금요구승인자가 승인처리 하는 화면. 입력된 자금배정액이 금회 지출액과 일치하는지 확인 후 승인처리. 각 부서에서 승인까지 완료된 자금수시배정 내역을 확인해
배정등록하고 자금관리관에서 승인요청 하는 화면. 지출될
자료에 해당하는 회계의 자금담당부서에서 작업. 자금배정 담당자가 입력한 자금배정요청 내역들을 승인처리 하는 화면. 자금관리관의 승인이 완료되면 각 세출과목에 자금배정액이 생성됨. </t>
    </r>
  </si>
  <si>
    <t>연가, 특별휴가 등 연가 수정, 취소 방법</t>
  </si>
  <si>
    <t>연가·특별휴가 등 각종 휴가의 신청 이후 변경·취소가 필요한 경우, 내부 인사시스템(인사랑)에서 수행해야 하는 절차에 대해 단계별로 설명해주세요.</t>
  </si>
  <si>
    <t>부산광역시 공무원의 연가, 특별휴가 등 휴가 수정 및 취소 방법은 다음과 같습니다.
연가 수정 및 취소
연가 신청: 연가는 연 1회 이상 신청해야 하며, 연가 일수는 근무 연수에 따라 다릅니다. 연가 일수는 근무 연수에 따라 1년 미만 10일, 1년 이상 15일, 2년 이상 20일, 3년 이상 25일, 4년 이상 30일, 5년 이상 35일입니다.
연가 신청 방법: 연가 신청은 부산광역시 공무원 인사관리 시스템에서 신청할 수 있습니다. 시스템에 로그인 후, 연가 신청 메뉴에서 신청서를 작성하고 제출합니다.
연가 취소: 연가 취소는 연가 신청 후 취소 사유가 발생한 경우, 해당 연가 일수를 취소하고자 하는 날의 3일 전까지 취소 신청서를 제출해야 합니다.
특별휴가 수정 및 취소
특별휴가 신청: 특별휴가는 공무원의 경조사, 출산, 결혼, 사망 등의 사유로 부여되며, 각 사유에 따라 일수가 정해져 있습니다.
특별휴가 신청 방법: 특별휴가 신청은 부산광역시 공무원 인사관리 시스템에서 신청할 수 있습니다. 시스템에 로그인 후, 특별휴가 신청 메뉴에서 신청서를 작성하고 제출합니다.
특별휴가 취소: 특별휴가 취소는 특별휴가 부여일 전일까지 취소 신청서를 제출해야 합니다.
기타 사항
휴가 신청 절차: 휴가 신청은 반드시 사전에 신청해야 하며, 휴가 기간 중에는 업무에 지장이 없도록 필요한 조치를 취해야 합니다.
휴가 승인 및 반려: 휴가 신청이 승인되거나 반려되는 경우, 부산광역시 공무원 인사관리 시스템에서 확인할 수 있습니다.
휴가 기록 관리: 모든 휴가 기록은 인사관리 시스템에 기록되며, 휴가 종료 후에도 기록이 유지됩니다.
위의 절차를 참고하여 부산광역시 공무원의 연가, 특별휴가 등 휴가를 수정 및 취소할 수 있습니다</t>
  </si>
  <si>
    <t>급여 작업시 장기교육자 등에 대한 복리후생비, 수당 등 지급 계산식이 어떻게 되나요?</t>
  </si>
  <si>
    <t>급여 작업 시 장기교육자 등에게 지급되는 복리후생비와 수당의 산정 기준과 계산 방법, 적용 절차는 어떻게 되나요?</t>
  </si>
  <si>
    <t>부산광역시 공무원의 급여 작업 시 장기교육자 등에 대한 복리후생비, 수당 등 지급 계산식은 다음과 같습니다.
장기교육자 등에 대한 복리후생비, 수당 등 지급 계산식
복리후생비: 교육 기간, 교육 종류, 교육 기관 등에 따라 지급되는 금액이 다를 수 있습니다. 일반적으로 교육 기간 동안의 생활비, 식비, 교통비 등을 고려하여 지급됩니다.
수당: 교육 기간 동안의 수당은 교육 종류, 교육 기간, 직급 등에 따라 지급되는 금액이 다를 수 있습니다. 예를 들어, 직무 관련 교육인 경우 직무 수행에 필요한 수당이 추가될 수 있습니다.
계산 방법: 각 항목별로 지급 기준과 금액이 정해져 있으며, 이를 바탕으로 교육 기간 동안의 총 지급액을 계산합니다. 예를 들어, 복리후생비는 교육 기간 동안의 생활비를 기준으로 월별 지급액을 산정하고, 수당은 교육 종류와 기간에 따라 월별 또는 분기별로 지급됩니다.
지급 기준: 부산광역시 공무원의 급여 지급 기준에 따라 복리후생비와 수당이 결정됩니다. 이는 부산광역시 공무원 보수규정 및 관련 법령에 따라 정해집니다.
예외 사항: 교육 기간 동안의 복리후생비나 수당은 교육 종류, 교육 기간, 직급 등에 따라 다를 수 있으며, 특별한 경우 예외적으로 지급되는 경우도 있습니다.</t>
  </si>
  <si>
    <t xml:space="preserve">관련 질의 근거 자료는 예산담당관에서 제출한 (2025) 급여 및 수당 관련 FAQ 파일 11P에
관련 내용이 있습니다
Q2.
글로벌인재양성과정(10개월), 5급 승진리더자교육(5주) 등 30일 이상의 교육파견의
경우 수당 지급 방법?
A2.
정액급식비, 직급보조비는 매월 전액 지급
대민활동비(특정업무경비)는 근무일수에 맞게 일할계산하여 지급(원단위 절사)
생성된 답변은 정확한 내용이 없이 두루뭉실한 내용으로만 양을 늘린 답변같아 보입니다.
관련 근거가 있을때는 답변의 양보다는 정확도가 훨씬 중요합니다.
</t>
  </si>
  <si>
    <t>기대답변 :
 정액급식비, 직급보조비는 매월 전액 지급합니다.
 대민활동비(특정업무경비)는 근무일수에 맞게 일할계산하여 지급(원단위 절사) 합니다.</t>
  </si>
  <si>
    <t>215_2501_예산담당관_업무매뉴얼_예산담당관_2025급여_및_수당_관련_FAQ.pdf</t>
  </si>
  <si>
    <t>급여 작업 시 장기 교육자에 대한 복리후생비와 수당 등의 지급 계산식에 대한 설명</t>
  </si>
  <si>
    <t>복무관련 인사랑에서 가족수당 신청은 어떻게 하나요?</t>
  </si>
  <si>
    <t>복무 관련 인사시스템(인사랑)을 통해 가족수당을 신규 신청, 변경, 또는 정산 신청할 때, 필요한 서류, 입력 항목, 승인 절차, 처리 단계, 그리고 신청 시 유의사항을 단계별로 상세히 설명해주세요.</t>
  </si>
  <si>
    <r>
      <rPr>
        <rFont val="Malgun Gothic"/>
        <color theme="1"/>
        <sz val="11.0"/>
      </rPr>
      <t>부산광역시 공무원 인사랑 시스템에서 가족수당 신청은 다음과 같은 절차를 따릅니다.
가족수당 수령 대상자 결정: 가족수당을 받을 공무원은 별지 제1호 서식의 부양가족신고서를 작성하여 가족수당 수령 대상자를 결정합니다. 이때, 상대방의 동의서를 첨부하여 신청해야 합니다.
부양가족신고서 제출: 가족수당 수령 대상자 결정 후, 부양가족신고서와 동의서를 자신의 소속기관장에게 제출합니다.
소속기관장의 통보: 소속기관장은 가족수당 수령 대상자 변경을 신청한 날이 속하는 달의 다음 달부터 신청자에게 가족수당을 지급하고, 동 사실을 상대방의 소속기관장에게 문서로 통보합니다.
가족수당 수령: 새로이 가족수당을 지급 받게 된 공무원은 해당월부터 가족수당을 수령할 수 있습니다.
이 절차는 부부 공무원의 경우뿐만 아니라, 형제</t>
    </r>
    <r>
      <rPr>
        <rFont val="Yu Gothic"/>
        <color theme="1"/>
        <sz val="11.0"/>
      </rPr>
      <t>・</t>
    </r>
    <r>
      <rPr>
        <rFont val="맑은 고딕"/>
        <color theme="1"/>
        <sz val="11.0"/>
      </rPr>
      <t>자매가 공무원인 경우에도 동일하게 적용됩니다. 다만, 형제</t>
    </r>
    <r>
      <rPr>
        <rFont val="Yu Gothic"/>
        <color theme="1"/>
        <sz val="11.0"/>
      </rPr>
      <t>・</t>
    </r>
    <r>
      <rPr>
        <rFont val="맑은 고딕"/>
        <color theme="1"/>
        <sz val="11.0"/>
      </rPr>
      <t>자매 등 당사자들이 합의한 경우에는 직계존속에 대한 가족수당 지급 대상을 변경할 수 있으며, 이 경우에도 부양가족신고서에 상대방의 동의서를 첨부하여 제출해야 합니다.</t>
    </r>
  </si>
  <si>
    <t>ㆍ214_2501_예산담당관_업무매뉴얼_행정안전부_지방공무원보수업무_등_처리지침.pdf (p.299, 300)
https://busanai.busan.go.kr/download/214_2501_예산담당관_업무매뉴얼_행정안전부_지방공무원보수업무_등_처리지침.pdf</t>
  </si>
  <si>
    <t>해당 질문에 관한 문서는 없습니다.
관련 근거가 잘못되었다고 하기엔 좀 애매하긴 한데
관련 근거 문서는 일반적인 가족 수당 대상, 요건, 범위, 금액 등에 대한 개괄적인 내용이고
질의문은 인사랑이라는 시스템에서 실제로 가족수당 신청하는 방법에 대해 문의(시스템 사용 방법 등)로 보입니다.
따라서 관련 근거 문서가 없다고 알려주고 자세한 사항은 담당부서나 담당자에게 문의하라는 식의 답변이 
더 알맞을것으로 보입니다.</t>
  </si>
  <si>
    <t>일상경비 지출하고 은행에 돈이 입금됐는지 이호조로 확인할 수 있는 방법은?</t>
  </si>
  <si>
    <t>일상경비를 지출한 후 해당 금액이 은행 계좌에 실제로 입금되었는지를 지방재정시스템(이호조)에서 확인하려 할 때, 조회 가능한 화면·메뉴, 확인 절차, 필요한 권한, 조회 시 주의 사항을 단계별로 상세히 설명해주세요.</t>
  </si>
  <si>
    <t>부산광역시 공무원으로서 일상경비 지출 후 해당 금액이 은행 계좌에 입금되었는지 이호조로 확인할 수 있는 방법은 다음과 같습니다.
이호조 시스템 접속: 부산광역시에서 제공하는 재정관리 시스템인 이호조에 접속합니다.
지출 내역 조회: “지출 내역” 메뉴를 선택하여 지출한 일상경비의 상세 내역을 조회합니다. 여기서 지출한 날짜, 금액, 지출 과목 등의 정보를 확인할 수 있습니다.
은행 연계 확인: 이호조 시스템은 일부 은행과 연계되어 있어, 지출한 금액이 은행 계좌에 입금되었는지 자동으로 확인할 수 있는 기능을 제공할 수 있습니다. 만약 연계된 은행이 있다면, 해당 은행의 입금 내역을 이호조에서 직접 확인할 수 있습니다.
수동 확인: 만약 은행 연계 기능이 없다면, 직접 은행 계좌를 확인하거나 은행에 문의하여 입금 여부를 확인해야 합니다.
이러한 절차를 통해 일상경비 지출 후 금액이 은행 계좌에 입금되었는지 확인할 수 있습니다.</t>
  </si>
  <si>
    <t>e호조(이호조, 지방재정시스템) 사용 매뉴얼에 대한 자료는 없습니다.
이 자료 또한 담당부서 또는 담당자에게 문의하라는 내용 위주로 나와야 할 것 같습니다</t>
  </si>
  <si>
    <t>일상경비 자금전도하는 법 알려주세요</t>
  </si>
  <si>
    <t>일상경비를 다른 계정이나 부서로 자금 전도(이체)할 경우, 지방재정시스템(e호조, 이호조)의 처리 단계를 단계별로 상세히 설명해주세요.</t>
  </si>
  <si>
    <t>부산광역시 공무원으로서 일상경비 자금을 전도하는 방법은 계좌번호 확인 및 반납처리 절차 준수, 업무추진비 집행 및 공공요금 납부, 매입필증 징구 등의 절차를 따릅니다.
관련내용은 다음과 같습니다.
계좌번호 확인 및 반납처리 절차 준수: 일상경비 교부 요청 시, 일상경비지출원 계좌(가상계좌)로 자금을 교부받아야 합니다. 이 과정에서 계좌번호를 정확히 확인하고, 반납 처리 절차도 규정에 따라 철저히 진행해야 합니다.
업무추진비 집행 및 공공요금 납부: 업무추진비는 시책추진업무추진비로 집행해야 하며, 건당 50만 원 이상의 경우 주된 상대방의 소속, 주소 및 성명을 증빙서류에 반드시 기재해야 합니다. 공공요금은 납기 내에 납부하고, 지연 납부하지 않도록 주의해야 합니다.
매입필증 징구: 관련 규정을 준수하여 집행될 수 있도록 관리 및 감독을 철저히 해야 합니다.
이러한 절차를 통해 일상경비 자금을 전도하고 관리함으로써, 회계 규정을 준수하고 효율적인 자금 운용을 도모할 수 있습니다.</t>
  </si>
  <si>
    <t>잘못된 근거자료입니다.
해당 관련 자료는 없으므로 바로 위의 답변과 동일하게 표출되어야 할 것입니다.</t>
  </si>
  <si>
    <t>행정포털 비밀번호 초기화하고 싶어요</t>
  </si>
  <si>
    <t>행정포털 비밀번호를 초기화하려면 어떤 절차를 거쳐야 하는지 알려주세요</t>
  </si>
  <si>
    <t>부산광역시 행정포털 비밀번호를 초기화하는 방법은 다음과 같습니다.
소속 기관 관리자에게 문의: 만약 "소속 기관 관리자에게 문의바랍니다."라는 안내가 나올 경우, 이는 PC의 운영체제(윈도우 10) 버전의 문제로, 윈도우 10 버전 업그레이드가 필요합니다.
윈도우 버전 업그레이드: 윈도우 10 버전을 업그레이드하여 문제를 해결합니다.
온나라 2.0 바로가기 접속: 온나라 2.0 바로가기를 통해 접속합니다. 이때, ID와 초기 비밀번호(a123456!!)를 입력해야 합니다.
기관 선택 및 ID, 비밀번호 입력: 기관 선택 후, ID는 "행정포털 ID"를 입력하고, 비밀번호는 "온나라 2.0 초기 비밀번호"인 "a123456!!"을 입력합니다.</t>
  </si>
  <si>
    <t>ㆍ360_2412_정보화정책과_업무매뉴얼_정보화정책과_온나라_20_접속방법_및_윈도우10_업그레이드매뉴얼.pdf (p.2)
https://busanai.busan.go.kr/download/360_2412_정보화정책과_업무매뉴얼_정보화정책과_온나라_20_접속방법_및_윈도우10_업그레이드매뉴얼.pdf</t>
  </si>
  <si>
    <t>첨부파일은 온나라 문서 시스템의 윈도우10 업그레이드 관련 매뉴얼로 오류입니다.
행정포털 관련 오류조치 방법이나 비밀번호 초기화 등의 매뉴얼은 외부 URL 중 정보화정책과 행정포털 및 온나라 관련 자료로 제공을 했습니다.
해당 자료가 DB화 된다면 그 자료를 참고해서 답변 내용을 생성하면 됩니다.</t>
  </si>
  <si>
    <r>
      <rPr>
        <rFont val="맑은 고딕"/>
        <b/>
        <color theme="1"/>
        <sz val="11.0"/>
      </rPr>
      <t>1255_행정포털_오류조치_안내_정보화정책과_20251112.pdf[1~2]</t>
    </r>
    <r>
      <rPr>
        <rFont val="맑은 고딕"/>
        <color theme="1"/>
        <sz val="11.0"/>
      </rPr>
      <t xml:space="preserve">
-----
</t>
    </r>
    <r>
      <rPr>
        <rFont val="맑은 고딕"/>
        <color rgb="FFFF0000"/>
        <sz val="11.0"/>
      </rPr>
      <t>[행정포털 오류조치 안내 페이지에서도 비밀번호 초기화 관련 사항이 없음. 매칭될 수 있도록 조치 필요]</t>
    </r>
    <r>
      <rPr>
        <rFont val="맑은 고딕"/>
        <color theme="1"/>
        <sz val="11.0"/>
      </rPr>
      <t xml:space="preserve">
-----
행정포털 오류조치 안내(최신일 : 2024.08.16.)
행정포털 주소 : http://99.1.1.29/resources/xf/portal/table.html#question4-8
본 자료는 내부망에서 확인 요청.(매번 자료가 달라질 수 있습니다.)
[행정포털] 장애조치
Q1. 엣지 IE모드 설정 방법(재택근무 등 수동 업데이트)
키워드 : #엣지 IE모드 설정#IE모드#설정#재택근무#수동 업데이트
·소방재난본부 → 행정포털 엣지에서 로그인 후 온나라2.0 접속 필수 환경
·온나라2.0에서 온메일/지식 로그인정보 연계되지 않을 때 환경설정 조치
·설정방법_다운로드 링크 : http://99.1.1.29/resources/xf/portal/Portal_Edge_IEMode_manual.hwp
·설정파일_다운로드 링크 : http://99.1.1.29//resources/xf/portal/IEModePolicy.zip
·설정 후,설정이 제대로 안 될 경우 실행 reg파일(다운로드 링크 :
http://99.1.1.29//resources/xf/portal/regplus.reg
·최종, 오류시 조치방법 ·오류시 원상복귀 방법(완전 초기화)_다운로드 링크 :
http://99.1.1.29/resources/xf/portal/portal_reset_manual.hwp
Q2. 엣지에서 행정포털을 홈화면으로 설정하기
키워드 : #엣지에서 행정포털을 홈화면으로 설정하기#엣지#edge#행정포털#홈화면#설정
·행정포털 홈화면 설정방법_http://99.1.1.29/resources/xf/portal/Edge_home_setting.hwp
Q3. 새 PC설치 시, 에러 발생 시
키워드 : #행정포털#세션이만료되었습니다.#세션이 유효하지 않습니다. #행정업무접속 시 메뉴가 나타나지
않음#~로그인 중~ 화면 멈추는 경우 #"사용하려는기능이 현재 연결되어 있지 않은 네트워크리소스에 있음."라는
팝업창이 계속뜨는 경우 #신규 사용자신청 등 화면에서 생년월일 달력이 활성화 되지 않을 때
※ [윈도우 검색](시작버튼 옆 돋보기):[제어판] &gt; [인터넷 옵션]
1) 인터넷 옵션 변경 설정 설정변경(다운로드 링크 : http://99.1.1.29/resources/xf/portal/IESetter.exe)
 [인터넷 옵션] &gt; [고급] &gt; [원래대로], [고급설정복원]
 [인터넷 옵션] &gt; [일반탭] &gt; [삭제]
 검색기록 삭제
 (다운로드 링크 : http://99.1.1.29/resources/xf/portal/search_history.hwp)
 □즐겨찾기웹 사이트 데이터 보존
 ■임시 인터넷 파일 및 웹 사이트 파일
 ■쿠키 및 웹사이트 데이터 보존
 □기록
 ■다운로드 기록
 ■양식 데이터
 ■암호
 ■추적 방지, ActiveX 필터링 및 추적 안 함 데이터
 [삭제] &gt; [적용] &gt; [확인] &gt; [컴퓨터 재부팅]
2) 설정 변경 PG 실행하기 설정변경PG(다운로드 링크 : http://99.1.1.29/resources/xf/portal/IESetter.exe)
3) 호환성보기 및 신뢰활 수 있는 사이트 설정(다운로드 링크 : http://99.1.1.29/resources/xf/portal/compatibility.hwp)
 설치PG(다운로드 링크 : http://99.1.1.29/resources/xf/portal/compatibility REG.bat)
4) 행정포털 로그인보안모듈(MagicPass)
 재설치방법(다운로드 링크 : http://99.1.1.29/ resources/xf/portal/portal_login_reinstall.hwp)
 설치PG(다운로드 링크 : http://99.1.2.11/sso/setup/setupOffLine.exe)
5) 행정포털 작성기 모듈 설치PG(다운로드 링크 : http://99.1.2.11/EP/web/common/cabfiles/EditorNAttach.exe)
6) 아크로뱃리더 설치 오류시 설치PG(버전9)
 (다운로드 링크 : http://99.1.1.29//resources/xf/portal/AdbeRdr90_ko_KR.exe)
7) 한글 업데이트
 [시작] &gt; [한글과컴퓨터] &gt; [한컴자동업데이트]에서 최신업데이트(시간 많이 소요)
 업데이트 완료 후 컴퓨터 재부팅
 패치 다운로드: https://www.hancom.com/cs_center/csDownload.do)
 완료후 컴퓨터 재부팅
 공문서 필터: [온나라] 장애조치 Q8. 문서 발송 시 공문서 필터 오류
8) 브라우저 캐시 삭제 방법(엣지)
 [Ctrl] + [Shift] + [Delete] 누름
 시간범위 설정 "모든 시간" 선택
 ■[검색기록]
 ■[다운로드 기록]
 ■[쿠키 및 기타 사이트 데이터]
 ■[캐시된 이미지 및 파일]
 [지금 지우기] 클릭
 Internet Explorer 모드에 대한 검색 데이터 지우기
 □[즐겨찾기 웹사이트 데이터 보존]
 ■[임시 인터넷 파일 및 웹 사이트 파일]
 ■[쿠키 및 웹사이트 데이터]
 ■[기록 항목]
 [삭제] 버튼 클릭
Q4. 행정포털 사용시 닫힘 현상 발생
키워드 : #인터넷#옵션#설정변경#닫힘#익스플로러
1) [Q3. 새 PC설치 시, 에러 발생 시] 참조
 1~3,8 까지 조치 후 정상 여부 확인, 비정상 일 경우 7번 조치
Q5. 행정포털 로그인시 무반응 또는 하얀 화면 / Fail to create init SessionKey!! 메시지
키워드 : #행정포털#로그인#무반응#하얀#화면#fail ·로그인 보안모듈(MagicPass) 삭제 재설치
·재설치방법(다운로드 링크 : http://99.1.2.11/resources/xf/portal/portal_login_reinstall.hwp) ·설치PG(다운로드 링크 : http://99.1.2.11/sso/setup/setupOffLine.exe)
Q6. 행정포털 로그인 아이디 자동저장 해제
키워드 : #인터넷#설정#변경#행정포털#아이디#자동#해제
·인터넷 옵션 설정 변경
·종료할 때 검색 기록 삭제
Q7. 스마트행정게시판 목록이 보이지 않을 경우
키워드 : #스마트행정#게시판#목록#보이지 않음
·인터넷옵션 변경(시청) 설정변경PG(다운로드 링크 : http://99.1.1.29/resources/xf/portal/IE9Setter.exe) ·인터넷옵션 변경(구군) 설정변경PG(다운로드 링크 : http://99.1.1.29/resources/xf/portal/SBIE9Set.exe)
Q8. 행정포털 초기화면에 참여할 설문이 보이지 않을 경우
키워드 : #스마트행정#게시판#목록#보이지 않음
·[제어판]
1. [인터넷 옵션] &gt; [보안] &gt; [신뢰할수 있는 사이트] &gt; [사이트]
2. *.onnara.go.kr[추가]
3. *.on-nara.go.kr[추가]
Q9. 등록되지 않은 인증서입니다. 키워드 : #등록되지#인증서
·아이디로 로그인 하여 개인정보에서 행정전자서명키값(CN) 등록
·[등록절차]
 1. [개인정보] &gt; [개인정보수정] &gt; [수정]
 2. [행정전자서면키값(CN) 입력] &gt; [저장]
 예)050홍길동001
 ※ 행정전자서명키값: 행정포털 로그인 &gt; 행정전자서명 창에서 확인</t>
    </r>
  </si>
  <si>
    <t>온톡 메신저에 부서원 순서를 바꾸고 싶어요</t>
  </si>
  <si>
    <t>온톡 메신저에서 부서원 목록의 순서를 변경하려면 어떤 절차와 권한이 필요하며, 구체적인 조작 방법은 무엇인가요?</t>
  </si>
  <si>
    <t>부산광역시 행정포털 온톡 메신저에서 부서원 순서를 변경하려면, 부서관리자 권한 신청 후 등록을 진행해야 합니다.
관련 내용은 다음과 같습니다.
부서관리자 권한 신청: 행정포털
포털 안내 메뉴로 이동합니다.
메신저 부서 권한 신청 메뉴를 선택합니다.
등록 버튼을 클릭하여 부서관리자 권한을 신청합니다.
이 과정을 통해 부서관리자 권한을 획득한 후, 온톡 메신저에서 부서원 순서를 변경할 수 있습니다.</t>
  </si>
  <si>
    <t>ㆍ371_2503_정보화정책과_업무매뉴얼_정보화정책과_온톡_온메일_온나라_지식_사용자_매뉴얼_v21.pdf (p.2)
https://busanai.busan.go.kr/download/371_2503_정보화정책과_업무매뉴얼_정보화정책과_온톡_온메일_온나라_지식_사용자_매뉴얼_v21.pdf</t>
  </si>
  <si>
    <r>
      <rPr>
        <rFont val="Malgun Gothic"/>
        <color theme="1"/>
        <sz val="11.0"/>
      </rPr>
      <t xml:space="preserve">근거문서가 맞는데
생성된 답변은 부서원 순서를 바꾸기 위해 부서관리자 권한이 필요하다고 하고 그 권한을 신청하는 방법까지만
나와 있습니다.
실제 질의인 순서 변경에 관한 답변이 없습니다.
기대답변
① 부서관리자 권한신청: 행정포털 &gt; 포털안내 &gt; 메신저부서권한 신청 &gt; 등록
② 권한 받은 후 온톡 &gt; 포탈 &gt; 더보기▼ &gt; 통합관리
③ 사용자 &gt; 상세 &gt; 수정 &gt; “순서” 숫자 지정  </t>
    </r>
    <r>
      <rPr>
        <rFont val="Tahoma"/>
        <color theme="1"/>
        <sz val="11.0"/>
      </rPr>
      <t>‣</t>
    </r>
    <r>
      <rPr>
        <rFont val="맑은 고딕"/>
        <color theme="1"/>
        <sz val="11.0"/>
      </rPr>
      <t xml:space="preserve"> 개인별 “순서” 숫자대로 적용
   ● 순서에 “동일한 숫자” 가 2명 이상이면 랜덤 배치되니 주의 하세요 ●</t>
    </r>
  </si>
  <si>
    <t>① 부서관리자 권한신청: 행정포털 &gt; 포털안내 &gt; 메신저부서권한 신청 &gt; 등록
 ② 권한 받은 후 온톡 &gt; 포탈 &gt; 더보기▼ &gt; 통합관리
 ③ 사용자 &gt; 상세 &gt; 수정 &gt; “순서” 숫자 지정 ‣ 개인별 “순서” 숫자대로 적용
  ● 순서에 “동일한 숫자” 가 2명 이상이면 랜덤 배치되니 주의 하세요 ●</t>
  </si>
  <si>
    <t>2, 3</t>
  </si>
  <si>
    <t>내용 작성해주시면 됩니다.</t>
  </si>
  <si>
    <t>온톡 메신저에 부서원 순서 변경 방법</t>
  </si>
  <si>
    <t>1인당 1년치 급식비(매식비) 계산은 어떻게 하나요</t>
  </si>
  <si>
    <t>직원 1인당 1년치 급식비(매식비)를 산정하려면 계산 기준과 적용 방식, 필요한 자료와 절차는 무엇인가요?</t>
  </si>
  <si>
    <t>부산광역시 공무원 1인당 연간 급식비(매 식비) 계산 방법은 정규근무시간 개시 전 또는 종료 후 근무하는 자에 대해 급식을 제공하며, 1인당 급식의 단가는 7,000원 이내로 규정되어 있습니다. 따라서, 연간 급식비는 7,000원 x 연간 근무일수로 계산됩니다.</t>
  </si>
  <si>
    <t xml:space="preserve">ㆍ83899_반복지적사례급량비지급_부적정.pdf (p.1)
https://busanai.busan.go.kr/download/83899_반복지적사례급량비지급_부적정.pdf </t>
  </si>
  <si>
    <r>
      <rPr>
        <rFont val="Malgun Gothic"/>
        <color theme="1"/>
        <sz val="11.0"/>
      </rPr>
      <t>근거자료 오류입니다.
인사과에서 제출한 2025년 지방공무원보수업무 등 처리지침 355P를 참고하시면 됩니다.
1. 정액급식비(영 제18조)
가. 지급대상
모든 공무원[다만, 영 제3조의 규정을 적용받는 국외파견공무원, 정직</t>
    </r>
    <r>
      <rPr>
        <rFont val="Yu Gothic"/>
        <color theme="1"/>
        <sz val="11.0"/>
      </rPr>
      <t>･</t>
    </r>
    <r>
      <rPr>
        <rFont val="맑은 고딕"/>
        <color theme="1"/>
        <sz val="11.0"/>
      </rPr>
      <t>직위해제 또는
휴직(공무상 질병으로 인한 휴직을 제외한다)중에 있는 공무원, 직제와 정원의 개편</t>
    </r>
    <r>
      <rPr>
        <rFont val="Yu Gothic"/>
        <color theme="1"/>
        <sz val="11.0"/>
      </rPr>
      <t>･</t>
    </r>
    <r>
      <rPr>
        <rFont val="맑은 고딕"/>
        <color theme="1"/>
        <sz val="11.0"/>
      </rPr>
      <t xml:space="preserve">
폐지 또는 예산의 감소 등에 따라 직위가 없어지거나 정원이 초과되는 등의 사유로
보직을 받지 못한 공무원(소속기관장으로부터 특정한 업무를 부여받은 공무원은
제외한다) 및 부단체장이 지방자치단체의 장의 권한을 대행하는 경우 그 지방자치
단체의 장은 제외(영 제19조제10항 및 제11항)]
나. 지 급 액 : 예산의 범위 안에서 월 14만원을 지급한다.
다. 지급시기 : 보수지급일 또는 각 기관장이 정하는 날</t>
    </r>
  </si>
  <si>
    <t>기대답변:
 1. 정액급식비(영 제18조)
 가. 지급대상
 모든 공무원[다만, 영 제3조의 규정을 적용받는 국외파견공무원, 정직･직위해제 또는 휴직(공무상 질병으로 인한 휴직을 제외한다)중에 있는 공무원, 직제와 정원의 개편･폐지 또는 예산의 감소 등에 따라 직위가 없어지거나 정원이 초과되는 등의 사유로 보직을 받지 못한 공무원(소속기관장으로부터 특정한 업무를 부여받은 공무원은 제외한다) 및 부단체장이 지방자치단체의 장의 권한을 대행하는 경우 그 지방자치 단체의 장은 제외(영 제19조제10항 및 제11항)]
 나. 지 급 액 : 예산의 범위 안에서 월 14만원을 지급한다.
 다. 지급시기 : 보수지급일 또는 각 기관장이 정하는 날</t>
  </si>
  <si>
    <t>355</t>
  </si>
  <si>
    <t>공무원 1인당 연간 급식비 계산 방법 및 지급에 대한 설명</t>
  </si>
  <si>
    <t>온톡 메신저에 담당업무 입력은 어떻게 하나요</t>
  </si>
  <si>
    <t>온톡 메신저에서 직원별 담당업무를 입력하거나 수정하려면 어떤 절차와 권한이 필요하며, 구체적인 방법은 무엇인가요?</t>
  </si>
  <si>
    <t xml:space="preserve">온톡 메신저에서 담당 업무를 입력하는 방법은 다음과 같습니다.
1. 온톡 메신저에 로그인합니다.
2. 화면 오른쪽 상단의 "설정" 아이콘을 클릭합니다.
3. "설정" 메뉴에서 "사용자 관리"를 선택합니다.
4. "담당 업무" 탭을 클릭합니다.
5. "담당 업무 추가" 버튼을 클릭하여 새로운 담당 업무를 입력합니다.
6. 담당 업무의 이름과 설명을 입력한 후 저장 버튼을 클릭합니다.
이 과정을 통해 담당 업무를 입력하고 관리할 수 있습니다. </t>
  </si>
  <si>
    <t>정보화정책과 온톡, 온메일 온나라 지식 사용재 매뉴얼을 참고하시면 됩니다.
우려사항은 인사발령 시 조치방법 부분에 온톡 개인정보 변경 방법이 안내되어 있는데
해당 질의로 이 정보가 검색이 힘들다고 하면 근거자료가 없다고 하는 식의 답변이 오히려 나을것으로 보입니다.</t>
  </si>
  <si>
    <t>기대답변:
 온톡 개인정보 변경 방법 (부서이동, 직위, 직급 등)
  - 시 행정포털 &gt; (몇 시간 소요)온나라 &gt; (1일 소요)온톡
  ‣ 부서이동: 행정포털에서 이동하면 온나라 자동 반영
  ‣ 부서관리자가 정보변경 하는 방법: 온나라 &gt; 개인정보설정 &gt; 부서관리자 &gt; 사용자 수정
  √ 온나라시스템은 즉시 반영, 온톡은 익일 반영
  ‣ 개인이 직접 정보변경 하는 방법: 온나라 &gt; 개인정보설정 &gt; 개인정보수정 &gt; 기본정보, 개인정보 수정 후 저장
  √ 온나라시스템은 즉시 반영, 온톡은 익일 반영</t>
  </si>
  <si>
    <t>-----</t>
  </si>
  <si>
    <t>온톡 담당업무 입력 방법 안내, 온톡 담당 업무 입력방법 안내</t>
  </si>
  <si>
    <r>
      <rPr>
        <rFont val="맑은 고딕"/>
        <b/>
        <color theme="1"/>
        <sz val="11.0"/>
      </rPr>
      <t>371_2503_정보화정책과_업무매뉴얼_정보화정책과_온톡_온메일_온나라_지식_사용자_매뉴얼_v21.pdf[4, 5]</t>
    </r>
    <r>
      <rPr>
        <rFont val="맑은 고딕"/>
        <color theme="1"/>
        <sz val="11.0"/>
      </rPr>
      <t xml:space="preserve">
-----
</t>
    </r>
    <r>
      <rPr>
        <rFont val="맑은 고딕"/>
        <color rgb="FFFF0000"/>
        <sz val="11.0"/>
      </rPr>
      <t xml:space="preserve">[인사발령 시 조치방법에 대한 문서인데 온톡 메신저 담당업무 입력과는 유사도 차이가 있어 검색 확률이 낮음.]
</t>
    </r>
    <r>
      <rPr>
        <rFont val="맑은 고딕"/>
        <color theme="1"/>
        <sz val="11.0"/>
      </rPr>
      <t xml:space="preserve">
ü 인사발령 시 조치방법 ▲위로 ● 문의 하기 전 먼저 읽어 주세요
① 온톡 개인정보 변경 방법
 (부서이동, 직위, 직급 등)
● 시 행정포털 Ü (몇 시간 소요)온나라 Ü (1일 소요)온톡</t>
    </r>
    <r>
      <rPr>
        <rFont val="Tahoma"/>
        <color theme="1"/>
        <sz val="11.0"/>
      </rPr>
      <t>‣</t>
    </r>
    <r>
      <rPr>
        <rFont val="맑은 고딕"/>
        <color theme="1"/>
        <sz val="11.0"/>
      </rPr>
      <t xml:space="preserve"> 부서이동: 행정포털에서 이동하면 온나라 자동 반영
</t>
    </r>
    <r>
      <rPr>
        <rFont val="Tahoma"/>
        <color theme="1"/>
        <sz val="11.0"/>
      </rPr>
      <t>‣</t>
    </r>
    <r>
      <rPr>
        <rFont val="맑은 고딕"/>
        <color theme="1"/>
        <sz val="11.0"/>
      </rPr>
      <t xml:space="preserve"> 부서관리자가 정보변경 하는 방법: 온나라 Ü 개인정보설정 Ü 부서관리자 Ü 사용자 수정 √ 온나라시스템은 즉시 반영, 온톡은 익일 반영
</t>
    </r>
    <r>
      <rPr>
        <rFont val="Tahoma"/>
        <color theme="1"/>
        <sz val="11.0"/>
      </rPr>
      <t>‣</t>
    </r>
    <r>
      <rPr>
        <rFont val="맑은 고딕"/>
        <color theme="1"/>
        <sz val="11.0"/>
      </rPr>
      <t xml:space="preserve"> 개인이 직접 정보변경 하는 방법: 온나라 Ü 개인정보설정
 Ü 개인정보수정 Ü 기본정보, 개인정보 수정 후 저장
 √ 온나라시스템은 즉시 반영, 온톡은 익일 반영</t>
    </r>
  </si>
  <si>
    <t>BSC 성과관리지표 시스템에 입력하는 방법은?</t>
  </si>
  <si>
    <t>BSC 성과관리지표를 내부 시스템에 입력할 때, 시스템 접속 경로, 입력 화면 구성, 지표 유형별 입력 방법, 승인·검증 절차, 입력 완료 후 확인 방법을 포함하여 단계별로 상세히 설명해주세요.</t>
  </si>
  <si>
    <t>부산시청 성과관리지표 시스템에 담당 업무를 입력하는 방법은 성과관리시스템에 접속하여 담당 업무를 입력하고, 증빙자료를 첨부하는 절차를 따릅니다.
관련내용은 다음과 같습니다.
성과관리시스템 접속: 부산시청 성과관리시스템을 접속합니다.
담당 업무 입력: 성과관리시스템 내에서 담당 업무를 입력하는 섹션을 찾아 해당 내용을 입력합니다.
증빙자료 첨부: 입력한 담당 업무와 관련된 증빙자료를 첨부합니다. 이때, 온나라 문서 연계를 원칙으로 하며, 내부 결재 없이 작성한 엑션이나 한글 요약 자료는 인정되지 않습니다.
실적 검증: 입력된 실적값과 증빙자료를 바탕으로 부서별로 성과관리시스템에서 주기별 실적 입력 및 서면 검증을 실시합니다.
이러한 절차를 통해 담당 업무와 관련된 실적을 정확하게 입력하고, 증빙자료를 첨부하여 성과관리지표 시스템을 활용하게 됩니다.</t>
  </si>
  <si>
    <t>관련근거 오류입니다.
해당 질의에 대한 관련 근거 파일이 없으므로
해당 파일이 없다고 말하고 관련 부서나 담당자에게 문의하라고 해야할듯 싶습니다</t>
  </si>
  <si>
    <t>보조금 교부를 위한 보탬이, 이나라도움 사용법은?</t>
  </si>
  <si>
    <t>보조금 교부를 위해 ‘보탬이’ 또는 ‘이나라도움’ 시스템을 사용할 때, 보조금 신청·접수·승인·정산 등 전체 처리 절차, 시스템 접속 및 입력 방법, 제출 서류, 검증 단계, 유의사항을 단계별로 상세히 설명해주세요.</t>
  </si>
  <si>
    <t>보조금 교부를 위한 보탬이와 이나라도움 사용법은 다음과 같습니다.
보탬이 사용법
보탬이 “민간교부신청” 메뉴에서 보조금 교부 신청을 합니다.
자치단체는 보탬이 “교부신청접수” 메뉴에서 교부 신청을 접수합니다.
자치단체는 보탬이 “교부결정및통보” 메뉴에서 교부 결정을 등록합니다.
자치단체는 이나라도움 “공공민간(지방보조금)품의등록” 메뉴에서 연계 정보를 조회하여 연계 지출을 위한 품의를 등록합니다.
지출 지급 명령이 결재되고 금고 은행의 이체가 완료되면, 보탬이 “교부결정및통보” 메뉴에서 민간 보조사업자에게 보조금 교부를 “통보” 처리합니다.
이나라도움 사용법
보조사업자는 이나라도움 “민간보조사업별수행사업현황” 메뉴에서 수행 사업별 예산, 교부, 집행, 정산을 조회할 수 있습니다.
자치단체는 이나라도움 “사업별예산집행현황” 메뉴에서 예산 현액과 지출 내역을 확인할 수 있습니다.
당해 연도에 보조사업자가 집행잔액을 자치단체로 반납하는 경우, 이나라도움을 통해 자치단체 지방보조금 전용 계좌로 반납하고, 자치단체는 이나라도움 “지출결의반납” 메뉴를 통해 지출원 계좌로 입금 처리합니다.</t>
  </si>
  <si>
    <t>해당 내용 중 이나라도움 사용법에 대한 내용은
관련 문서에 없으므로 해당 내용은 제외하는것이 좋을것 같습니다.
그 외는 이상없습니다.</t>
  </si>
  <si>
    <t>기대답변 :
 보탬e 지방보조금 교부(연계지출) 방법
 ① (보조사업자) 보탬e ‘민간교부신청’(92016)에서 보조금 교부 신청
 ② (자치단체) 보탬e ‘교부신청접수’(92027)에서 교부신청 접수
 ③ (자치단체) 보탬e ‘교부결정및통보’(92029) ‘민간’ 탭화면에서 교부결정 등록
 ④ (자치단체) e호조+ ‘공공민간(지방보조금)품의등록’(21220)에서 연계정보 조회를 통해 연계지출을
 위한 품의등록
 * 주의 : 돋보기 버튼을 클릭하여 통계목을 선택해야 예산현액이 조회됨
 ⑤ (자치단체) 지출지급명령 결재 및 금고은행의 이체가 완료되면 보탬e ‘교부결정및통보’ (92029)
 에서 민간보조사업자에게 보조금교부 ‘통보’ 필수 처리
 ⑥ (보조사업자) 보탬e ‘민간교부결정결과조회’(92040)에서 ‘교부결정확정’ 처리</t>
  </si>
  <si>
    <t>328_2503_재정협력담당관_업뮤매뉴얼_행정안전부_2025년_지방보조금_관리가이드.pdf</t>
  </si>
  <si>
    <t>26</t>
  </si>
  <si>
    <t>보조금 교부 절차 안내, 보탬이(보탬e) 사용 방법 안내, 이나라도움 사용 방법 안내</t>
  </si>
  <si>
    <t>온나라 시스템을 통해 공문을 생산하였는데, 기안 당시에는 비공개 사유가 있었으나, 현재에는 해당 비공개 사유가 소멸했습니다. 이에 따라, 공개문서로 전환하고 싶은데, 방법이 어떻게 되나요?</t>
  </si>
  <si>
    <t>온나라 시스템에서 기안 당시 비공개로 처리된 공문이 현재 비공개 사유가 소멸된 경우, 해당 문서를 공개문서로 전환하려면 어떻게 해야 하는지 알려주세요.</t>
  </si>
  <si>
    <t>온나라 시스템을 통해 생산된 공문 중, 기안 당시에는 비공개 사유가 있었으나 현재 비공개 사유가 소멸된 경우, 해당 공문을 공개문서로 전환하는 절차와 방법은 다음과 같습니다.
비공개 사유 소멸 여부 확인: 먼저, 해당 공문의 비공개 사유가 현재 소멸되었는지 확인해야 합니다. 이는 관련 법령이나 내부 규정 등을 검토하여 결정합니다.
내부 결재: 비공개 사유가 소멸된 공문을 공개문서로 전환하기 위해서는 내부 결재가 필요합니다. 이는 해당 공문의 담당 부서나 상급자의 결재를 통해 이루어집니다.
온나라 시스템 접속: 온나라 시스템에 접속하여 해당 공문을 선택합니다.
공개 여부 변경: 공문의 공개 여부를 변경하는 메뉴를 찾아 비공개에서 공개로 변경합니다. 이 과정에서 사유를 입력할 수 있는 공간이 있을 수 있습니다.
최종 확인 및 저장: 공개 여부 변경이 완료되면, 변경된 내용을 최종 확인하고 저장합니다.
기록 보관: 공개로 전환된 공문은 적절한 기록 보관 절차를 따라야 합니다.
이러한 절차를 통해 온나라 시스템에서 생산된 공문을 공개문서로 전환할 수 있습니다.</t>
  </si>
  <si>
    <t xml:space="preserve">관련 근거 문서가 없습니다.
해당 내용 또한 오류입니다. 
열람 범위 수정은 내부 결재가 필요 없습니다. 
기대답변
온나라 문서대장에서 해당 공문의 문서관리카드를 열람하여, 하단 '관리정보 수정' 버튼을 클릭한 후 공개문서로 전환할 수 있습니다. </t>
  </si>
  <si>
    <t>기대답변
 온나라 문서대장에서 해당 공문의 문서관리카드를 열람하여, 하단 '관리정보 수정' 버튼을 클릭한 후 공개문서로 전환할 수 있습니다.</t>
  </si>
  <si>
    <t>[답변 참조 문서명이 기입되어 있지 않았음. 이 문서가 맞는지 확인 필요 + 표 내용 우측 텍스트 인식으로 답변 요청을 하신 것인지도 확인 필요]</t>
  </si>
  <si>
    <t>온나라 시스템을 통하여 비공개 공문을 공개로 전환하는 방법</t>
  </si>
  <si>
    <t xml:space="preserve">인사랑, 이호조, 세외수입시스템 등 시스템 종류가 많은데, 각각 매뉴얼은 어디서 찾을 수 있나요? </t>
  </si>
  <si>
    <t>인사랑시스템, 이호조시스템(e호조, 지방재정시스템), 세외수입시스템 등 주요 업무 시스템의 사용자 매뉴얼은 어디에서 조회할 수 있나요?</t>
  </si>
  <si>
    <t xml:space="preserve">부산시청에서 사용되는 인사랑, 이호조, 세외수입시스템 등의 다양한 시스템들의 사용 매뉴얼은 부산시청 홈페이지에서 찾아볼 수 있습니다.
관련 링크는 아래와 같습니다.
1. 부산시청 홈페이지: https://www.busan.go.kr/
2. 부산시청 홈페이지 내 "통합검색"을 통해 "시스템 매뉴얼"을 검색하시면 각 시스템별 사용 매뉴얼을 확인하실 수 있습니다.
각 시스템의 공식 홈페이지나 관련 부서에 문의하시면 보다 정확하고 상세한 정보를 얻으실 수 있습니다. </t>
  </si>
  <si>
    <t>세외수입의 경우 세정정책담당관에서 제출한 세외수입시스템 사용자 권한신청 방법 등 파일이 있습니다.
이호조의 경우(e호조) 세정정채담당관에서 제출한 e호조 예산결산 매뉴얼 파일이 있습니다.
해당 시스템은 다 내부 시스템이라 부산시 홈페이지에서 조회가 불가능합니다.
각 시스템 담당 부서 또는 담당자에게 문의하시면 ~ 이라고 답변이 추가되면 됩니다</t>
  </si>
  <si>
    <t>매뉴얼 위치에 대한 내용이 없을것으로 보여 일단 지금 단계에서는 미답변 처리 하는게 좋을거 같습니다.
 질문으로 검색된 매뉴얼 안에 내용 중에 관련 매뉴얼이 어디 있는지에 대한 내용이 나와 있으면 표출되면 될 거 같은데 해당 매뉴얼에서는 관련 내용이 없는것으로 보입니다.</t>
  </si>
  <si>
    <t>다음달에 시청 1층 대강당을 예약하고 싶은데, 방법을 알고싶어요.</t>
  </si>
  <si>
    <t>다음 달에 시청 1층 대강당을 예약하려면 예약 과정을 어떻게 진행해야 하는지 알려주세요.</t>
  </si>
  <si>
    <t>부산시청 1층 대강당은 주로 각종 행사, 회의, 강연 등을 위한 공간으로 사용되며, 예약 방법은 부산시청 홈페이지를 통해 진행됩니다. 다음은 예약 절차에 대한 간략한 안내입니다.
부산시청 홈페이지 접속: 부산시청 공식 홈페이지에 접속합니다.
예약 신청 메뉴 찾기: 홈페이지 내에서 “대강당 예약” 또는 "행사 예약"과 같은 메뉴를 찾습니다.
예약 신청서 작성: 예약하고자 하는 날짜, 시간, 행사 내용 등을 기입하여 신청서를 작성합니다.
제출 및 확인: 신청서를 제출한 후, 부산시청에서 예약 가능 여부를 검토합니다. 예약 가능 여부는 홈페이지를 통해 확인하거나, 부산시청 담당 부서에 문의하여 확인할 수 있습니다.
예약 가능 여부는 행사 일정에 따라 달라질 수 있으므로, 미리 확인하는 것이 좋습니다. 또한, 대강당 예약은 선착순으로 진행되는 경우가 많으므로, 원하는 날짜와 시간에 예약이 가능한지 미리 확인하는 것이 중요합니다.</t>
  </si>
  <si>
    <t>부산시 회의실 예약도 내부 직원용으로 운영중이라 부산시 홈페이지를 통해 신청하는 것은 불가능합니다.
관련 근거 자료가 없기 때문에 회의실 담당 부서 또는 담당자에게 문의하시면 ~ 이라고 답변이 추가되어야 합니다.</t>
  </si>
  <si>
    <t>기대답변:
 행정포털의 개인서비스에서 회의장 클릭 후 원하는 날짜를 예약하시면 됩니다.</t>
  </si>
  <si>
    <t>담당업무 관련으로 시청 직원의 설문조사가 필요한데, 어디에 게시해야 많은 사람들이 참여할 수 있을까요</t>
  </si>
  <si>
    <t>담당업무 관련 설문조사를 시청 직원 대상으로 진행하려면, 어떤 곳에 게시하는 것이 직원 참여율을 최대화하는 데 가장 효과적인지 알려주세요.</t>
  </si>
  <si>
    <t>부산시청 직원의 담당업무 관련 설문조사를 진행하기 위해 많은 직원이 참여할 수 있도록 설문조사를 게시할 수 있는 최적의 장소는 다음과 같습니다.
내부 인트라넷 게시판: 부산시청 내부 인트라넷에는 모든 직원이 접근할 수 있는 게시판이 있습니다. 이곳은 직원들이 자주 방문하는 공간이므로 설문조사 내용을 쉽게 접할 수 있습니다.
이메일: 부산시청 직원들에게 설문조사 내용을 포함한 이메일을 발송하여 참여를 유도할 수 있습니다. 이메일은 개인별로 전달되므로 모든 직원이 확인할 수 있습니다.
사내 공지사항: 사내 공지사항을 통해 설문조사 내용을 공지하면, 직원들이 쉽게 접근하고 참여할 수 있습니다.
사내 메신저: 부산시청에서 사용하는 사내 메신저를 통해 설문조사 내용을 공유하면, 실시간으로 많은 직원들이 확인할 수 있습니다.
사무실 내 게시판: 각 부서나 층별로 게시판을 설치하여 설문조사 내용을 게시할 수 있습니다. 이는 직원들이 자주 이동하는 공간에 배치하여 참여를 유도할 수 있습니다.
이러한 방법들을 활용하면 부산시청 직원들이 설문조사에 쉽게 참여할 수 있을 것입니다.</t>
  </si>
  <si>
    <t>해당 질문도 근거 자료가 없습니다.
내부 시스템 중 설문조사 관련 매뉴가 있습니다만 근거자료가 없기 때문에
관련 부서나 업무 담당자에게 문의~ 라는 내용이 추가되어야 할 것 같습니다.</t>
  </si>
  <si>
    <t>기대답변:
 설문조사 방법 안내
 행정포털 내 참여할 설문 클릭 후 설문 등록을 하시면 됩니다.</t>
  </si>
  <si>
    <t>3</t>
  </si>
  <si>
    <t>[왼쪽 그림의 절차가 있어야 우측 텍스트 내용이 의미가 있는 것으로 보임. 표 내용만 봤을 때에는 각 내용들이 절차를 나타내는 것인지 확인이 어려움 - 115번 동일]</t>
  </si>
  <si>
    <t>시청 직원 대상 설문조사 활성화를 위한 효과적인 게시 위치</t>
  </si>
  <si>
    <t>시 공식 SNS에 담당업무를 홍보하고자 게시했으면 하는데, 의뢰 절차가 어떻게 되나요?</t>
  </si>
  <si>
    <t>시 공식 SNS에 부서 또는 직원 담당업무를 홍보하기 위해 게시를 의뢰하려면 어떤 절차를 거쳐야 하는지 알려주세요</t>
  </si>
  <si>
    <t>부산시 공식 SNS에 담당업무를 홍보하기 위해 게시물을 의뢰할 경우, 절차는 다음과 같습니다.
게시물 의뢰: 담당 부서는 부산시 공식 SNS 채널 운영 및 콘텐츠 기획·제작을 담당하는 뉴미디어담당관에 게시물 의뢰를 합니다.
콘텐츠 기획 및 제작: 뉴미디어담당관에서는 의뢰받은 내용을 바탕으로 콘텐츠 기획 및 제작을 진행합니다. 이 과정에서 부산시의 정책, 행사, 주요 이슈 등을 반영하여 게시물을 제작합니다.
검토 및 승인: 콘텐츠가 제작된 후, 홍보담당관 및 관련 부서의 검토를 거쳐 최종 승인을 받습니다. 이 과정에서 내용의 정확성, 시의성, 홍보 효과 등을 고려하여 승인 여부를 결정합니다.
게시 및 홍보: 최종 승인된 게시물은 부산시 공식 SNS 채널에 게시되며, 이를 통해 시민들에게 홍보됩니다.
모니터링 및 피드백: 게시 후에도 지속적인 모니터링을 통해 시민의 반응 및 피드백을 수집하고, 이를 바탕으로 향후 콘텐츠 기획 및 제작에 반영합니다.
이러한 절차를 통해 부산시의 공식 SNS 채널을 통해 담당 업무가 효과적으로 홍보될 수 있습니다.</t>
  </si>
  <si>
    <t>ㆍ82277_2025년도_대변인실_주요업무계획.pdf (p.6)
https://busanai.busan.go.kr/download/82277_2025년도_대변인실_주요업무계획.pdf
ㆍ76072_소셜미디어홍보조례입법예고-hwp.pdf (p.4)
https://busanai.busan.go.kr/download/76072_소셜미디어홍보조례입법예고-hwp.pdf</t>
  </si>
  <si>
    <t>근거 자료 중 입법예고는 맞지 않습니다.
주요 업무계획에 정확하게 SNS 신청 절차에 대해 나와있지 않고 통합 매뉴얼을 배포한다고 했는데 찾아보니 해당 매뉴얼이 없습니다.
그 외 미디어담당관에서 제출한 업무관련FAQ(미디어담당관_콘텐츠기획)
파일에 보면 근거로 활용할만한 답변이 있습니다.
기대답변 :
- 홍보협업매뉴얼을 참고하여 미디어담당관으로 공문 발송 의뢰 요청
- SNS 게시 2주 전까지 게시 협조 공문 발송 필요(포스터, 영상 제작이 늦어질 경우 공문을 기한내 발송 후 온메일, 온톡으로 별도 송부)
- 홍보 이미지의 경우 콘텐츠기획팀에서 제작 협조 가능, 다만 주제에 따라 제작 형태가 달라지고 다른 용도로 활용이 어려움. 사이즈 변경 미지원
- 부산시 홍보 매체 전반을 활용해야한다면 홍보담당관으로 연락바랍니다.</t>
  </si>
  <si>
    <t>- 홍보협업매뉴얼을 참고하여 미디어담당관으로 공문 발송 의뢰 요청
 - SNS 게시 2주 전까지 게시 협조 공문 발송 필요(포스터, 영상 제작이 늦어질 경우 공문을 기한내 발송 후 온메일, 온톡으로 별도 송부)
 - 홍보 이미지의 경우 콘텐츠기획팀에서 제작 협조 가능, 다만 주제에 따라 제작 형태가 달라지고 다른 용도로 활용이 어려움. 사이즈 변경 미지원
 - 부산시 홍보 매체 전반을 활용해야한다면 홍보담당관으로 연락바랍니다.</t>
  </si>
  <si>
    <t>88_2504_미디어담당관_업무매뉴얼_미디어담당관_콘텐츠기획팀_업무관련FAQ.pdf</t>
  </si>
  <si>
    <t>시 공식 SNS 담당업무 홍보 게시를 위한 의뢰 절차, 시청 홈페이지 엘리베이터 화면 기타 홍보게시판 등에 홍보자료를 게시하기 위한 방법, 시 주관 행사 추친 시 홍보 광고물 설치 절차 안내</t>
  </si>
  <si>
    <t>(박물관, 미술관) 부산의 박물관이나 미술관에서 하는 전시 정보를 한번에 얻고싶은데, 어디에서 찾을 수 있나요?</t>
  </si>
  <si>
    <t>부산 소재 박물관과 미술관에서 진행 중인 전시 정보를 한눈에 확인하려면 어떤 공식 사이트나 통합 플랫폼을 이용해야 하는지 알려주세요</t>
  </si>
  <si>
    <t>부산의 박물관 또는 미술관에서 진행하는 전시 정보를 한 번에 확인할 수 있는 곳은 부산시립미술관 전시 현황 및 일정입니다.
관련내용은 다음과 같습니다.
부산시립미술관 전시 현황 및 일정
기획전시(5): 《부산, 형상미술》, 《이토록아름다운》, 《오노프 ONOFF》, 《한국현대미술작가조명 IV: 구정아》, 《이우환과 친구들 III: 크리스티안볼탕스키》
소장품전시(1): 《하이라이트 III》
어린이갤러리(2): 《네버랜드사운드랜드: 권병준 -소리산책》, 《초록이 좋아》
이우환공간(2): 이우환공간 상설전, 《이우환 작품전》
이 정보를 통해 부산의 박물관 및 미술관에서 진행하는 다양한 전시를 한눈에 확인할 수 있습니다.</t>
  </si>
  <si>
    <t>해당 질문에 대한 근거자료 오류입니다. 
내용은 맞는데 시기가 2021년~2022년 자료입니다.
박물관 및 미술관 전시 정보는 각 사업소 홈페이지에서 확인이 가능합니다.
다만 이러한 내용을 넣기보다는 관련 자료가 없기 때문에 담당 부서나 업무담당자에게 문의~ 내용이 추가되어야 할 것 같습니다
만약에 홈페이지 자료가 추가되어 있는데 분야별 정보-문화체육관광 쪽에 해당 사업소 별 링크가 제공되어 있는데 해당 정보까지 노출이 될 수 있으면 링크 안내정도까진 괜찮을것 같습니다.
현재 전시정보를 주는것은 실시간 정보연동이 안되어 있기 때문에 어렵다고 봅니다.</t>
  </si>
  <si>
    <t>일반지출의 절차를 알고싶은데, 매뉴얼이나 교육자료를 어디에서 찾을 수 있나요?</t>
  </si>
  <si>
    <t>일반지출 절차를 정확히 이해하기 위한 관련 매뉴얼, 지침, 교육자료가 정리되어 있는 게시판이 어디에 위치해 있는지 알려주세요.</t>
  </si>
  <si>
    <t>부산시청 내부에서 일반지출 절차에 대한 매뉴얼이나 교육자료를 찾으실 수 있는 곳은 다음과 같습니다.
부산시청 홈페이지: 부산시청 홈페이지에서는 다양한 행정 정보와 교육 자료를 제공하고 있습니다. 특히, "행정자료실"이나 “공무원 교육자료” 섹션에서 관련 자료를 찾아보실 수 있습니다.
부산시청 내부 전산망: 부산시청 내부 직원들을 위한 전산망에는 각종 매뉴얼과 교육 자료가 탑재되어 있습니다. 내부망에 접속하여 "행정업무 매뉴얼"이나 "교육자료"를 검색하시면 됩니다.
부산시청 총무과: 총무과에서는 직원 교육 및 자료 관리를 담당하고 있습니다. 직접 방문하거나 전화로 문의하여 필요한 자료를 요청하실 수 있습니다.
부산시청 감사관실: 감사관실에서는 지출 관련 감사를 담당하며, 관련 절차와 매뉴얼을 보유하고 있을 수 있습니다. 필요 시 문의하여 자료를 요청하실 수 있습니다.
이러한 경로를 통해 필요한 자료를 찾으실 수 있으며, 각 부서의 담당자에게 직접 문의하는 것도 좋은 방법입니다.</t>
  </si>
  <si>
    <t>일반 지출에 관한 자료는 회계재산담당관에서 제출한 일반지출 절차 및 삭제 파일에서 확인하시면 됩니다.
그 외 추가 자료가 필요하다면 관련 부서나 업무 담당자에게 문의~ 라고 하시면 됩니다.
관련 자료를 모와놓는 곳에 대한 자료가 없기 때문에
이정도의 안내가 좋을거 같습니다.</t>
  </si>
  <si>
    <t>기대답변 : 
 일반 지출에 관한 자료는 회계재산담당관에서 제출한 일반지출 절차 및 삭제 파일에서 확인하시면 됩니다.
 &gt;파일 링크 제공</t>
  </si>
  <si>
    <t>&gt;&gt; 115번과 동일, 제목에 일반지출 상세흐름도라고 명시되어 있는데도 불구하고 절차에 대한 확인이 어려운지 확인이 필요합니다. RAG 유사도 문제도 같이 확인 필요</t>
  </si>
  <si>
    <t>일반지출 처리 업무 흐름도, 일반지출 절차 매뉴얼(메뉴얼, 교육자료)</t>
  </si>
  <si>
    <t>한달동안만 유연근무제를 실시하고 싶은데, 일정기간만 유연근무제 신청할 수 있나요? 할 수 있다면 신청방법이 어떻게 되나요?</t>
  </si>
  <si>
    <t>한 달 등 일정 기간 동안만 유연근무제를 적용할 수 있는지, 가능하다면 해당 기간만 신청하는 방법과 절차는 무엇인가요?</t>
  </si>
  <si>
    <t>부산시청에서는 유연근무제를 일정 기간 동안만 신청할 수 있습니다. 신청 방법은 직접 방문접수입니다. 접수 장소는 부산시청 14층 복지정책과이며, 접수 시간은 09:00부터 18:00까지이며, 토요일 및 공휴일은 제외됩니다. 자세한 사항은 붙임 공고문을 참고하시면 됩니다.</t>
  </si>
  <si>
    <t xml:space="preserve">ㆍ20684_2023-2982_부산광역시_사회공헌정보센터_수탁기관_모집_재공고.pdf (p.2)
https://busanai.busan.go.kr/download/20684_2023-2982_부산광역시_사회공헌정보센터_수탁기관_모집_재공고.pdf </t>
  </si>
  <si>
    <t xml:space="preserve">유연근무는 직원 복무에 관련된 내용입니다.
참고 파일 및 내용 오류입니다.
유연근무 신청에 관한 파일은 인사과에서 제출한 행정안전부_복무관리 매뉴얼 참고하시면 됩니다.
해당 파일은 제목은 텍스트, 내용은 이미지로 되어 있어서 세부적인 사항을 표시하는것을 어려울 것으로 보입니다.
기대답변
복무관리 &gt; 유연근무제관리 &gt; 유연근무신청, 유연근무변경이 가능합니다.
자세한 사항은 관련 부서나 업무 담당자에게 문의~ 라는 식의 내용이 필요할 것으로 보입니다.
</t>
  </si>
  <si>
    <t>기대답변:
 1. 유연근무제 신청방법
  - 대국민 행정업무에 차질이 없는 범위 내에서 실시기간과 근무형태를 정해 부서장에게 신청하여 승인을 받음
  ※ 육아, 간병, 원거리 출퇴근, 외국어 수강, 취미활동 등 개인사정이 있을 경우 업무에 지장이 없는 범위 내에서 적극 활용 가능
 2. 유연근무제 유형별 실시기간
  - 탄력근무제(시차출퇴근형) : 1일 이상
  - 탄력근무제(근무시간 선택형) : 1주 이상으로 하되 당일 신청 시 2일 이상
  - 탄력근무제(집약근무형) : 1주일 이상
  - 재량근무제 : 기관가 개인이 합의
  - 원격근무제(재택근무형) : 1일 이상
  - 원격근무제(스마트워크근무형) : 1일 이상</t>
  </si>
  <si>
    <t>탄력근무제와 관련한 매뉴얼, 메뉴얼, 안내서, 유연근무제 신청 방법 안내, 유연근무제 매뉴얼(메뉴얼), 일정 기간 유연근무제 신청하는 방법</t>
  </si>
  <si>
    <r>
      <rPr>
        <rFont val="맑은 고딕"/>
        <b/>
        <color theme="1"/>
        <sz val="11.0"/>
      </rPr>
      <t>267_2405_인사과_업무매뉴얼_행정안전부_복무관리_매뉴얼.pdf[21]</t>
    </r>
    <r>
      <rPr>
        <rFont val="맑은 고딕"/>
        <color theme="1"/>
        <sz val="11.0"/>
      </rPr>
      <t xml:space="preserve">
-----
</t>
    </r>
    <r>
      <rPr>
        <rFont val="맑은 고딕"/>
        <color rgb="FFFF0000"/>
        <sz val="11.0"/>
      </rPr>
      <t>[문서가 이미지로 대부분 되어 있어 참조 불가함. 아래 내용이 확인해주신 내용같은데 질문 대비 유사도 떨어짐]</t>
    </r>
    <r>
      <rPr>
        <rFont val="맑은 고딕"/>
        <color theme="1"/>
        <sz val="11.0"/>
      </rPr>
      <t xml:space="preserve">
III-1 복무관리&gt; 유연근무제관리&gt; 유연근무신청 • 유연근무신청내역을조회하고 신규신청할 수있습니다. 1 ᄀ ᄂ 2 3 21</t>
    </r>
  </si>
  <si>
    <t xml:space="preserve">장기재직휴가는 재직기간 몇 년차부터 생기나요? 그리고 근속년수별로 정확한 휴가 부여 일수를 알고싶어요. </t>
  </si>
  <si>
    <t>장기재직휴가는 어떤 재직연차부터 부여되며, 근속기간 구간별로 부여되는 정확한 휴가 일수 기준은 무엇인가요?</t>
  </si>
  <si>
    <t>장기재직휴가는 재직 기간 10년 이상 20년 미만인 경우, 해당 재직 기간 중 10일이 부여됩니다.</t>
  </si>
  <si>
    <t xml:space="preserve">ㆍ1117_압축규정25228.pdf (p.65)
https://busanai.busan.go.kr/download/1117_압축규정25228.pdf </t>
  </si>
  <si>
    <t>근거자료 오류, 답변 오류입니다.
근거자료 : 인사과 장기재직휴가 시행지침 개정전문 (미제출임)
기대답변 :
1. 장기재직휴가 대상 : 재직기간 5년 이상인 공무원부터
2. 재직기간별 휴가 일수
 - 5년~9년 : 5일
 - 10년~19년 : 10일
 - 20년~29년 : 25일
 - 30년 이상 : 25일</t>
  </si>
  <si>
    <t>1. 장기재직휴가 대상 : 재직기간 5년 이상인 공무원부터
 2. 재직기간별 휴가 일수
  - 5년~9년 : 5일
  - 10년~19년 : 10일
  - 20년~29년 : 25일
  - 30년 이상 : 25일</t>
  </si>
  <si>
    <t>Ⅰ 장기재직휴가 개요
 1. 시행근거
 가.「지방공무원 복무규정」제7조의7(특별휴가)
 나.「부산광역시 공무원 복무 조례」제15조(특별휴가) 제6항2. 시행목적: 5년 이상 장기 재직한 공무원에게 매회 2일이상의 휴가를 보장하여
 재충전 기회를 제공하고, 사기진작 및 업무 생산성‧창의성 또한 제고3. 시행대상: 재직기간 5년 이상인 공무원
 4. 실시방법: 재직기간에 따라 해당 기간 중 장기재직휴가 실시재직기간 5년 ~ 9년 10년 ~ 19년 20년 ~ 29년 30년 이상휴가일수 5일 10일 25일 25일</t>
  </si>
  <si>
    <t>장기재직휴가 등록 기준 및 사용 방법과 신청 절차, 장기재직휴가 기준 및 사용방법과 신청절차, 장기재직휴가 사용 요건 인사랑 자동 반영여부, 근속년수 별 장기재직휴가 사용 가능 여부 및 근속년수별 휴가 부여 일수</t>
  </si>
  <si>
    <t>공무원의 연차별로 연가일수가 다른 거 같던데, 재직기간별로 연가가 며칠씩 부여되나요?</t>
  </si>
  <si>
    <t>공무원의 재직기간 구간별 연가 부여 기준은 어떻게 구성되어 있으며, 연차에 따라 적용되는 정확한 연가일수는 얼마인가요?</t>
  </si>
  <si>
    <t>공무원의 재직기간별 연가일수는 1개월 이상 1년 미만: 11일, 1년 이상 3년 미만: 14일, 3년 이상 4년 미만: 15일, 4년 이상 5년 미만: 16일, 5년 이상 6년 미만: 17일, 6년 이상: 21일입니다.</t>
  </si>
  <si>
    <t xml:space="preserve">ㆍ214_2501_예산담당관_업무매뉴얼_행정안전부_지방공무원보수업무_등_처리지침.pdf (p.363)
https://busanai.busan.go.kr/download/214_2501_예산담당관_업무매뉴얼_행정안전부_지방공무원보수업무_등_처리지침.pdf </t>
  </si>
  <si>
    <t>관련 근거가 지방공무원 복무규정이면 제일 좋은데
해당 파일은 없는걸로 보입니다.
약간 근거규정이 애매한거 빼면 내용은 이상없습니다.</t>
  </si>
  <si>
    <t>기대답변 : 
 네, 맞아요! 공무원의 재직기간에 따라 연가일수가 다르게 부여됩니다. 이는 공무원의 장기적인 근무를 독려하고 충분한 휴식을 제공하기 위한 제도예요.
 '지방공무원 복무규정’에 따르면, 재직기간별 연가일수는 다음과 같습니다:
 1개월 이상 1년 미만: 연가 11일
 1년 이상 2년 미만: 연가 12일
 2년 이상 3년 미만: 연가 14일
 3년 이상 4년 미만: 연가 15일
 4년 이상 5년 미만: 연가 17일
 5년 이상 6년 미만: 연가 20일
 6년 이상: 연가 21일
 또한, 특별한 경우에는 추가로 연가일수가 부여될 수 있어요. 예를 들어, 병가를 사용하지 않았거나 연가보상비를 지급받지 못한 연가일수가 남은 경우에는 다음 해에 한해 연가일수에 1일을 더 받을 수 있습니다.
 이 정보는 최신 규정을 기반으로 한 것이며, 정확한 내용은 해당 지방자치단체의 조례나 내부 규정을 확인하시는 것이 좋아요. 혹시 더 궁금한 점이 있으면 언제든지 물어보세요!</t>
  </si>
  <si>
    <t>264_2401_인사과_법령_행정안전부_지방공무원_인사관계_법령집.pdf</t>
  </si>
  <si>
    <t>403, 404</t>
  </si>
  <si>
    <t>제조연가일수 및 연가보상비의 지급7 ( ) 공무원의 재직기간별 연가일수는 다음과 같다다만법 . , ①
 제조제항제호제호 및 제호에 따라 임용된 경력직공무원 및 특수경력직공무원의 재직27 2 2 · 3 9
 기간이 년 미만인 경우로서 지방자치단체의 조례로 정하는 공무원 경력 외의 유사경력이 있5
 는 경우에는 년 미만의 재직기간별 연가일수에 각각 일을 더한다개정 5 3 . &lt; 2013. 12. 11., 
 2018. 12. 18., 2023. 7. 18., 2024. 7. 2.&gt;
 0400년 지방공무원 인사관계 법령집2024
 재직기간연가 일수
 개월 이상 년 미만1 1
 년 이상 년 미만1 2
 년 이상 년 미만2 3
 년 이상 년 미만3 4
 년 이상 년 미만4 5
 년 이상 년 미만5 6
 년 이상6
  11
  12
  14
  15
  17
  20
  21
 제항에서 재직기간이란 공무원연금법제조제항부터 제항까지의 규정에 따르되1 “ ” 25 1 3 , ② 「」 
 연월일수로 계산한 재직기간을 말하며휴직기간정직기간직위해제기간 및 강등 처( ) , · ·年月日數
 분에 따라 직무에 종사하지 못하는 기간은 산입하지 않는다다만다음 각 호의 어느 하나에 . , 
 해당하는 경우에는 그 휴직기간을 재직기간에 산입한다개정 . &lt; 2011. 3. 7., 2017. 3. 8., 
 2018. 9. 18., 2018. 12. 18., 2019. 4. 16.&gt;
 법 제조제항제호의 사유에 따른 휴직으로서 지방공무원 임용령제조의제항제1. 63 2 4 31 6 2 1「」 
 호다목에 따른 휴직기간
 법령에 따른 의무수행으로 인한 휴직2. 
 공무원 재해보상법에 따른 공무상 부상 또는 질병이하 공무상 부상등이라 한다으로 인3. ( “ ” )「」
 한 휴직
 해당 연도에 결근정직강등직위해제 사실 및 제조의제항제호부터 제호까지의 규정· · · 7 2 3 1 5 ③ 
 에 따른 기간이 없는 공무원으로서 다음 각 호의 어느 하나에 해당하는 사람에 대해서는 다음 
 해에 한정하여 제항의 재직기간별 연가일수에 각각 일을 더한다개정 1 1 . &lt; 2019. 12. 31.&gt;
 병가제조의제항에 따른 병가는 제외한다를 받지 않은 공무원1. ( 7 5 2 )
 제항에 따른 연가보상비를 지급받지 못한 연가일수가 남아 있는 공무원2. 4
 제항에 따른 연가를 공무상 허가할 수 없거나 해당 공무원이 연가를 사용하지 않은 경우1 ④ 
 에는 예산의 범위에서 연가일수에 해당하는 연가보상비를 지급하는 것으로 연가를 갈음할 수 
 있다이 경우 연가보상비를 지급할 수 있는 연가대상일수는 일을 초과할 수 없으며연가보. 20 , 
 상비 지급대상인 연가 일수 중 시간 미만의 연가 잔여분에 대해서는 연가보상비를 지급하지 8
 않고 이월저축한다개정 · . &lt; 2020. 10. 20.&gt;
 전문개정 [ 2010. 7. 15.]</t>
  </si>
  <si>
    <t>공무원 재직기간 구간별 연가 부여 기준 안내, 공무원 연차별 연가 부여 일수 안내</t>
  </si>
  <si>
    <t>사전정보공표 정비 방법 알려주세요</t>
  </si>
  <si>
    <t>사전정보공표 정비 절차와 기준을 공식적으로 확인할 수 있는 내부 지침이나 시스템은 어디에 있나요?</t>
  </si>
  <si>
    <t>부산광역시 공무원의 사전정보공표 정비 방법은 다음과 같습니다.
사전정보공표 대상 선정: 부산광역시 공무원은 사전정보공표 대상 정보를 선정합니다. 이는 시민의 알권리와 정보 접근성을 높이기 위해 중요한 단계입니다.
정보 공개 주기 및 방법 결정: 선정된 정보를 공개할 주기와 방법을 결정합니다. 예를 들어, 월별, 분기별, 연간 등으로 공개 주기를 설정하고, 온라인 플랫폼(부산광역시 홈페이지 등)을 통해 정보를 공개합니다.
정보 공개 목록 작성 및 관리: 사전정보공표 목록을 작성하고 지속적으로 관리합니다. 이를 통해 정보의 정확성과 최신성을 유지할 수 있습니다.
정보 공개 절차 준수: 정보 공개 절차에 따라 시민들이 요청한 정보를 신속하고 정확하게 제공합니다. 이는 정보 접근성을 높이고, 시민의 신뢰를 얻는 데 중요한 역할을 합니다.
정기적인 점검 및 개선: 사전정보공표의 효과를 정기적으로 점검하고, 필요시 개선합니다. 이를 통해 정보의 질을 높이고, 시민의 만족도를 향상시킬 수 있습니다.
이러한 절차를 통해 부산광역시 공무원은 사전정보공표를 체계적으로 정비하고, 시민의 알권리를 보장할 수 있습니다.</t>
  </si>
  <si>
    <t>관련근거문서가 없습니다.
제출된 자료 중 유사한 내용이 있는데 
통합민원과에서 제공한 행정안전부 정보공개운영안내서는
정보공개 open.go.kr 이라서 해당사항이 없습니다.
시 홈페이지에 관련 내용이 있긴 한데 정비 방법이 나와 있진 않습니다.
시 홈페이지 자료가 들어가있다면 
시 홈페이지(정보공개-사전정보공표) 안내 정도만 해주고 자세한 사항은
관련 부서나 업무 담당자에게 문의~ 답변을 넣는게 좋을거 같습니다.</t>
  </si>
  <si>
    <t>DRM, PC Client 아이디 및 비밀번호를 잊어버렸을 때 절차 알려주세요</t>
  </si>
  <si>
    <t>DRM(자료유출방지시스템)과 PC Client(네티워크 접근제어, NAC)의 아이디 또는 비밀번호를 분실했을 때, 초기화나 재발급을 위해 어떤 절차를 거쳐야 하나요?</t>
  </si>
  <si>
    <t>DRM, PC Client의 아이디 및 비밀번호를 잊어버렸을 때 이를 찾는 절차는 다음과 같습니다.
DRM 서비스 제공자의 고객센터에 문의: DRM을 제공하는 서비스 제공자의 고객센터에 연락하여 아이디 및 비밀번호를 잊어버렸다고 알립니다. 고객센터에서는 사용자 계정 정보를 재설정하거나 복구하는 절차를 안내해 줄 것입니다.
PC Client 로그인 화면에서 “비밀번호 찾기” 또는 “아이디 찾기” 기능 사용: PC Client의 로그인 화면에서 “비밀번호 찾기” 또는 “아이디 찾기” 옵션을 선택합니다. 이 기능을 통해 아이디 및 비밀번호를 재설정하거나 복구할 수 있는 링크를 제공받을 수 있습니다.
이메일 확인: 만약 아이디 및 비밀번호를 잊어버린 경우, 이전에 등록한 이메일 주소를 통해 비밀번호 재설정 링크가 발송되었을 수 있습니다. 해당 이메일을 확인하고 링크를 클릭하여 비밀번호를 재설정합니다.
보안 질문 및 답변: 일부 서비스에서는 보안 질문 및 답변을 설정해 놓은 경우, 이를 통해 계정 정보를 복구할 수 있습니다. 보안 질문 및 답변을 기억해내어 입력하면 됩니다.
고객센터 재문의: 위의 방법으로도 해결되지 않는 경우, 고객센터에 다시 문의하여 도움을 요청합니다. 고객센터에서는 추가적인 지원이나 계정 복구 절차를 안내해 줄 것입니다.
각 서비스 제공자의 정책과 절차는 다를 수 있으므로, 해당 서비스의 고객센터나 도움말 섹션을 참조하는 것이 가장 정확합니다.</t>
  </si>
  <si>
    <t>SQG002</t>
  </si>
  <si>
    <t>온나라 문서 과제카드를 잘못 지정하였습니다. 변경 가능할까요?</t>
  </si>
  <si>
    <t>온나라 시스템에서 문서의 과제카드를 잘못 지정한 후 수정하거나 변경할 수 있는지, 가능하다면 어떤 절차로 처리해야 하나요?</t>
  </si>
  <si>
    <t>온나라시스템에서 과제카드를 잘못 지정했을 경우, “재편철(과제카드 재지정)” 절차를 통해 변경이 가능합니다. 해당 절차는 다음과 같습니다.
온나라시스템에 접속합니다.
“처리한 문서” 메뉴로 이동합니다.
“완료문서” 탭에서 해당 문서를 선택합니다.
문서의 제목을 클릭하여 문서관리카드 보기 화면으로 이동합니다.
“과제카드 변경” 버튼을 클릭합니다.
변경할 새로운 과제카드를 선택합니다.
변경 내용을 확인한 후 “확인” 버튼을 클릭하여 과제카드를 재지정합니다.
이 절차를 통해 과제카드를 잘못 지정된 경우 올바르게 변경할 수 있습니다.</t>
  </si>
  <si>
    <t>ㆍ438_2502_통합민원과_업무메뉴얼_통합민원과_기록관리_업무편람기정너.pdf (p.44)
https://busanai.busan.go.kr/download/438_2502_통합민원과_업무메뉴얼_통합민원과_기록관리_업무편람기정너.pdf</t>
  </si>
  <si>
    <t>온나라시스템에서 과제카드를 잘못 지정했을 경우, “재편철(과제카드 재지정)” 절차를 통해 변경이 가능합니다. 해당 절차는 다음과 같습니다.
 온나라시스템에 접속합니다.
 “처리한 문서” 메뉴로 이동합니다.
 “완료문서” 탭에서 해당 문서를 선택합니다.
 문서의 제목을 클릭하여 문서관리카드 보기 화면으로 이동합니다.
 “과제카드 변경” 버튼을 클릭합니다.
 변경할 새로운 과제카드를 선택합니다.
 변경 내용을 확인한 후 “확인” 버튼을 클릭하여 과제카드를 재지정합니다.
 이 절차를 통해 과제카드를 잘못 지정된 경우 올바르게 변경할 수 있습니다.</t>
  </si>
  <si>
    <t>44</t>
  </si>
  <si>
    <t>5. 온나라시스템의 기록물 정리
 ➊ 재편철(과제카드 재지정) : 과제카드 오류지정 시
  온나라 &gt; 처리한 문서 &gt; 완료문서 &gt; 재편철할 기록물건 제목 클릭 &gt; 문서관리카드[보기] &gt; 과제카드 변경버튼
 ( ) 클릭 &gt; 변경할 과제카드 선택 &gt; 확인 버튼 클릭</t>
  </si>
  <si>
    <t>SQG015</t>
  </si>
  <si>
    <t>차세대지방재정 업무그룹에 각각 어떤 권한이 부여되어 있는지 알려주세요</t>
  </si>
  <si>
    <t>차세대지방재정관리시스템(e호조, 이호조)에서 각 업무그룹별로 부여되는 권한은 어떻게 구성되어 있으며, 그룹별로 사용할 수 있는 기능 차이는 무엇인가요?</t>
  </si>
  <si>
    <t>차세대지방재정 시스템의 업무그룹별 권한 부여 내역은 다음과 같습니다.
관리자 그룹: 시스템 전체 관리 및 운영, 사용자 권한 관리, 시스템 설정 및 설정 변경, 데이터 백업 및 복구, 시스템 로그 및 모니터링
사용자 관리 그룹: 사용자 등록, 권한 부여 및 관리, 사용자 정보 수정 및 삭제, 사용자별 권한 설정
재정 관리 그룹: 예산 편성 및 관리, 지출 관리, 세입 관리, 재정 보고서 생성 및 관리, 재정 데이터 분석 및 보고
회계 관리 그룹: 회계 처리 및 관리, 재무 보고서 생성 및 관리, 회계 데이터 분석 및 보고, 회계 감사 및 검토
보고서 및 분석 그룹: 재정 보고서 생성 및 관리, 데이터 분석 및 시각화, 보고서 배포 및 공유, 데이터 추출 및 변환
통계 및 분석 그룹: 통계 데이터 생성 및 관리, 데이터 분석 및 시각화, 통계 보고서 생성 및 관리, 데이터 추출 및 변환
이러한 권한 부여 내역은 시스템의 안정성과 보안을 유지하기 위해 각 그룹의 역할과 책임에 따라 세분화되어 있습니다.</t>
  </si>
  <si>
    <t>관련 근거 문서가 없습니다.
해당 내용에 대한 검증이 어렵습니다(차세대지방재정의 경우 관련 업무 담당자만
권한 보유)
근거 문서가 없기 때문에 근거 문서가 없으니 자세한 사항은 관련 부사나 업무 담당자에게 문의~ 라는 식의 멘트가 필요할 것 같습니다</t>
  </si>
  <si>
    <t>장기재직휴가 기준과 사용 방법을 알려주세요. 장기재직휴가 사용 요건이 되면 인사랑에 자동 반영될까요?</t>
  </si>
  <si>
    <t>장기재직휴가의 부여 기준과 사용 방법은 어떻게 되나요? 또한 장기재직휴가 사용 요건 충족 시 인사랑 시스템에 자동으로 반영되는지 여부도 알려주세요</t>
  </si>
  <si>
    <t>장기재직휴가 기준은 재직기간에 따라 10년 이상 20년 미만인 경우 10일, 20년 이상 30년 미만인 경우 20일, 30년 이상인 경우 25일입니다. 사용 방법은 소속 부서장의 승인을 거쳐 인사부서에 신청하고, 업무 대행자의 지정, 업무의 인수·인계 등 필요한 조치를 취해야 합니다. 장기재직휴가 사용 요건을 충족하면 인사랑 시스템에 자동으로 반영됩니다.</t>
  </si>
  <si>
    <t>근거 오류입니다.
기관에 대한 입력이 없으면 기본적으로 부산시 우선입니다.
부산시 우선 &gt; 상위기관 순이고
하위기관은 따로 프롬프트에 입력할때만 답변 근거로 사용하시면 됩니다.
그게 아니면 없는 자료로 취급해야합니다.
해당 질의에 대한 답변 문서는 [붙임 1]장기재직휴가 시행지침 개정전문인데 학습자료 미제출자료입니다.
 - 2 세부 시행지침 내용 참고
기대답변(미제출자료 포함해서 답변 생성)
1. 장기재직 사용방법
  가. 복무시스템 승인 및 실시(휴가 희망직원 ⇒ 부서장)
    - 차세대인사랑(복무관리시스템) 상 결재를 득한 후 휴가 실시
       * 휴가신청 시 차세대인사랑 등록방법 
         √ 휴가구분 : 연가외휴가관리 - 특별휴가 - ‘장기재직휴가’로 등록
         √ 휴가사유 : [예시] ‘(금회) 20년차 1회 5일, (잔여일수) 20일
    - 부서장은 휴가 기간 중 업무대행자 지정 등 확인 후 승인
       * 주요 현안 등 업무 공백이 우려될 경우 휴가 조정 등
  나. 업무에 지장이 없는 범위 내에서 부서장* 책임 하 실시
     - 휴가 시작일 기준 1주일 전 승인(차세대인사랑 복무 승인) 후 실시
  다. 재직기간 별 해당 기간 내 반드시 사용
  라. 휴가 기간은 2일 이상 분할사용 가능
    - 최소 2일 이상 사용
  마. 부서 현원의 1/3 이내로 휴가대상자 선정
  바. 장기간 휴가사용을 위해 연가 연계사용 권장
2. 장기재직휴가 대상 : 재직기간 5년 이상인 공무원부터
3. 재직기간별 휴가 일수
 - 5년~9년 : 5일
 - 10년~19년 : 10일
 - 20년~29년 : 25일
 - 30년 이상 : 25일</t>
  </si>
  <si>
    <t>1. 장기재직 사용방법
  가. 복무시스템 승인 및 실시(휴가 희망직원 ⇒ 부서장)
  - 차세대인사랑(복무관리시스템) 상 결재를 득한 후 휴가 실시
  * 휴가신청 시 차세대인사랑 등록방법 
  √ 휴가구분 : 연가외휴가관리 - 특별휴가 - ‘장기재직휴가’로 등록
  √ 휴가사유 : [예시] ‘(금회) 20년차 1회 5일, (잔여일수) 20일
  - 부서장은 휴가 기간 중 업무대행자 지정 등 확인 후 승인
  * 주요 현안 등 업무 공백이 우려될 경우 휴가 조정 등
  나. 업무에 지장이 없는 범위 내에서 부서장* 책임 하 실시
  - 휴가 시작일 기준 1주일 전 승인(차세대인사랑 복무 승인) 후 실시
  다. 재직기간 별 해당 기간 내 반드시 사용
  라. 휴가 기간은 2일 이상 분할사용 가능
  - 최소 2일 이상 사용
  마. 부서 현원의 1/3 이내로 휴가대상자 선정
  바. 장기간 휴가사용을 위해 연가 연계사용 권장
 2. 장기재직휴가 대상 : 재직기간 5년 이상인 공무원부터
 3. 재직기간별 휴가 일수
  - 5년~9년 : 5일
  - 10년~19년 : 10일
  - 20년~29년 : 25일
  - 30년 이상 : 25일</t>
  </si>
  <si>
    <t>SQG007</t>
  </si>
  <si>
    <t>공무원 및 공무직 직원복지지원시스템 사용 방법을 알려주세요.</t>
  </si>
  <si>
    <t>공무원 및 공무직 직원복지지원시스템 접속 방법과 이용 절차에 대해 알려주세요.</t>
  </si>
  <si>
    <t>공무원 및 공무직 직원복지지원시스템 사용 방법은 신청서 제출, 시설 이용, 증빙서류 제출, 지원금 입금입니다.
관련내용은 다음과 같습니다.
신청서 제출: 당첨된 공무원은 3월 14일까지 신청서를 제출해야 합니다.
시설 이용: 당첨된 공무원은 국내 휴양시설(호텔, 펜션, 리조트, 콘도 등)을 예약하고 이용해야 합니다. 이때, 반드시 공무원 본인이 숙박해야 하며, 본인 숙박 확인이 안될 경우 지원이 불가합니다.
증빙서류 제출: 시설 이용 후, 본인 카드 영수증 또는 현금영수증 및 본인 이용 인증자료(시설명 확인 가능한 사진)를 시스템에 등록하여 제출해야 합니다. 제출 마감일은 12월 10일까지입니다.
지원금 입금: 인사과에서 청구 자료를 확인한 후, 개인 계좌로 일괄 입금하며, 입금 시기는 익월 10일 이내입니다.
유의사항으로는 부부 공무원이 모두 당첨된 경우 1인만 지원해야 하며, 휴양시설 이용 시 당첨자 본인이 동행하지 않을 경우 이용료가 지원되지 않습니다. 적발 시 향후 휴양시설 이용이 배제될 수 있으니 주의가 필요합니다.</t>
  </si>
  <si>
    <t>ㆍ288_2501_인사과_기타_인사과_2025년_휴양시설_이용_지원_계획.pdf (p.2)
https://busanai.busan.go.kr/download/288_2501_인사과_기타_인사과_2025년_휴양시설_이용_지원_계획.pdf</t>
  </si>
  <si>
    <t>관련문서
 - 인사과 직원복지지원시스템 사용방법 안내(장례비) 1~5P
 - 인사과 직원복지지원시스템 신청방법(휴양시설 이용 지원) 1~5P
기대답변
사용방법
① 행정포털 하단 개인서비스→ ’직원복지지원’ 클릭
② 복지지원 프로그램 배너 → 프로그램 조회 → ‘신청’ 클릭
③ 상세지원 내역(유의사항) 및 첨부파일 확인 후 ‘신청’ 클릭
④ 해당서식 작성 및 첨부파일 업로드 후 등록 클릭
⑤ 신청처리 현황 목록에서 진행상태 확인
파견, 휴직자, 시의원 등 행정포털 미사용자(공무원)는 각 부서관리자(서무)가 신청</t>
  </si>
  <si>
    <t>사용방법
 ① 행정포털 하단 개인서비스→ ’직원복지지원’ 클릭
 ② 복지지원 프로그램 배너 → 프로그램 조회 → ‘신청’ 클릭
 ③ 상세지원 내역(유의사항) 및 첨부파일 확인 후 ‘신청’ 클릭
 ④ 해당서식 작성 및 첨부파일 업로드 후 등록 클릭
 ⑤ 신청처리 현황 목록에서 진행상태 확인
 파견, 휴직자, 시의원 등 행정포털 미사용자(공무원)는 각 부서관리자(서무)가 신청</t>
  </si>
  <si>
    <r>
      <rPr>
        <rFont val="&quot;맑은 고딕&quot;"/>
        <color rgb="FF0432FF"/>
        <sz val="11.0"/>
      </rPr>
      <t xml:space="preserve">&gt;&gt;&gt; 각 페이지별로 몇 글자가 많지 않으며, 최대 5개의 청크만 전달하는 점 등을 고려해 꼭 필요한 경우 별도로 정리한 문서의 형태를 새롭게 만들어야 할것 같습니다. 아래는 파일 하나의 내용을 가져왔습니다.
</t>
    </r>
    <r>
      <rPr>
        <rFont val="&quot;맑은 고딕&quot;"/>
        <color rgb="FF00FF00"/>
        <sz val="11.0"/>
      </rPr>
      <t xml:space="preserve"> 
 &gt;&gt; 간단한 질문 FAQ에 해당 내용 정리 요청
 </t>
    </r>
    <r>
      <rPr>
        <rFont val="&quot;맑은 고딕&quot;"/>
        <color rgb="FF000000"/>
        <sz val="11.0"/>
      </rPr>
      <t xml:space="preserve">
 본문 전체 내용 참조(글자만)
 (파일명)
 '300_2502_인사과_업무매뉴얼_인사과_직원복지지원시스템_사용방법_안내장례비.pdf'
 (1page)
 후생복지 프로그램 신청방법 안내
 □ 유의사항
 - 파견, 휴직자, 시의원 등 행정포털 미사용자(공무원)는 각 부서관리자(서무)가 신청
 □ 진행 절차
 ① 행정포털 하단 개인서비스→ ’직원복지지원’ 클릭
 (2page)
 ② 복지지원 프로그램 배너 → 프로그램 조회 → ‘신청’ 클릭
 (3page)
 ③ 상세지원 내역(유의사항) 및 첨부파일 확인 후 ‘신청’ 클릭
 (4page)
 ④ 해당서식 작성 및 첨부파일 업로드 후 등록 클릭
 (5page)
 ⑤ 신청처리 현황 목록에서 진행상태 확인
 ⑥ 인사과(담당자) 확인 후 지원금 지급(매월 초)</t>
    </r>
  </si>
  <si>
    <t>SQG025</t>
  </si>
  <si>
    <r>
      <rPr>
        <rFont val="맑은 고딕"/>
        <b/>
        <color theme="1"/>
        <sz val="11.0"/>
      </rPr>
      <t>300_2502_인사과_업무매뉴얼_인사과_직원복지지원시스템_사용방법_안내장례비.pdf [1-5]</t>
    </r>
    <r>
      <rPr>
        <rFont val="맑은 고딕"/>
        <color theme="1"/>
        <sz val="11.0"/>
      </rPr>
      <t xml:space="preserve">
-----
</t>
    </r>
    <r>
      <rPr>
        <rFont val="맑은 고딕"/>
        <color rgb="FFFF0000"/>
        <sz val="11.0"/>
      </rPr>
      <t xml:space="preserve">[문서 페이지가 다 나눠져 있음.]
</t>
    </r>
    <r>
      <rPr>
        <rFont val="맑은 고딕"/>
        <color theme="1"/>
        <sz val="11.0"/>
      </rPr>
      <t xml:space="preserve">후생복지 프로그램 신청방법 안내□ 유의사항
- 파견, 휴직자, 시의원 등 행정포털 미사용자(공무원)는 각 부서관리자(서무)가 신청□ 진행 절차
① 행정포털 하단 개인서비스→ ’직원복지지원’ 클릭
② 복지지원 프로그램 배너 → 프로그램 조회 → ‘신청’ 클릭
③ 상세지원 내역(유의사항) 및 첨부파일 확인 후 ‘신청’ 클릭
④ 해당서식 작성 및 첨부파일 업로드 후 등록 클릭
⑤ 신청처리 현황 목록에서 진행상태 확인
</t>
    </r>
  </si>
  <si>
    <r>
      <rPr>
        <rFont val="맑은 고딕"/>
        <b/>
        <color theme="1"/>
        <sz val="11.0"/>
      </rPr>
      <t xml:space="preserve">301_2502_인사과_업무매뉴얼_인사과_직원복지지원시스템_신청방법휴양시설_이용_지원.pdf[1-5]
</t>
    </r>
    <r>
      <rPr>
        <rFont val="맑은 고딕"/>
        <color theme="1"/>
        <sz val="11.0"/>
      </rPr>
      <t xml:space="preserve">-----
</t>
    </r>
    <r>
      <rPr>
        <rFont val="맑은 고딕"/>
        <color rgb="FFFF0000"/>
        <sz val="11.0"/>
      </rPr>
      <t xml:space="preserve">[문서 페이지가 다 나눠져 있음]
</t>
    </r>
    <r>
      <rPr>
        <rFont val="맑은 고딕"/>
        <color theme="1"/>
        <sz val="11.0"/>
      </rPr>
      <t xml:space="preserve">
후생복지 프로그램 신청방법 안내(공무원)
□ 유의사항
- 청원경찰(행정포털 미사용자) : [붙임파일1] 휴양시설 이용 지원 신청서(공문제출)
□ 진행 절차(공무원)
① 행정포털 하단 개인서비스→ ’직원복지지원’ 클릭
② 복지지원 프로그램 배너 → 프로그램 조회 → ‘신청’ 클릭
③ 상세지원 내역(유의사항) 및 첨부파일 확인 후 ‘신청’ 클릭
④ 해당서식 작성 및 첨부파일 업로드 후 등록 클릭
※ 1. 직무, 연락처, 지급계좌, 배우자 공무원 여부 선택 등 작성
2. 이용기간, 휴양시설명, 첨부파일 내역은 당첨 후 지원금신청시 작성
⑤ 신청처리 현황 목록에서 진행상태 확인
⑥ 지원 대상자 선정·공문통보 : ’25. 3. 31.(월)한
</t>
    </r>
  </si>
  <si>
    <t>업무추진비 집행 기준을 알려주세요</t>
  </si>
  <si>
    <t>업무추진비를 집행할 때 적용해야 하는 기준과 필수 증빙 요건은 무엇인가요?</t>
  </si>
  <si>
    <t>업무추진비 집행 기준은 업무추진비 집행 기본 원칙, 업무추진비 개요, 업무추진비 집행 시 주의사항으로 구성되어 있습니다.
관련내용은 다음과 같습니다.
업무추진비 집행 기본 원칙
열거주의: 시책과 기관에 따라 구체적인 사용 범위가 정해져 있습니다.
사실에 입각한 품의 서류 및 집행내역 증빙: 정해진 금액을 초과하는 경우에는 품의 서류와 집행 내역을 증빙해야 합니다.
접대비/3백만 원 미만 물품은 카드 집행: 업무추진을 위한 접대성 경비 집행 또는 물품 구입은 신용카드 중 클린카드로 집행해야 합니다.
건당 50만 원 이상의 경우 주된 상대방의 소속 및 성명을 증빙서류에 반드시 기재해야 합니다.
업무추진비 개요
정의: 사업추진에 특별히 소요되는 접대비, 연회비, 기타 제경비 및 업무협의, 간담회 등 각 기관의 기본적인 운영을 위하여 소요되는 경비 등을 말합니다.
업무추진비 집행 시 주의사항
규정된 집행대상 범위 준수: 업무추진비는 지방자치단체 세출예산 집행기준을 준용하며, 집행목적, 일시, 장소, 집행대상 등을 증빙서류에 기재하여 사용 용도를 명확히 해야 합니다.
지방자치단체 구매카드 사용: 집행품의 금액 한도 내에서 신용카드를 사용하고, 비목별 예산액을 초과하여 사용하지 않도록 관리해야 합니다.
사후 품의로 결재받아 지출하지 않도록 주의: 예산집행의 절차적 정당성과 투명성을 확보하기 위해 사전 품의를 통해 결재를 받고 지출해야 합니다.
이러한 기준을 준수하여 업무추진비를 집행함으로써 투명하고 효율적인 예산 운용이 가능해집니다.</t>
  </si>
  <si>
    <t>ㆍ1125_압축2025년_부산문화재단_규정집2025227.pdf (p.511)
https://busanai.busan.go.kr/download/1125_압축2025년_부산문화재단_규정집2025227.pdf
ㆍ84112_2024년_상반기_출연기관_감사보고서.pdf (p.116)
https://busanai.busan.go.kr/download/84112_2024년_상반기_출연기관_감사보고서.pdf</t>
  </si>
  <si>
    <r>
      <rPr>
        <rFont val="Malgun Gothic"/>
        <color theme="1"/>
        <sz val="11.0"/>
      </rPr>
      <t>근거자료, 내용 오류입니다.
이전에도 말씀드렸다시피
어떠한 기관(산하 공기업, 공공기관 등)에 대해 명확하게 지칭을 하지 않으면
일반적으로는 부산시청에 대한 자료를 우선적으로 찾아야 합니다.
부산시 자료가 없다면 상위기관의 자료를 참고하시면 됩니다.
회계재산담당관 일반지출 절차 및 삭제 파일의 127~128P에 해당 내용이 나와있습니다.
기대답변
① 집행대상 및 범위
지방자치단체 : 기관운영업무추진비(203-01), 시책추진업무추진비(203-03)
지방의회 : 의정운영공통경비(205-05), 의회운영업무추진비(205-06)가 대상임
② 직무활동별 집행 가능 항목
- 이재민 및 불우소외계층 지원: 재난</t>
    </r>
    <r>
      <rPr>
        <rFont val="Tahoma"/>
        <color theme="1"/>
        <sz val="11.0"/>
      </rPr>
      <t>‧</t>
    </r>
    <r>
      <rPr>
        <rFont val="맑은 고딕"/>
        <color theme="1"/>
        <sz val="11.0"/>
      </rPr>
      <t>사고 피해자, 유가족, 복구종사자 격려금품 및 식사 제공
- 시책·지역홍보: 언론관계자 대상 특산품 제공, 협약식 기념품, 내방객 기념품 등
- 현장근무자 격려: 재난현장, 공공행사 등 현장 근무자 격려금품 및 식사 제공
- 국제교류 및 유관기관 협력: 외빈, 자매결연도시, 타 기관 방문자 등에 대한 기념품</t>
    </r>
    <r>
      <rPr>
        <rFont val="Tahoma"/>
        <color theme="1"/>
        <sz val="11.0"/>
      </rPr>
      <t>‧</t>
    </r>
    <r>
      <rPr>
        <rFont val="맑은 고딕"/>
        <color theme="1"/>
        <sz val="11.0"/>
      </rPr>
      <t>식사 제공
- 의례적 행위: 기관장 취임·퇴임, 국경일 행사 시 화환·화분 등 의례적 제공
- 내방객 다과·음료, 축의</t>
    </r>
    <r>
      <rPr>
        <rFont val="Tahoma"/>
        <color theme="1"/>
        <sz val="11.0"/>
      </rPr>
      <t>‧</t>
    </r>
    <r>
      <rPr>
        <rFont val="맑은 고딕"/>
        <color theme="1"/>
        <sz val="11.0"/>
      </rPr>
      <t>부의금품(지자체장 한정) 등 직무수행 관련 통상적 경비</t>
    </r>
  </si>
  <si>
    <t>① 집행대상 및 범위
 지방자치단체 : 기관운영업무추진비(203-01), 시책추진업무추진비(203-03)
 지방의회 : 의정운영공통경비(205-05), 의회운영업무추진비(205-06)가 대상임
 ② 직무활동별 집행 가능 항목
 - 이재민 및 불우소외계층 지원: 재난‧사고 피해자, 유가족, 복구종사자 격려금품 및 식사 제공
 - 시책·지역홍보: 언론관계자 대상 특산품 제공, 협약식 기념품, 내방객 기념품 등
 - 현장근무자 격려: 재난현장, 공공행사 등 현장 근무자 격려금품 및 식사 제공
 - 국제교류 및 유관기관 협력: 외빈, 자매결연도시, 타 기관 방문자 등에 대한 기념품‧식사 제공
 - 의례적 행위: 기관장 취임·퇴임, 국경일 행사 시 화환·화분 등 의례적 제공
 - 내방객 다과·음료, 축의‧부의금품(지자체장 한정) 등 직무수행 관련 통상적 경비</t>
  </si>
  <si>
    <t>127, 128</t>
  </si>
  <si>
    <t>업무추진비 직무활동 코드
 - 지방자치단체의 장 등 업무추진비 집행대상 직무활동 범위(제3조 제1항 관련)
 대상예산과목 : 203-01 (기관운영업무추진비), 203-03 (시책추진업무추진비)
 업무추진비 직무활동
 코드내역 지방자치단체 업무추진비 집행에 관한규칙 별표1
 이재민
 및
 불우소
 외계층
 타지역 재난사고 격
 려금품‧ 식사 1. 이재민
 및 불우소
 외계층에
 대한 격려
 및 지원
 가. 다른 지역에서 재난·사고가 발생한 경우 이재민 또는 피해
 자에 대한 격려금품 지급 및 식사(다과·주류를 포함한다. 이하 같다) 제공
 관할구역 재난사고
 격려금품‧식사
 나. 해당 지방자치단체 관할 구역에서 재난·사고가 발생한 경우
 이재민, 피해자 및 그 유가족, 재난복구 종사자 등에 대한
 격려금품 지급 및 식사 제공
 공직선거법112조2항
 3호
 다. 해당 지방자치단체 관할 구역에서 「공직선거법」 제112조제
 2항제3호에 따른 구호적 또는 자선적 행위
 시책
 또는
 지역홍
 보
 언론관계자 지역특산
 품
 2. 시책 또
 는 지역
 홍보
 가. 해당 지역특산품 홍보를 위하여 언론관계자에게 의례적인
 수준의 특산품 제공
 협약식 기념품‧식사 나. 다른 기관·단체와의 협약식에 따른 기념품증정 또는 교환, 관계자에게 식사제공
 내방객 기념품 다. 내방객(일반민원인은 제외한다)에게 의례적인 수준의 기념품
 지급
 언론관계자 간담회
 식사
 라. 해당 지방자치단체 시책사업 홍보를 위하여 언론관계자 간
 담회를 개최할 경우 식사 제공
 체육활
 동
 유공자
 등
 대표선수 격려금품‧식
 사
 3. 학술·문
 화예술·체
 육활동 유
 공자 등에
 대한 격려
 및 지원
 가. 해당 지방자치단체의 대표선수 또는 그 지방자치단체의 관
 할구역에 주소를 둔 사람이 올림픽대회, 월드컵대회, 세계선
 수권대회, 아시아경기대회, 전국체육대회, 시·도체육대회에
 선수로 출전하거나 그 밖에 그 지방자치단체를 대표하여 선
 수로 출전하는 경우 해당 선수에게 격려금품 지급 및 식사
 제공
 공연‧행사 현장 종사
 자 격려금품‧식사
 나. 공연단, 악단, 영화·연극단,예술단,학술단체,사물놀이단,합창
 단,공공기관,언론기관및시범단체 등이 해당 지방자치단체 관
 할구역에서 공연 또는 행사를 하는 경우 현장 종사자에게
 격려금품 지급 및 식사제공
 농어촌일손돕기ㆍ
 불우소외계층 봉사자
 격려금품ㆍ식사
 다. 지역사회를 위하여 자원봉사활동을 하는 자원봉사자·단체·센터
 에 대한 격려금품 지급 및 식사 제공
 회의· 간담회· 행사
 사업추진 관계자 식
 사
 4. 업무추진
 을 위한
 각종 회
 의·간담
 회·행사
 가. 해당 지방자치단체의 시책사업을 추진하고 있거나 추진을
 완료한 사람으로서 사업추진에 기여한 공로가 있거나 원활
 한 사업추진을 위한 격려가 필요하여 사업추진 관계자에게
 식사 제공
 회의 참석자 식사
 나. 해당 지방자치단체가 주최하는 회의 참석자에게 식사 제공. 이 경우 회의는 해당 지방자치단체의 사무 수행을 목적으로
 하며 사전에 구체적인 회의 방법과 참석 범위를 정하여야 한
 다. 행사관계자 기념품
 및 식사
 4. 업무추진
 을 위한
 각종 회
 의·간담
 회·행사
 다. 해당 지방자치단체가 주관하는 직무와 직접 관련된 행사(「공직선거법」 제86조제2항제4호에 따라 제한되는 행사가 아닌
 경우를 말한다) 관계자에게 기념품 지급 및 식사 제공
 국제교류 및 협력증
 진 선물ㆍ식사
 라. 국제 교류 및 협력증진을 위하여 대사, 영사, 교민, 자매결
 연 지방 자치단체 관계자, 외교사절단 또는 외빈에게 선물
 증정 및 식사 제공
 타기관방문자 기념품
 및 식사
 마. 다른 지방자치단체, 국가기관, 공공단체, 민간단체, 학회, 협
 회 또는 해외기관 등이 벤치마킹, 교육, 현지조사·견학 등을
 위하여 해당 지방자치단체를 방문한 경우 그 방문자에게 기
 념품 지급 및 식사 제공
 현업부
 서ㆍ현
 장
 근무자
 타기관 현장근무자
 격려금품
 5. 현업(현
 장)부서
 근무자에
 대한 격려
 가. 군부대, 전투경찰대, 소방서(파출소 포함), 경찰서(지구대 등
 포함), 우체국, 그 밖의 국가기관 및 다른 지방자치단체에서
 종사하는 현업(현장) 근무자를</t>
  </si>
  <si>
    <t>(정답이 아닌 문서 청크 5개가 0.99점 이상으로 높아서 정답이 아닌 문서를 끌어내리거나 검색이 안되게끔 하는 방법 필요)</t>
  </si>
  <si>
    <t>SQG013</t>
  </si>
  <si>
    <t>[청크 데이터 확인 필요]</t>
  </si>
  <si>
    <t>국민신문고 민원 처리 과정 알려주세요</t>
  </si>
  <si>
    <t>국민신문고로 접수된 민원이 어떤 절차와 기준에 따라 처리되는지 매뉴얼을 어디에서 확인할 수 있나요?</t>
  </si>
  <si>
    <t>국민신문고를 통해 접수된 민원의 처리 과정은 접수, 검토, 처리, 결과 통보의 단계로 이루어집니다.
관련내용은 다음과 같습니다.
접수: 민원인은 국민신문고 웹사이트, 모바일 앱, 우편/팩스, 전화를 통해 민원을 신청합니다. 온라인이 99%의 비중을 차지하며, 국민신문고 내에는 연장, 추가답변, 만족도와 관련된 필드가 존재합니다.
검토: 접수된 민원은 담당 부서로 전달되어 검토됩니다. 이 과정에서 민원 내용의 적절성, 처리 가능 여부, 우선순위 등이 평가됩니다.
처리: 검토를 마친 민원은 지정된 부서에서 처리됩니다. 처리 과정에서는 민원인의 요구사항에 따라 필요한 조치가 취해지며, 처리 일시는 평균 43.75자로 비교적 빠르게 처리됩니다.
결과 통보: 처리가 완료되면 민원인에게 결과 통보가 이루어집니다. 국민신문고에서는 반복민원 최초 종결처리 시 문자나 메일로 자동으로 통지됩니다.
이러한 과정을 통해 국민신문고를 통한 민원 처리가 이루어지며, 민원인의 요구사항에 따라 적절한 조치가 취해집니다.</t>
  </si>
  <si>
    <t>ㆍ166_2502_빅데이터과_정책연구용역보고서_부산광역시_부산시정_업무_맞춤형_통합민원_분석_요약보고서.pdf (p.11)
https://busanai.busan.go.kr/download/166_2502_빅데이터과_정책연구용역보고서_부산광역시_부산시정_업무_맞춤형_통합민원_분석_요약보고서.pdf</t>
  </si>
  <si>
    <t>근거 자료 오류로 인한 내용 오류입니다.
근거자료는 민원에 대한 데이터 분석 보고서로
실제 국민신문고 민원이 들어왔을때 담당자가 처리 하는 방법에 대한 질의로 판단됩니다.
해당 질의에 대한 근거 문서는 없으므로
근거 문서 없을 경우의 답변을 사용해주시면 됩니다.</t>
  </si>
  <si>
    <t>기대답변 :
 ① 국민신문고 또는 기관홈페이지 등을 통해 민원인이 민원을 신청한다.
 ② 민원인은 반드시 처리를 원하는 기관을 지정하여 민원을 신청해야 한다. 기관 선택 방법은 시스템에서 추천하는 처리기관을 선택하거나, 민원인이 직접 희망하는 기관 을 입력, 검색하여 선택하는 두가지 방식이 제공된다.
 ③ 신청된 민원이 우리 기관 소관사항일 경우 민원을 접수․처리하고, 소관사항이 아니거나 다수기관에서 처리해야 될 민원이라고 판단되면 이송, 다부처지정 또는 총괄기관(권익위)로 조정요청을 한다.
 ④ 처리기관의 분류담당자는 처리부서를 단계적으로 지정한다. 부서 자동분류 기능을 활용하면 신청단계에서 처리부서를 자동으로 배정하며, 접수단계에서는 처리부서 추천정보를 제공한다.
 ⑤ 해당민원이 협조처리민원 대상민원이라고 판단될 경우 협조기관 또는 협조부 서를 지정하여 협조처리민원으로 지정한다.
 ⑥ 접수된 민원이 해당부서에서 처리할 민원이면 처리할 담당자를 지정하고, 소관사항이 아니면 부서재지정을 요청한다.
 ⑦ 해당민원이 처리담당자가 처리할 민원이면 해당민원을 처리하고, 소관사항이 아니면 담당자재지정을 요청한다.
 ⑧ 민원인에게 처리결과를 통보한다.
 ⑨ 민원인이 신청한 민원에 대해 처리결과를 확인하고 만족도조사를 한다.</t>
  </si>
  <si>
    <t>1234_국민신문고_사용자지침서_민원_v17.pdf</t>
  </si>
  <si>
    <t>16, 17</t>
  </si>
  <si>
    <t>01 민원업무 개요
 1.1. 민원업무 개요
 ① 국민신문고 또는 기관홈페이지 등을 통해 민원인이 민원을 신청한다.
 ② 민원인은 반드시 처리를 원하는 기관을 지정하여 민원을 신청해야 한다. 기관 선택 방법은 시스템에서 추천하는 처리기관을 선택하거나, 민원인이 직접 희망하는 기관 을 입력, 검색하여 선택하는 두가지 방식이 제공된다.
 ③ 신청된 민원이 우리 기관 소관사항일 경우 민원을 접수․처리하고, 소관사항이 아니거나 다수기관에서 처리해야 될 민원이라고 판단되면 이송, 다부처지정 또는 총괄기관(권익위)로 조정요청을 한다.
 ④ 처리기관의 분류담당자는 처리부서를 단계적으로 지정한다. 부서 자동분류 기능을 활용하면 신청단계에서 처리부서를 자동으로 배정하며, 접수단계에서는 처리부서 추천정보를 제공한다.
 ⑤ 해당민원이 협조처리민원 대상민원이라고 판단될 경우 협조기관 또는 협조부 서를 지정하여 협조처리민원으로 지정한다.
 ⑥ 접수된 민원이 해당부서에서 처리할 민원이면 처리할 담당자를 지정하고, 소관사항이 아니면 부서재지정을 요청한다.
 ⑦ 해당민원이 처리담당자가 처리할 민원이면 해당민원을 처리하고, 소관사항이 아니면 담당자재지정을 요청한다.
 ⑧ 민원인에게 처리결과를 통보한다.
 ⑨ 민원인이 신청한 민원에 대해 처리결과를 확인하고 만족도조사를 한다.</t>
  </si>
  <si>
    <t>국민신문고 민원 처리 과정 안내</t>
  </si>
  <si>
    <t>공무원이 이수해야 될 교육 과목 알려주세요</t>
  </si>
  <si>
    <t>공무원이 반드시 이수해야 하는 법정·필수 교육 과목은 무엇인가요?</t>
  </si>
  <si>
    <t>공무원이 이수해야 하는 교육 과목은 부산시 소속 공무원(직속기관, 사업소 포함)을 대상으로 하며, 연간 2시간 이상 이수해야 합니다.
관련내용은 다음과 같습니다.
온라인 교육
KEI 환경정책교육원 부산시 공무원 전용 환경교육페이지 개설
기후변화, 자원순환 등 38개 과목
국가환경교육센터 통합플랫폼 부산시 공무원 맞춤형 교육과정 개설
에너지, 지속가능발전 등 11개 과목
부산시 인재개발원 나라배움터 이러닝 활용
탄소중립, 미세먼지 등 4개 과목
이 교육들은 상시 신청 가능하며, 학습시간 인정 등록을 통해 수료할 수 있습니다.</t>
  </si>
  <si>
    <t>ㆍ10879_부산시_소속_공무원_환경교육_추진계획.pdf (p.3)
https://busanai.busan.go.kr/download/10879_부산시_소속_공무원_환경교육_추진계획.pdf</t>
  </si>
  <si>
    <t>근거자료, 내용 오류입니다.
근거자료는 일부 이수 교육에 대한 정보만 포함되어 있습니다
이수 과목 전체에 대해 정리해둔 내용은 없습니다.
관련 근거가 없을 경우에 표출하는 답변으로(관련 부서나 업무담당자에게 문의~)
제공해주시면 됩니다.</t>
  </si>
  <si>
    <t>전보 이후후 숙지해야할 직원 공통사항을 알려주세요.</t>
  </si>
  <si>
    <t>전보 후 새 부서에서 공통적으로 숙지해야 할 기본 업무·시스템·복무 사항은 무엇인가요?</t>
  </si>
  <si>
    <t>전보 이후 부산시 소속 공무원이 숙지해야 할 직원 공통사항은 다음과 같습니다.
업무 인수인계: 전보된 부서의 업무를 신속하게 파악하고 인수인계 과정을 철저히 진행해야 합니다. 이는 업무의 연속성을 유지하고, 업무 공백을 최소화하는 데 중요합니다.
부서 문화 및 규정 숙지: 새로운 부서의 문화와 규정을 이해하고 적응하는 것이 필요합니다. 부서마다 고유한 업무 방식과 분위기가 있을 수 있으므로, 이를 빠르게 파악하고 적응하는 것이 중요합니다.
소통 및 협업 강화: 새로운 부서에서는 동료들과의 원활한 소통과 협력이 필요합니다. 팀원들과의 관계를 구축하고, 협업의 중요성을 인식하며, 필요한 경우 적극적으로 도움을 요청하는 자세가 필요합니다.
업무 보고 및 문서 작성: 새로운 부서에서의 업무 보고 및 문서 작성 방식을 숙지해야 합니다. 이는 업무 효율성을 높이고, 보고 체계를 원활하게 유지하는 데 도움이 됩니다.
지속적인 학습과 자기 개발: 새로운 부서에서의 업무를 효과적으로 수행하기 위해 지속적인 학습과 자기 개발이 필요합니다. 관련 분야의 최신 정보와 트렌드를 파악하고, 필요한 경우 추가 교육을 받는 것이 좋습니다.
이러한 사항들을 숙지하고 실천함으로써, 전보 이후에도 원활한 업무 수행과 조직 내에서의 빠른 적응이 가능할 것입니다.</t>
  </si>
  <si>
    <t>해당 자료에 대한 근거자료가 없으므로
일반적인 답변 이후 관련 부서나 업무 담당자에게 문의~ 
써주시면 됩니다</t>
  </si>
  <si>
    <t>공무원증 신청 방법 알려줘</t>
  </si>
  <si>
    <t>공무원증을 신규 발급 또는 재발급 받으려면 어떤 절차를 거쳐야 하나요?</t>
  </si>
  <si>
    <t>부산시 소속 공무원의 공무원증 신청 방법은 발급권자 및 규격, 발급·재발급, 휴대 및 반납 등에 관한 사항이 있습니다.
관련내용은 다음과 같습니다.
발급권자 및 규격
공무원증 발급권자: 부산광역시의회 의장
규격: 부산광역시 의회사무처 소속 공무원의 신분을 표시하는 공무원증
발급·재발급
신청 방법: 부산광역시의회 의장에게 신청
신청 서류: 신분증, 신청서 등
발급 절차: 신청서 제출 후 심사 및 발급
휴대 및 반납
휴대: 공무 수행 시 항상 휴대
반납: 퇴직, 전출 등의 사유로 공무원증을 반납해야 할 경우, 부산광역시의회 의장에게 반납
이러한 절차를 통해 부산시 소속 공무원은 공무원증을 신청하고 발급받을 수 있습니다.</t>
  </si>
  <si>
    <t>ㆍ12158_1_부산광역시의회_공무원증_규정-hwp.pdf (p.7)
https://busanai.busan.go.kr/download/12158_1_부산광역시의회_공무원증_규정-hwp.pdf</t>
  </si>
  <si>
    <t>근거자료 오류, 내용 오류입니다.
시의회는 시청 하위기관이므로
해당 자료가 검색이 된다고 해도 없다고 보시면 됩니다.
자료 없을때의 안내멘트 생성해주시면 됩니다.
근거문서 : 인사과 자주찾는 질문 7P
기대답변 
1. 실물 공무원증(플라스틱 카드) 신청 절차
 - 차세대 인사랑시스템(인사마당탭-공무원증신청 메뉴)에서 발급 신청을
합니다.
 - 신청구분은 ‘실물공무원증'을 체크합니다.
 - 부서장 결재 등 내부 승인 절차를 거칩니다.
 - 증명사진을 함께 제출하거나 인사정보에 등록된 사진으로 신청할 수
있습니다.
2. 모바일 공무원증 신청 절차
 - 차세대 인사랑시스템(인사마당탭-공무원증신청 메뉴)에서 발급 신청을
합니다.
 - 신청구분은 ‘모바일 공무원증'을 체크합니다.
 - 부서장 결재 등 내부 승인 절차를 거칩니다.
 - 신청이 완료되면 SMS로 발급 준비 완료 안내가 오고, 안내된 설치
 - URL을 통해 모바일 공무원증 앱을 설치합니다.
 - 앱에서 본인 확인 및 비밀번호 설정 후 사용이 가능합니다.
 - 모바일 공무원증으로 청사출입은 현재 불가능합니다.
3. 소요 기간
 - 실물 및 모바일 공무원증 모두 신청 후 수령까지 약 3~4주가 소요됩니다.
 - 실제로는 기관 사정에 따라 3주보다 더 오래 걸릴 수 있습니다.</t>
  </si>
  <si>
    <t>사전초과 신청 등록은 해놨으나 미결재 상태에서, 사후초과 등록 처리가 안되는데 해결방법이 어떻게 되나요?</t>
  </si>
  <si>
    <t>사전초과 신청을 등록했으나 결재가 완료되지 않은 상태에서 사후초과 등록이 불가능할 때, 이를 처리하거나 해결하는 방법은 무엇인가요?</t>
  </si>
  <si>
    <t>사전초과 신청을 등록했으나 미결재 상태에서 사후초과 등록 처리가 되지 않는 경우, 다음과 같은 방법으로 해결할 수 있습니다.
시스템 확인: 해당 시스템이 현재 정상적으로 작동하는지 확인합니다. 시스템 오류나 일시적인 장애로 인해 처리가 지연될 수 있습니다.
관리자 문의: 시스템 관리자나 담당 부서에 문의하여 상황을 설명하고 해결 방법을 요청합니다. 관리자는 시스템 오류를 수정하거나 필요한 조치를 취할 수 있습니다.
재시도: 시스템이 정상적으로 작동하는 경우, 다시 시도해보는 것도 하나의 방법입니다. 때로는 일시적인 오류로 인해 처리가 지연될 수 있습니다.
문서 확인: 사전초과 신청과 사후초과 등록에 필요한 모든 문서가 제대로 준비되었는지 확인합니다. 누락된 문서나 오류가 있을 경우 처리가 지연될 수 있습니다.
사용자 매뉴얼 참조: 시스템 사용자 매뉴얼을 참조하여 올바른 절차와 요구사항을 확인합니다. 이를 통해 문제를 해결할 수 있는 단서를 얻을 수 있습니다.
이러한 단계를 통해 문제를 해결할 수 있으며, 만약 문제가 지속된다면 해당 시스템의 고객 지원 센터나 담당 부서에 문의하여 보다 구체적인 도움을 받는 것이 좋습니다.</t>
  </si>
  <si>
    <t>기본적인 초과 신청 관련 매뉴얼은 존재하나
해당 질의처럼 오류나 에러 상태에서의 답변은 없습니다.
문서 상태 확인 &gt;&gt; 이거는 할루시네이션으로 보시면 됩니다.
기대답변 :
사후초과 등록 처리 방법에 대한 관련 문서가 없습니다.
자세한 사항은 관련 부서나 업무 담당자에게 문의하시기 바랍니다.</t>
  </si>
  <si>
    <t>온나라에서 부재자 설정 및 기간은 어떻게 하나요?</t>
  </si>
  <si>
    <t>온나라 시스템에서 부재자 결재자를 설정하고, 설정 기간을 지정하는 방법은 무엇인가요?</t>
  </si>
  <si>
    <t>온나라 시스템에서 부재자 설정 방법과 설정 가능한 기간은 본인이 부재자 설정하는 경우와 서무담당자가 부재자 설정하는 경우로 나뉩니다.
관련내용은 다음과 같습니다.
본인이 부재자 설정하는 경우:
개인 설정 메뉴로 이동합니다.
"개인정보 관리"를 선택합니다.
"부재 설정"을 클릭하여 부재자 설정을 완료합니다.
서무담당자가 부재자 설정하는 경우:
개인 설정 메뉴로 이동합니다.
"부서 관리자"를 선택합니다.
부재자 설정이 필요한 직원의 정보를 확인하고, "부재 설정"을 진행합니다.
부재자 설정 가능한 기간에 대한 정보는 문서에서 직접적으로 언급되지 않았습니다. 일반적으로 부재자 설정은 필요에 따라 수시로 설정할 수 있으며, 특정 기간 동안만 설정하는 제한은 없는 것으로 보입니다. 다만, 시스템이나 기관의 정책 변경에 따라 다를 수 있으므로, 구체적인 기간 관련 정보는 해당 기관의 온나라 시스템 관리자나 서무담당자에게 문의하는 것이 좋습니다.</t>
  </si>
  <si>
    <t>첨부파일이 안나오는데
생성된 내용은 어떠한 문서를 근거로 생성된 자료로 보입니다.
확인 부탁드립니다.
관련문서 
- 온나라 2.0 달라지는 점(정보화정책과) 26p : 부재설정 관련 내용
기대답변
부재자 설정 방법
 - 본인이 부재자 설정하는 경우- [개인설정 &gt; 개인정보관리 &gt; 부재설정]에서 설정 가능
 - 서무담당자가 부재자 설정하는 경우- [개인설정 &gt; 부서관리자]에서 설정 가능</t>
  </si>
  <si>
    <t>부재자 설정 방법
  - 본인이 부재자 설정하는 경우- [개인설정 &gt; 개인정보관리 &gt; 부재설정]에서 설정 가능
  - 서무담당자가 부재자 설정하는 경우- [개인설정 &gt; 부서관리자]에서 설정 가능</t>
  </si>
  <si>
    <t>3. 메모보고
 (1) 질문: 메모보고를 회수할 수 있습니까?
 답변: 미열람한 메모는 회수 가능합니다. 다만, 메모보고를 수신인이 조회했을 경우 불가능합니다. 4. 유통문서
 (1) 질문: 접수 시 ‘업무관리자(선람)’ 기능이 보이지 않습니다. 답변: ‘행정업무의 운영 및 혁신에 관한 규정’ 준수를 위해 ‘업무관리자(선람)’ 기능이 삭제되었습니다. 필요 시 ‘공람’ 기능을 활용하시기 바랍니다.
 (2) 질문: 키워드 자동배부 또는 키워드 자동접수 사용 시 키워드를 일괄등록할 수 있습니까?
 답변: 가능합니다. (배부함/접수대기함 &gt; [export]로 서식 다운로드 &gt; 키워드 입력 후 저장 &gt; [import]로 업로드)
 (3) 질문: 부서장 서명인이 보이지 않습니다. 답변: 부서의 부서장을 설정하시기 바랍니다.
 ([개인설정 &gt; 부서관리자] 에서 부서장 설정 가능)
 5. 기타
 (1) 질문: 온나라 2.0 시스템 아이디 또는 비밀번호가 기억나지 않습니다. 답변: 부서 관리자 (서무담당자), 또는 기관관리자 를 통하여 비밀번호 초기화 가능합니다.
 ([개인설정 &gt; 부서관리자]에서 비밀번호 초기화)
 (2) 질문: 비밀번호를 5번 틀려서 로그인이 안됩니다. 답변: 부서 관리자 (서무담당자), 또는 기관관리자 를 통하여 로그인 금지해제 가능합니다.
 ([개인설정 &gt; 부서관리자]에서 로그인 금지해제)
 (3) 질문: 자동으로 로그아웃 됩니다. 답변: 초기화면에서 [나의알림]버튼을 클릭해 활성화시킨 후 업무하시기 바랍니다. 활성화된 [나의알림]버튼은 재클릭하면 비활성화되니 참고 바랍니다.
 (4) 질문: [내 문서함]에 스크랩한 문서도 전환 시 이관됩니까?
 답변: [내 문서함]은 삭제되어 이관되지 않습니다. MyPage &gt; [정리함]으로 기능이 대체되므로 향후 [정리함]을 이용하시기 바랍니다.
 (5) 질문: 부재자 설정은 어떻게 합니까?
 답변: 본인이 부재자 설정하는 경우- [개인설정 &gt; 개인정보관리 &gt; 부재설정]에서 설정 가능
 서무담당자가 부재자 설정하는 경우- [개인설정 &gt; 부서관리자]에서 설정 가능
 (6) 질문: 결재대기함에서 문서처리 시 결재 비밀번호를 물어보는데 어디서 설정할 수 있습니까?
 답변: [개인 환경설정 &gt; 결재 비밀번호] 메뉴에서 결재 비밀번호를 설정 할 수 있습니다.</t>
  </si>
  <si>
    <t>온나라 2.0 전환 이후 자주 발생하는 오류에 대한 사례집 및 질문과 답변, 온나라 2.0 FAQ, 온나라 시스템 부재 설정 방법</t>
  </si>
  <si>
    <t>SQG004</t>
  </si>
  <si>
    <t>홈페이지 배너 어떻게 바꾸나요?</t>
  </si>
  <si>
    <t>시청 홈페이지의 배너를 변경하려면 어떤 절차와 권한을 통해 진행해야 하나요?</t>
  </si>
  <si>
    <t xml:space="preserve">부산시청 홈페이지 배너를 변경하는 방법은 다음과 같습니다.
1. 부산시청 홈페이지 관리자 페이지에 접속합니다.
2. 관리자 페이지에서 "배너 관리" 메뉴를 찾습니다.
3. 배너 관리 메뉴에서 기존 배너를 삭제하고 새로운 배너를 업로드합니다.
4. 새로운 배너를 설정한 후, 변경 사항을 저장합니다.
이 과정은 부산시청 홈페이지의 관리자 권한이 있는 경우에만 가능합니다. 일반 사용자라면 관리자에게 요청하여 배너 변경을 진행해야 합니다. </t>
  </si>
  <si>
    <t>홈페이지 배너 관련 설명자료가 없습니다.
그래서 내용도 오류입니다. 
근거자료 없을때 멘트 생성해주시면 됩니다.</t>
  </si>
  <si>
    <t>관외출장 등록 및 여비 신청 방법이 어떻게 하나요?</t>
  </si>
  <si>
    <t>관외출장을 등록하고 여비를 신청하려면 어떤 시스템과 절차를 통해 진행해야 하나요?</t>
  </si>
  <si>
    <t>관외출장 등록 및 여비 신청 방법은 출장 계획서 작성, 출장자 선정, 출장 등록, 여비 신청, 출장 후 보고입니다.
관련내용은 다음과 같습니다.
출장 계획서 작성: 출장 목적, 출장 기간, 출장국, 출장자 정보(성명, 한글, 영문, 생년월일, 소속, 직위, 직급), 출장 경비, 기타 사항을 포함한 공무국외출장계획서를 작성합니다.
출장자 선정: 출장자의 담당 업무와 출장 목적의 적합성을 고려하여 필수 인원을 한정하고, 참여자 간의 명확한 업무 분장을 합니다.
출장 등록: 출장 계획서를 제출하여 출장 등록을 합니다. 이때, 출장 목적 수행에 필요한 국가·기관으로 제한되며, 방문국·방문기관과 사전에 협의해야 합니다.
여비 신청: 출장 경비 부담, 출장 경비를 신청합니다. 출장 경비는 최대한 절약하며, 출장 중의 휴대품을 최소한으로 하고 분수에 넘치는 외국 물품을 반입하지 않습니다.
출장 후 보고: 귀국 후 정해진 기일 내에 귀국 보고서를 제출하고 수집 자료를 제출합니다.</t>
  </si>
  <si>
    <t>ㆍ75838_부산광역시_공무국외출장_조례_시행규칙_제정안_입법예고문210305최종-hwp.pdf (p.7, 10)
https://busanai.busan.go.kr/download/75838_부산광역시_공무국외출장_조례_시행규칙_제정안_입법예고문210305최종-hwp.pdf
ㆍ47438_2025년_공무국외출장_기본계획-hwp.pdf (p.11)
https://busanai.busan.go.kr/download/47438_2025년_공무국외출장_기본계획-hwp.pdf</t>
  </si>
  <si>
    <t>내용, 첨부파일 오류입니다.
인사과에서 제공한 출장관리 매뉴얼에 해당 내용이 있습니다.
다만 3등급짜리라서 제목은 텍스트인데
내용은 이미지가 대부분이라
해당 내용에 대해 간략하게만 설명해주고 링크만 제공해주면 될 것 같습니다.</t>
  </si>
  <si>
    <t>기대답변 :
 출장신청에 관한 매뉴얼은 아래 첨부파일을 참고하시기 바립니다.
 링크 : 출장관리 매뉴얼</t>
  </si>
  <si>
    <r>
      <rPr>
        <rFont val="&quot;맑은 고딕&quot;"/>
        <color rgb="FF000000"/>
        <sz val="11.0"/>
      </rPr>
      <t xml:space="preserve">질의문에 출장 신청이란 글자가 같이 들어가 있으면
 해당 매뉴얼을 제공해주면 될 것 같습니다.
</t>
    </r>
    <r>
      <rPr>
        <rFont val="&quot;맑은 고딕&quot;"/>
        <color rgb="FFFF0000"/>
        <sz val="11.0"/>
      </rPr>
      <t xml:space="preserve">&gt;&gt; [25.12.18] 해당 문서의 해당 페이지에서 유의미한 정보는 전부다 이미지로 되어 있어 FAQ 에서 해당 문서를 안내하도록 별도로 처리하는게 맞을것 같습니다.
</t>
    </r>
    <r>
      <rPr>
        <rFont val="&quot;맑은 고딕&quot;"/>
        <color rgb="FF00B050"/>
        <sz val="11.0"/>
      </rPr>
      <t>&gt;&gt; FAQ 처리</t>
    </r>
  </si>
  <si>
    <t>관외출장 시 출장 신청 방법 및 여부 지급 방법에 대한 안내, 관외출장 등록 및 여비 신청 방법 안내</t>
  </si>
  <si>
    <r>
      <rPr>
        <rFont val="맑은 고딕"/>
        <b/>
        <color rgb="FFFF0000"/>
        <sz val="11.0"/>
      </rPr>
      <t xml:space="preserve">268_2405_인사과_업무매뉴얼_행정안전부_출장관리_매뉴얼.pdf[12]
-----
</t>
    </r>
    <r>
      <rPr>
        <rFont val="맑은 고딕"/>
        <color rgb="FFFF0000"/>
        <sz val="11.0"/>
      </rPr>
      <t xml:space="preserve">[문서가 대부분 그림이라 아래 내용 밖에 찾지 못하고 있으며 유사도 아주 낮음]
</t>
    </r>
    <r>
      <rPr>
        <rFont val="맑은 고딕"/>
        <color rgb="FFFF0000"/>
        <sz val="11.0"/>
      </rPr>
      <t xml:space="preserve">
Ⅲ-1-1) 출장관리 &gt; 관외출장 &gt; 출장신청(관외)
</t>
    </r>
  </si>
  <si>
    <t>행정절차에서 초일불산입의 원칙은 어떻게 적용하는 것인가요? 
산입일에는 주말, 공휴일도 포함되는 것인가요? 예시도 알려주세요.</t>
  </si>
  <si>
    <t>행정절차에서 ‘초일불산입 원칙’이 어떤 기준에 따라 적용되며, 기간 계산 시 주말·공휴일을 산입하거나 제외하는 구체적 기준과 대표적인 적용 사례는 무엇인가요?</t>
  </si>
  <si>
    <t>행정절차에서 초일불산입의 원칙은 행정절차의 시작일을 계산할 때 첫 날을 포함하지 않는 원칙을 말합니다. 이는 행정절차의 시작일을 명확히 하여 절차의 진행을 원활하게 하고, 행정절차의 공정성을 확보하기 위한 것입니다.
초일불산입의 원칙 적용
행정절차의 시작일 계산: 행정절차의 시작일은 해당 절차가 실제로 시작되는 날을 의미합니다. 따라서 초일불산입 원칙에 따라 첫 날은 계산에서 제외됩니다.
예외: 다만, 법령에서 특별히 초일을 산입하도록 규정하는 경우에는 초일도 포함될 수 있습니다.
산입일 판단 시 주말 및 공휴일 포함 여부
주말(토요일, 일요일)과 공휴일: 원칙적으로 주말과 공휴일은 산입일에 포함되지 않습니다. 즉, 주말과 공휴일은 행정절차의 시작일을 계산할 때 고려되지 않습니다.
예외: 법령에서 특정 공휴일이나 주말을 포함하여 행정절차를 시작하도록 규정하는 경우에는 해당 공휴일이나 주말도 산입일에 포함될 수 있습니다.
예시:
행정절차 시작일이 화요일인 경우, 월요일은 초일불산입 원칙에 따라 산입되지 않습니다.
만약 해당 주의 화요일이 공휴일이라면, 공휴일도 산입일에 포함되지 않습니다.
만약 해당 주의 화요일이 주말(토요일 또는 일요일)이라면, 주말도 산입일에 포함되지 않습니다.
법령에서 특정 공휴일을 행정절차의 시작일로 명시한 경우, 해당 공휴일은 산입일에 포함됩니다.
이러한 원칙과 예외를 고려하여 행정절차의 시작일을 정확히 판단하는 것이 중요합니다.</t>
  </si>
  <si>
    <t xml:space="preserve">관련 근거 문서가 없습니다
답변 내용 또한 모호하므로
근거자료가 없는 내용은 
관련 부서나 업무 담당자에게 문의바랍니다.
식의 멘트가 필요 할 것 같습니다.
</t>
  </si>
  <si>
    <t>DRM, PC Client 아이디 및 비밀번호를 잊어버렸을 때 해결 방법은?</t>
  </si>
  <si>
    <t>DRM 또는 PC Client 아이디와 비밀번호를 분실했을 때, 재설정이나 복구를 위해 어떤 절차를 따라야 하나요?</t>
  </si>
  <si>
    <t>DRM PC Client의 아이디와 비밀번호를 잊어버렸을 때 해결 방법은 다음과 같습니다.
DRM 고객센터에 문의: DRM 고객센터에 연락하여 아이디와 비밀번호를 잊어버렸다고 문의합니다. 고객센터에서는 아이디와 비밀번호를 재설정하거나 복구하는 방법을 안내해 줄 수 있습니다.
이메일 확인: DRM 계정을 만들 때 사용한 이메일 주소를 확인하여, 이메일로 발송된 비밀번호 재설정 링크를 클릭합니다.
계정 복구 요청: DRM 계정을 복구할 수 있는 옵션이 있는지 확인하고, 해당 옵션을 통해 계정을 복구합니다.
보안 질문/답변 확인: 일부 DRM 서비스에서는 보안 질문과 답변을 설정해 두었을 수 있습니다. 이를 통해 계정을 복구할 수 있습니다.
이러한 방법을 통해 DRM PC Client의 아이디와 비밀번호를 찾을 수 있습니다. 만약 위의 방법으로도 해결이 되지 않는다면, DRM 고객센터에 다시 문의하여 도움을 받는 것이 좋습니다.</t>
  </si>
  <si>
    <t>331_2112_정보화정책과_업무매뉴얼_정보화정책과_부서관리자_매뉴얼자료유출방지시스템_DRM_v50_비번초기화.pdf
1284_2512_부산시_업무관련_FAQ문서_20251209.pdf</t>
  </si>
  <si>
    <t>SQG003</t>
  </si>
  <si>
    <t>업무추진비 집행을 위해서 확인해야할 규정은 무엇인가요? 그리고 업추비별 특성 및 사용가능내역 알려주세요.</t>
  </si>
  <si>
    <t>업무추진비를 집행할 때 반드시 확인해야 하는 관련 규정은 무엇이며, 항목별 특성과 사용 가능 내역은 어떻게 되나요?</t>
  </si>
  <si>
    <t>업무추진비 집행을 위해 확인해야 할 부산광역시 관련 규정은 지방자치단체 회계관리에 관한 훈령, 지방자치단체 업무추진비 집행에 관한 규칙, 부산광역시 공공기관의 출연금, 전출금 및 위탁사업비 정산에 관한 조례, 공공기관 출연금, 전출금 및 위탁사업비 정산 업무 처리 지침입니다.
관련 규정은 다음과 같습니다.
지방자치단체 회계관리에 관한 훈령: 업무추진비란 사업추진에 특별히 소요되는 연회비, 기타 제경비 및 업무협의, 간담회 등 각 기관의 기본적인 운영을 위하여 소요되는 경비 등을 말합니다.
지방자치단체 업무추진비 집행에 관한 규칙: 업무추진비 집행의 기준과 절차 등을 규정하고 있습니다.
부산광역시 공공기관의 출연금, 전출금 및 위탁사업비 정산에 관한 조례: 업무추진비 사용 관행을 개선하고 투명한 집행을 위해 특별한 사유가 없는 한 관련 규정을 준용하도록 규정하고 있습니다.
공공기관 출연금, 전출금 및 위탁사업비 정산 업무 처리 지침: 업무추진비 항목 중 운영비, 회의비는 15% 범위 내에서 사용이 가능하다고 명시하고 있습니다.
각 업무추진비 항목별 특성과 사용 가능한 내역은 다음과 같습니다.
운영비: 예술단의 기본적인 운영에 필요한 경비로 사용 가능하며, 예를 들어 예술단의 사무실 운영, 행정 업무 수행 등에 필요한 경비를 포함합니다.
회의비: 예술단의 회의나 간담회 등에 소요되는 경비로 사용 가능하며, 회의 참석자 식사비, 음료수, 다과비 등이 포함됩니다.
간접비 사용 제한: 업무추진비 항목 중 간접비 중에서도 법인회계 전출금, 부채상환금, 잡지출, 예비비로는 사용이 금지되어 있습니다. 다만, 운영비, 회의비는 15% 범위 내에서 사용이 가능합니다.
이러한 규정을 준수하여 업무추진비를 집행함으로써 투명하고 효율적인 예산 운용이 가능해집니다.</t>
  </si>
  <si>
    <t>ㆍ84134_2024년_금정구_종합감사_보고서공개용.pdf (p.49)
https://busanai.busan.go.kr/download/84134_2024년_금정구_종합감사_보고서공개용.pdf
ㆍ84042_2023년_상반기_출연기관_종합감사_결과보고서공개용.pdf (p.190)
https://busanai.busan.go.kr/download/84042_2023년_상반기_출연기관_종합감사_결과보고서공개용.pdf
ㆍ84112_2024년_상반기_출연기관_감사보고서.pdf (p.120)
https://busanai.busan.go.kr/download/84112_2024년_상반기_출연기관_감사보고서.pdf</t>
  </si>
  <si>
    <t>근거자료, 내용 오류입니다.
어떠한 기관(산하 공기업, 공공기관 등)에 대해 명확하게 지칭을 하지 않으면
일반적으로는 부산시청에 대한 자료를 우선적으로 찾아야 합니다.
부산시 자료가 없다면 상위기관의 자료를 참고하시면 됩니다.
회계재산담당관 일반지출 절차 및 삭제 파일의 127~128P에 해당 내용이 나와있습니다.
그 외 미 제출한 파일 중 지방회계법시행령 제64조 하위법령 = 지방자치단체 업무추진비 집행에 관한 규칙과 [별표 1] 지방자치단체의 장 등 업무추진비 집행대상 직무활동 범위 파일 기준으로 답변 작성했습니다.
기대답변
1. 관련 규정 : 지방자치단체 업무추진비 집행에 관한 규칙
2. 집행대상 및 범위
업무추진비는 지방자치단체의 직무 수행을 위해 필요한 범위에서만 사용할 수 있습니다.
주요 사용 가능 항목은 다음과 같습니다.
① 재난이나 사고로 인한 이재민, 피해자, 복구 종사자 등에 대한 격려금품 지급 및 식사 제공
② 시책사업이나 지역특산품, 언론 간담회 등 지역 홍보 관련 행사비
③ 체육·문화·학술 분야 유공자나 자원봉사자에 대한 격려금품 또는 식사 제공
④ 시책사업 추진, 각종 회의·행사·간담회 참석자에 대한 식사 또는 기념품 제공
⑤ 경찰서, 소방서 등 현장 근무자 및 유관기관 현장 종사자 격려
⑥ 소속 직원의 부상·사망 위로, 퇴직 예정자나 평가 우수부서 격려, 비상근무자 위문 등 내부 격려
⑦ 타 기관·단체와의 협의, 공동행사, 퇴임·전출입자에 대한 의례적 선물 제공
⑧ 내방객 다과·음료, 결혼·사망 시 축의·부의금품 등 통상적인 직무 관련 경비
⑨ 조례나 법령에 따라 구체적으로 정해진 경우 등입니다.
이외의 용도나 개인적 목적, 정기적인 금품 지급은 허용되지 않습니다.</t>
  </si>
  <si>
    <t>1. 관련 규정 : 지방자치단체 업무추진비 집행에 관한 규칙
 2. 집행대상 및 범위
 업무추진비는 지방자치단체의 직무 수행을 위해 필요한 범위에서만 사용할 수 있습니다.
 주요 사용 가능 항목은 다음과 같습니다.
 ① 재난이나 사고로 인한 이재민, 피해자, 복구 종사자 등에 대한 격려금품 지급 및 식사 제공
 ② 시책사업이나 지역특산품, 언론 간담회 등 지역 홍보 관련 행사비
 ③ 체육·문화·학술 분야 유공자나 자원봉사자에 대한 격려금품 또는 식사 제공
 ④ 시책사업 추진, 각종 회의·행사·간담회 참석자에 대한 식사 또는 기념품 제공
 ⑤ 경찰서, 소방서 등 현장 근무자 및 유관기관 현장 종사자 격려
 ⑥ 소속 직원의 부상·사망 위로, 퇴직 예정자나 평가 우수부서 격려, 비상근무자 위문 등 내부 격려
 ⑦ 타 기관·단체와의 협의, 공동행사, 퇴임·전출입자에 대한 의례적 선물 제공
 ⑧ 내방객 다과·음료, 결혼·사망 시 축의·부의금품 등 통상적인 직무 관련 경비
 ⑨ 조례나 법령에 따라 구체적으로 정해진 경우 등입니다.
 이외의 용도나 개인적 목적, 정기적인 금품 지급은 허용되지 않습니다.</t>
  </si>
  <si>
    <t>업무추진비 집행 관련 규정 안내, 업무추진비 항목별 특성과 사용 가능 내역 안내</t>
  </si>
  <si>
    <t>SQG014</t>
  </si>
  <si>
    <t>사업소 민원서류 접수 시 행정포털에서 등록하는 방법이 어떻게 되나요?</t>
  </si>
  <si>
    <t>사업소에서 민원서류를 접수할 때, 행정포털에서 접수등록·대장관리·배부까지 처리하는 절차와 화면별 입력 단계는 어떻게 구성되어 있나요?</t>
  </si>
  <si>
    <t>부산광역시 사업소에서 민원 서류를 접수할 때, 행정 포털에서 등록하는 구체적인 방법은 다음과 같습니다.
행정 포털 로그인: 부산광역시 행정 포털에 접속하여 로그인합니다. 이때, 개인 아이디와 비밀번호를 입력합니다.
민원 신청 메뉴 선택: 로그인 후, “민원 신청” 메뉴를 선택합니다.
민원 유형 선택: 접수하고자 하는 민원 유형을 선택합니다. 예를 들어, 주민등록, 건축, 세무 등 다양한 민원 유형이 있습니다.
민원 서류 작성: 선택한 민원 유형에 따라 필요한 서류를 작성합니다. 일부 민원은 온라인으로 직접 입력할 수 있으며, 일부는 파일 첨부 기능이 있습니다.
서류 업로드: 필요한 경우, 관련 서류를 스캔하여 파일로 업로드합니다. 파일 형식은 PDF, JPG 등 일반적으로 허용되는 형식이어야 합니다.
제출 및 확인: 모든 서류를 업로드한 후, 제출 버튼을 클릭하여 민원을 제출합니다. 제출 후에는 접수 확인 페이지에서 민원 접수 번호와 상태를 확인할 수 있습니다.
이 과정을 통해 부산광역시 사업소에서 민원 서류를 온라인으로 접수할 수 있습니다. 각 단계에서 필요한 정보와 서류는 해당 민원 유형에 따라 다를 수 있으니, 사전에 관련 정보를 확인하는 것이 좋습니다.</t>
  </si>
  <si>
    <t>관련 근거 문서가 없습니다.
기대답변 : 
사업소 민원서류를 행정포털에 등록하는 방법에 대한 관련 문서가 없습니다.
자세한 사항은 관련 부서나 업무 담당자에게 문의하시기 바랍니다.</t>
  </si>
  <si>
    <t>사전초과 신청 등록은 해놨으나 미결재 상태에서, 사후초과 등록 처리가 안되는데 조치방법이 어떻게 되나요?</t>
  </si>
  <si>
    <t>사전초과근무 신청이 미결재 상태로 남아 있을 때, 동일 일자에 대한 사후초과 등록이 안되는 문제에 대한 조치 절차는 무엇인가요?</t>
  </si>
  <si>
    <t>사전초과 신청을 등록했으나 미결재 상태에서 사후초과 등록 처리가 되지 않는 경우, 다음과 같은 조치를 취할 수 있습니다.
시스템 확인: 사용 중인 시스템이나 소프트웨어의 버그나 일시적인 오류가 있을 수 있으므로, 시스템 로그를 확인하거나 고객 지원팀에 문의하여 시스템 상태를 점검해 보세요.
재로그인: 시스템에 재로그인을 시도하여 문제가 해결되는지 확인해 보세요.
관리자 권한 확인: 사후초과 등록 권한이 관리자 권한인지 확인하고, 권한이 없다면 관리자에게 요청하여 권한을 부여받으세요.
문서 상태 확인: 사전초과 신청이 정상적으로 등록되었는지, 그리고 결재가 완료되었는지 확인하세요. 결재가 완료되지 않았다면 결재 담당자에게 결재를 요청하세요.
시스템 설정 확인: 시스템 설정에서 사후초과 등록 관련 설정이 올바르게 되어 있는지 확인하세요.
고객 지원팀 문의: 위의 방법으로도 문제가 해결되지 않는다면, 해당 시스템의 고객 지원팀에 문의하여 문제를 해결하세요.
이러한 단계를 통해 문제를 해결할 수 있으며, 각 단계에서 필요한 조치를 취하여 문제를 해결해 나가시기 바랍니다.</t>
  </si>
  <si>
    <t>온나라에서 부재자 설정은 어떻게 하나요?</t>
  </si>
  <si>
    <t>온나라 시스템에서 부재자 설정을 하는 방법과 설정 가능한 기간은 어떻게 되나요?</t>
  </si>
  <si>
    <t>온나라 시스템에서 부재자 신고 설정은 본인이 직접 설정하는 경우와 서무담당자가 설정하는 경우가 있습니다.
관련내용은 다음과 같습니다.
본인이 부재자 설정하는 경우:
개인 설정 메뉴로 이동합니다.
개인정보 관리 항목에서 부재 설정을 선택합니다.
부재자 설정을 원하는 날짜와 시간을 입력하고 저장합니다.
서무담당자가 부재자 설정하는 경우:
개인 설정 메뉴로 이동합니다.
부서 관리자 메뉴를 선택합니다.
부재자 설정이 필요한 직원의 정보를 확인하고 설정합니다.
이 과정을 통해 온나라 시스템에서 부재자 신고를 설정할 수 있습니다.</t>
  </si>
  <si>
    <t>관련문서 
- 온나라 2.0 달라지는 점(정보화정책과) 26p : 부재설정 관련 내용
기대답변
부재자 설정 방법
 - 본인이 부재자 설정하는 경우- [개인설정 &gt; 개인정보관리 &gt; 부재설정]에서 설정 가능
 - 서무담당자가 부재자 설정하는 경우- [개인설정 &gt; 부서관리자]에서 설정 가능</t>
  </si>
  <si>
    <t>시 홈페이지 고시공고 등록하는 방법이 어떻게 되나요?</t>
  </si>
  <si>
    <t>시 홈페이지에 고시·공고를 게시해야 할 때, 담당자가 어떤 시스템에서 어떤 절차로 등록을 완료할 수 있는지에 대한 관련 매뉴얼이 있나요?</t>
  </si>
  <si>
    <t>부산시 홈페이지에 고시공고를 등록하는 방법은 부산시 홈페이지에 접속하여 고시공고 메뉴를 선택하고, 공고문을 작성하여 등록하는 것입니다.
관련내용은 다음과 같습니다.
부산시 홈페이지 접속: 부산시 공식 홈페이지에 접속합니다.
고시공고 메뉴 선택: 홈페이지 내 “고시공고” 또는 “공지사항” 메뉴를 찾아 클릭합니다.
공고문 작성: 공고문 작성 양식을 찾아 공고 내용을 입력합니다. 이때 공고 기간, 내용, 방법 등을 정확히 기재해야 합니다.
등록 및 확인: 공고문을 작성한 후 등록 버튼을 눌러 공고문을 게시합니다. 등록 후에는 공고문이 제대로 게시되었는지 확인합니다.
이러한 절차를 통해 부산시 홈페이지에 고시공고를 등록할 수 있습니다.</t>
  </si>
  <si>
    <t>관련 근거 문서가 없습니다.
기대답변 : 
OO 방법에 대한 관련 문서가 없습니다.
자세한 사항은 관련 부서나 업무 담당자에게 문의하시기 바랍니다.</t>
  </si>
  <si>
    <t>네, 있습니다. 제공하신 문서인 '87_2504_미디어담당관_업무매뉴얼_미디어담당관_매거진운영팀_홍보_요청_절차.pdf’의 페이지 3에는 시 홈페이지에 고시·공고를 등록하는 절차에 대한 상세한 안내가 나와 있어요.
 홈페이지 게재 고시/공고 등록 방법
 경로: 행정포털 &gt; 행정업무 &gt; 공보관리 &gt; 고시/공고 등록(입법예고 등록)
 이 경로를 통해 고시/공고 등록 화면에 접근하실 수 있어요.
 등록 절차:
 내용 입력: 공고날짜, 내용, 공고문, 참고자료 등을 정확하게 입력해주세요.
 결재 완료: 모든 정보가 정확하다면 내부 결재를 진행하여 승인을 받으세요.
 자동 등록: 결재가 완료되면 시스템이 자동으로 홈페이지에 해당 내용이 등록됩니다.
 주의사항:
 시보(공보지) 게재 없이 홈페이지에만 게재할 경우에는 별도의 공문 제출이 필요하지 않습니다.
 만약 연계 기안에 오류가 발생하거나 내용 수정, 첨부 파일 추가 또는 변경, 고시·공고·입법예고의 삭제 등이 필요할 경우에는 담당자인 이승재 님께 연락하시면 됩니다. 연락처는 888-1295입니다.
 추가 정보
 시보(공보지) 게재를 원하시는 경우에는 시보 발행 일정에 맞춰 별도로 절차를 밟으셔야 합니다. 이에 대한 자세한 내용은 같은 매뉴얼의 다른 부분에 설명되어 있을 거예요.
 만약 더 구체적인 도움이나 추가적인 질문이 있으시면 언제든지 말씀해 주세요! 도와드릴 수 있어 기쁩니다.</t>
  </si>
  <si>
    <t>87_2504_미디어담당관_업무매뉴얼_미디어담당관_매거진운영팀_홍보_요청_절차.pdf</t>
  </si>
  <si>
    <t>� 고시공고 등 게재 필요시
 1) 홈페이지 게재
  &gt; 화면 절차 
  &gt; 고시/공고 등록(입법예고 등록) : 채번획득(고시번호) (각 부서)
  &gt; 고시/공고 등록(입법예고 등록) : 공고날짜, 내용, 공고문, 참고자료 등록 (각 부서) 
  &gt; 온나라 : 연계기안 및 결재 (각 부서) 
  &gt; 시 홈페이지 : 결재완료 후 홈페이지 자동등록(각 부서)
  - 자치법규 공포, 훈령·예규 등 발령, 각종 고시·공고 등 게재
 * 경로 : 행정포털 &gt; 행정업무 &gt; 공보관리 &gt; 고시/공고 등록(입법예고 등록)
 - 등록일자 : 홈페이지 채번 시 자동 등록(지정일시)
  * 시보(공보지) 게재 없이 홈페이지에만 게재 등록시 공문 불필요
 - 수기등록(연계 기안 오류발생 시) 요청 및 내용 수정, 첨부파일 추가·
 변경, 고시·공고·입법예고 삭제는 담당자 문의 (담당자이승재888-1295)</t>
  </si>
  <si>
    <t>복무상 특가,병가의 종류와 그에 따른 휴가일수, 챙겨야할 서류 목록 알려주세요</t>
  </si>
  <si>
    <t>지방공무원의 복무상 특가·병가 종류별 부여 일수와 신청 시 제출해야 하는 서류 목록은 무엇인가요?</t>
  </si>
  <si>
    <t>부산광역시 공무원의 복무상 특별 가휴(특가), 병가 종류와 각 종류별 휴가 일수, 그리고 제출해야 할 서류 목록은 다음과 같습니다.
특별휴가
경조사 휴가: 구분, 일수
출산, 입양, 사망 관련 휴가: 구분, 일수
본인 결혼 휴가: 사유 발생일부터 90일 이내
배우자 출산 휴가: 사유 발생일부터 120일 이내, 3회에 한정하여 나누어 사용 가능
사망으로 인한 경조사 휴가: 사유 발생일부터 휴가를 사용할 수 있음
병가
연간 누계 병가 일수가 6일을 초과하거나 7일 이상 연속되는 병가: 진단서 제출 필요
질병 또는 부상으로 인한 지각, 조퇴, 외출의 누계 8시간은 병가 1일로 계산
동일한 사유의 병가는 최초 제출한 진단서로 갈음 가능
코로나19 관련 병가: 공무원 본인 또는 가족이 코로나19 환자, 격리자 등이었음을 증빙할 수 있는 서류 제출 필요
제출 서류: 진단서, 격리·치료기간 동안의 증빙 서류
이러한 규정들은 공무원의 복무 관리와 건강 보호를 위해 마련된 것으로, 각 상황에 맞는 적절한 서류 제출과 휴가 사용이 필요합니다.</t>
  </si>
  <si>
    <t>ㆍ84126_2024년_건설안전시험사업소_종합감사_보고서공개용.pdf (p.87)
https://busanai.busan.go.kr/download/84126_2024년_건설안전시험사업소_종합감사_보고서공개용.pdf
ㆍ84052_2023년_서구_종합감사_보고서.pdf (p.18)
https://busanai.busan.go.kr/download/84052_2023년_서구_종합감사_보고서.pdf
ㆍ47816_최종2025년_사회복지법인시설_업무가이드.pdf (p.289)
https://busanai.busan.go.kr/download/47816_최종2025년_사회복지법인시설_업무가이드.pdf</t>
  </si>
  <si>
    <r>
      <rPr>
        <rFont val="Malgun Gothic"/>
        <color theme="1"/>
        <sz val="11.0"/>
      </rPr>
      <t xml:space="preserve">근거자료 오류입니다.
해당 근거자료는 자치법규 조례 중 부산광역시 공무원 복무 조례에 해당 내용이 있습니다.
특별휴가 : 제 15조, 별표3
병가 : 병가는 관련 근거자료가 따로 없습니다.
 - 해당 답변에 대해 제대로 된 답변을 하려면 제출된 자료가 아닌 </t>
    </r>
    <r>
      <rPr>
        <rFont val="맑은 고딕"/>
        <color rgb="FFFF0000"/>
        <sz val="11.0"/>
      </rPr>
      <t>지방공무원 복무규정 제7조의5(병가) 제7조의7(특별휴가), 지방공무원 복무에 관한 예규</t>
    </r>
    <r>
      <rPr>
        <rFont val="맑은 고딕"/>
        <color theme="1"/>
        <sz val="11.0"/>
      </rPr>
      <t xml:space="preserve"> 확인이 필요합니다.
 - 해당 답변에서 어려운 점은 일단 부산시 규정 먼저 확인 한 후 관련 내용이 없으면 상위 규정을 확인해서 답변을 생성해야 합니다. : 특별휴가 임산부 등
 - 또한 같은 내용이 있지만 휴가 일수가 다르다거나 조건이 다르면 부산시 규정을 우선 적용해야합니다. : 특별휴가 경조사별 일수
기대답변 (지방공무원 복무규정, 예규 포함)
특별휴가 : 
① 경조사나 그 외 특별한 일이 있을때 
② 지방자치단체의 장과 지방의회의 의장은 소속 공무원이 결혼하거나 그 밖의 경조사가 있는 경우에는 경조사휴가를 주어야 한다. 
 - 경조사별 휴가일수(부산시 기준) : 결혼(본인) 5일, 결혼(자녀) 1일, 출산(배우자) 10일, 둘 이상 출산일경우 15일, 입양(본인) 20일, 사망(배우자, 본인 및 배우자의 부모) 5일, 사망(본인 및 배우자의 조부모</t>
    </r>
    <r>
      <rPr>
        <rFont val="Tahoma"/>
        <color theme="1"/>
        <sz val="11.0"/>
      </rPr>
      <t>․</t>
    </r>
    <r>
      <rPr>
        <rFont val="맑은 고딕"/>
        <color theme="1"/>
        <sz val="11.0"/>
      </rPr>
      <t>외조부모, 자녀와 그 자녀의 배우자, 본인 및 배우자의 형제자매와 그 형제자매의 배우자) 3일, 사망(본인 및 배우자의 부모의 형제자매와 그 형제자매의 배우자) 1일
③ 임신 중인 공무원은 출산 전과 출산 후를 통하여 90일(미숙아를 출산한 경우에는 100일, 한 번에 둘 이상의 자녀를 임신한 경우에는 120일)의 출산휴가를 사용할 수 있으며, 출산 후의 휴가기간이 45일(한 번에 둘 이상의 자녀를 임신한 경우에는 60일) 이상이 되도록 해야 한다. 다만, 임신 중인 공무원은 다음 각 호의 어느 하나에 해당하는 사유로 출산휴가를 신청하는 경우에는 출산 전 어느 때라도 최장 44일(한 번에 둘 이상의 자녀를 임신한 경우에는 59일)의 범위에서 출산휴가를 나누어 사용할 수 있다. 
 1. 임신 중인 공무원이 유산(「모자보건법」 제14조제1항에 따라 허용되는 경우 외의 인공임신중절에 의한 유산은 제외한다. 이하 제3호를 제외하고 같다)ㆍ사산의 경험이 있는 경우
 2. 임신 중인 공무원이 출산휴가를 신청할 당시 연령이 40세 이상인 경우
 3. 임신 중인 공무원이 유산ㆍ사산 또는 조산(早産)의 위험이 있다는 의료기관의 진단서를 제출한 경우
④ 유산하거나 사산한 여성공무원은 다음 각 호의 기준에 따라 유산휴가 또는 사산휴가를 사용할 수 있다.
 1. 임신기간이 15주 이내인 경우: 유산 또는 사산한 날부터 10일까지
 2. 임신기간이 16주 이상 21주 이내인 경우: 유산 또는 사산한 날부터 30일까지
 3. 임신기간이 22주 이상 27주 이내인 경우: 유산 또는 사산한 날부터 60일까지
 4. 임신기간이 28주 이상인 경우: 유산 또는 사산한 날부터 90일까지
⑤ 남성공무원은 배우자가 유산하거나 사산한 경우 제4항 각 호의 구분에 따른 기간 중 3일의 유산휴가 또는 사산휴가를 사용할 수 있다. 
⑥ 인공수정 또는 체외수정 등 난임치료 시술을 받는 공무원은 다음 각 호의 구분에 따라 난임치료시술휴가를 사용할 수 있다. 
 1. 여성공무원: 다음 각 목의 어느 하나에 해당하는 경우 해당 목에서 정한 기간  
  가. 인공수정 등 시술을 받는 경우: 총 2일(시술 당일에 1일과 시술일 전날, 시술일 후 2일 이내이거나 시술 관련 진료일 중에 1일)
  나. 동결 보존된 배아를 이식하는 체외수정 시술을 받는 경우: 총 3일(시술 당일에 1일과 시술일 전날, 시술일 후 2일 이내이거나 시술 관련 진료일 중에 2일)
  다. 난자 채취를 하여 체외수정 시술을 받는 경우: 총 4일(난자 채취일에 1일, 시술 당일에 1일과 시술일 전날, 난자 채취일 전날, 시술일 후 2일 이내, 난자 채취일 후 2일 이내이거나 시술 관련 진료일 중에 2일)
 2. 남성공무원: 정자 채취일에 1일
⑦ 임신 중인 여성공무원은 1일 2시간의 범위에서 휴식이나 병원 진료 등을 위한 모성보호시간을 사용할 수 있다. 이 경우 지방자치단체의 장과 지방의회의 의장은 임신 후 12주 이내 또는 32주 이후에 있는 여성공무원이 모성보호시간의 사용을 신청하면 이를 허가해야 한다. 
⑧ 8세 이하 또는 초등학교 2학년 이하의 자녀를 가진 공무원은 36개월의 범위에서 자녀돌봄, 육아 등을 위한 1일 최대 2시간의 육아시간을 사용할 수 있다. 
⑨ 공무원은 다음 각 호의 어느 하나에 해당하는 경우 연간 10일의 범위에서 가족돌봄휴가를 사용할 수 있다. 
 1. 「영유아보육법」에 따른 어린이집, 「유아교육법」에 따른 유치원 및 「초ㆍ중등교육법」 제2조 각 호의 학교(이하 이 항에서 “어린이집등”이라 한다)의 휴업ㆍ휴원ㆍ휴교 및 그 밖에 이에 준하는 사유로 자녀 또는 손자녀를 돌봐야 하는 경우
 2. 자녀 또는 손자녀가 다니는 어린이집등의 공식 행사 또는 교사와의 상담에 참여하는 경우
 3. 미성년자이거나 「장애인복지법」 제2조제2항에 따른 장애인(이하 이 조에서 “장애인”이라 한다)인 자녀ㆍ손자녀의 병원 진료(「국민건강보험법」 제52조에 따른 건강검진 또는 「감염병의 예방 및 관리에 관한 법률」 제24조 및 제25조에 따른 예방접종을 포함한다)에 동행하는 경우
 4. 질병, 사고, 노령 등의 사유로 조부모, 외조부모, 부모(배우자의 부모를 포함한다), 배우자, 자녀 또는 손자녀를 돌봐야 하는 경우
⑩ 제9항에 따른 가족돌봄휴가는 무급으로 하되, 자녀(같은 항 제4호의 경우에는 미성년자 또는 장애인인 자녀로 한정한다)를 돌보기 위한 가족돌봄휴가는 해당 공무원의 자녀(제9항제1호에 따른 어린이집등에 재학 중이거나 미성년인 자녀 또는 장애인인 자녀를 말한다)수에 1을 더한 일수까지를 연간 유급휴가 일수로 한다. 다만, 장애인인 자녀가 있는 공무원 또는 「한부모가족지원법」 제4조제1호의 모 또는 부에 해당하는 공무원의 경우에는 본문에 따른 연간 유급휴가 일수에 1일을 더한 일수까지 연간 유급휴가 일수로 한다. 
⑪ 여성공무원은 생리기간 중 휴식을 위해 매월 1일의 여성보건휴가를 사용할 수 있다. 이 경우 여성보건휴가는 무급으로 한다. 
⑫ 여성공무원은 임신기간 중 검진을 위해 10일의 범위에서 임신검진휴가를 사용할 수 있다. 
⑬ 「재난 및 안전관리 기본법」 제3조제1호에 따른 재난으로 피해[배우자, 부모(배우자의 부모를 포함한다) 또는 자녀가 입은 피해를 포함한다. 이하 이 항에서 같다]를 입은 공무원과 재난 발생 지역에서 자원봉사활동을 하려는 공무원은 5일(같은 법 제14조제1항에 따른 대규모 재난으로 피해를 입은 공무원으로서 장기간 피해 수습이 필요하다고 소속 지방자치단체의 장이나 지방의회의 의장이 인정하는 경우에는 10일) 이내의 재해구호휴가를 받을 수 있다. 
⑭ 지방자치단체의 장과 지방의회의 의장은 소속 공무원이 다음 각 호의 요건을 모두 충족하는 경우 4일의 범위에서 심리상담, 진료 및 휴식을 위한 심리안정휴가를 줄 수 있다. 
 1. 「공무원 재해보상법」 제5조제1호 및 제6호부터 제11호까지에 해당하는 직무를 수행하는 과정에서 인명피해가 있는 사건ㆍ사고를 경험했을 것
 2. 제1호에 따른 인명피해가 있는 사건ㆍ사고의 경험으로 인해 심리적 안정과 정신적 회복이 필요하다고 인정될 것
⑮ 남성공무원은 배우자의 임신기간 중 검진에 동행하기 위해 10일의 범위에서 임신검진 동행휴가를 사용할 수 있다.
병가 : 
① 질병 또는 부상으로 직무를 수행할 수 없는 경우 또는 감염병에 걸려 다른 공무원의 건강에 영향을 미칠 우려가 있을 때 부여받는 휴가
연 60일의 범위에서 병가를 허가할 수 있다. 이 경우 질병이나 부상으로 인한 지각ㆍ조퇴 및 외출은 누계 8시간을 병가 1일로 계산하고, 연가 일수에서 빼는 병가는 병가 일수에 산입하지 않는다. 
1. 질병이나 부상으로 인하여 직무를 수행할 수 없을 때
2. 감염병에 걸려 그 공무원의 출근이 다른 공무원의 건강에 영향을 미칠 우려가 있을 때
② 지방자치단체의 장과 지방의회의 의장은 소속 공무원이 공무상 부상등으로 직무를 수행할 수 없거나 요양이 필요할 경우에는 연 180일의 범위에서 병가를 허가할 수 있다. 
③ 병가 일수가 연 6일을 초과하는 경우에는 의사의 진단서를 첨부해야 한다.</t>
    </r>
  </si>
  <si>
    <t>특별휴가 중 경조사 휴가의 경우 부산시 자치법규 중에 경조사 휴가를 따로 지정해둔 항목을 따라야 합니다.
 이러한 부분을 비교해서 작성하기는 어려울 것 같아 지방공무원 예규 상의 특별휴가와 부산시 자치법규 상의 특별휴가에 대해 같이 나열했습니다.
 지방공무원 복무에 관한 예규 관련 특별휴가 : 
 ○ 특별휴가는 복무규정에서 정하는 바에 따르되, 이 복무규정에서 정하지 아니하는 사항은 지방자치단체의 조례로 정하는 바에 따름
 ○ 경조사휴가, 출산 및 유산·사산 휴가, 난임치료시술휴가, 무급 가족돌봄휴가, 여성보건휴가, 재해구호휴가는 일 단위로만 사용할 수 있으며, 해당일에 유연근무제를 활용하지 않도록 사전에 조치하여야 함
 (1) 경조사휴가
  - 결혼 : 본인 5일, 자녀 1일
  - 출산 : 배우자 20일(한번에 둘 이상의 자녀를 출산한 경우에는 25일)
  - 입양 : 본인 20일 &gt; 입양기관의 확인서류
  - 사망 : 본인 및 배우자의 형제, 자매 : 3일
 (2) 출산휴가
  - 출산 전후 90일(출산 후 휴가기간 45일 이상)
  - 미숙아 100일 &gt; 출생증명서 또는 출생보고서, 진단서, 진료비 세부내역서, 입퇴원확인서 등
  - 한번에 둘 이상 자녀 120일(출산 후 휴가기간 60일 이상)
  - 유산 또는 사산한 공무원의 임신기간(이하 “임신기간”이라 한다)이 15주 이내인 경우 : 유산 또는 사산한 날부터 10일까지
  - 임신기간이 16주 이상 21주 이내인 경우 : 유산 또는 사산한 날부터 30일까지
  - 임신기간이 22주 이상 27주 이내인 경우 : 유산 또는 사산한 날부터 60일까지
  - 임신기간이 28주 이상인 경우 : 유산 또는 사산한 날부터 90일까지
  - 유산·사산 휴가일수 계산 : ②∼④의 경우에는 토요일 또는 공휴일 포함하여 사용
  - 배우자가 유산하거나 사산한 경우 남성공무원은 3일의 배우자 유산휴가 또는 사산휴가를 사용할 수 있음
 (3) 난임치료시술휴가
  - 여성공무원의 경우 : 인공수정 등 시술을 받는 경우 2일, 동결 보존된 배아를 이식하는 체외수정 시술을 받는 경우 시술할때마다 총 3일, 난자를 채취하여 체외수정 시술을 받는 경우 시술 할 때마다 총 4일
  - 남성공무원의 경우 : 정자 채취일에 1일
 (4) 모성보호시간
  - 임신 중인 여성공무원 : 1일 2시간의 범위 &gt; 병원에서 발급한 증빙서류(진단서, 임신확인서, 산모수첩 등)
 (5) 육아시간
  - 8세 이하 또는 초등학교 2학년 이하의 자녀를 가진 공무원 : 36개월의 범위에서 1일 2시간 &gt; 병원의 출생증명서 또는 주민등록등본
 (6) 가족돌봄휴가
  - 유급‧무급 포함 연간 총 10일 &gt; 가족관계증명서나 그에 준하는 증빙서류
 (7) 여성보건휴가
  - 여성공무원 : 생리기간 중 매월 1일(무급)
 (8) 임신검진휴가
  - 임신한 여성공무원 : 10일 &gt; 임신확인서 등 제출
 (9) 재해구호휴가
  - 수해·화재·붕괴·폭발 등 재난으로 피해를 입은 공무원 : 5일, 대규모 재난의 경우 10일
  - 재난 발생지역에서 자원봉사활동을 하려는 공무원 : 5일
 (10) 심리안정휴가
  - 중대한 사건 인정 기준 : 사망 또는 중대한 신체 손상 동료 접촉, 그에 준하는 사건 사고
  - 사건사고 발생 후 가급적 1개월 이내 : 4일 범위 &gt; 2일 초과 시 전문가 상담 필요(증빙서류 상담 확인서, 진료 확인서, 관련 예약 확인서)
 (11) 임신검진 동행휴가
  - 남성공무원 : 배우자 임신기간 중 10일 범위 &gt; 가족관계증명서, 임신확인서, 진료내역서 등
 부산광역시 공무원 복무 조례 관련 특별휴가:
 (1) 경조사휴가
  - 결혼 : 본인 5일, 자녀 1일
  - 출산 : 배우자 10일(한번에 둘 이상의 자녀를 출산한 경우에는 15일)
  - 입양 : 본인 20일 &gt; 입양기관의 확인서류
  - 사망 : 배우자, 본인 및 배우자의 부모(5일), 본인 및 배우자의 조부모․외조부모(3일), 자녀와 그 자녀의 배우자(3일), 본인 및 배우자의 형제자매와 그 형제자매의 배우자(3일), 본인 및 배우자의 부모의 형제자매와 그 형제자매의 배우자(1일)
 (2) 한국방송통신대학교 재학 공무원 : 출석수업에 참석하기 위하여 연가일수를 초과하는 출석수업기간에 대한 수업휴가를 사용할 수 있음
 (3) 재직기간이 5년 이상 10년 미만인 5일, 10년 이상 20년 미만 15일, 20년 이상 30년 미만 및 30년 이상 각각 25일
 (4) 군입영 자녀를 입영 당일 1일, 신병훈련수료식 당일 1일
 (5) 남성공무원 : 배우자의 임신검진에 동행 10일 범위
 (6) 9세 이상 10세 이하 또는 초등학교 3학년 이상 초등학교 4학년 이하의 자녀를 가진 공무원 : 12개월의 범위 1일 최대 2시간 학습지도시간 사용 가능
 (7) 탁월한 성과와 공로가 인정되거나 재해·재난 등으로 장기간 격무에 종사하는 공무원 : 7일 이내의 포상휴가 수여 가능
 병가 : 
 연간 누계 6일까지는 진단서의 제출 없이도 병가를 사용할 수 있으나, 7일 이상 연속되는 병가와 병가의 연간 누계가 6일을 초과*하게 되는 경우에는 ｢의료법｣제17조에 의하여 교부된 진단서를 제출하여야 함
 * 병가 전체를 합산하여 연도 중 최초 6일까지만 사전 진단서 제출 없이 병가 사용 가능
 ○ 동일한 사유의 병가는 최초 제출한 진단서로 갈음할 수 있음
 ○ 진단서를 제출하지 못하는 경우에는 연가를 활용
 ○ 동일한 사유 여부는 기관장(허가권자)이 진단서 등의 내용을 감안하여 결정하며, 연가사유의 고의적 병가처리가 발생하지 않도록 하여야 함
 ※ 동일한 사유의 질병임을 검진하기 위한 병가신청시 기관장(허가권자)이 결정하되, 이후 진단서 등을 확인하여야 함</t>
  </si>
  <si>
    <t>1259_지방공무원_복무에_관한_예규_개정안전문_행정안전부_예규_제340호.pdf
1291_162355_부산광역시의회_공무원_복무_조례_별표_3_경조사별_휴가일수표제15조제1항_관련.pdf</t>
  </si>
  <si>
    <t>45, 48
1</t>
  </si>
  <si>
    <r>
      <rPr>
        <rFont val="&quot;맑은 고딕&quot;"/>
        <color rgb="FF0000FF"/>
        <sz val="11.0"/>
      </rPr>
      <t>45페이지 - (1) 병가의 종류별 내용
48페이지 - 라. 특별휴가</t>
    </r>
    <r>
      <rPr>
        <rFont val="&quot;맑은 고딕&quot;"/>
        <color rgb="FF000000"/>
        <sz val="11.0"/>
      </rPr>
      <t xml:space="preserve">
 표 내용 전체 참조 
 -------
 [Top5내 전달 가능한 내용으로 변경 수정 논의 필요]
</t>
    </r>
    <r>
      <rPr>
        <rFont val="&quot;맑은 고딕&quot;"/>
        <color rgb="FF0000FF"/>
        <sz val="11.0"/>
      </rPr>
      <t xml:space="preserve">-&gt; [논의사항 : 12.17] 
참조 조례를 다시 수집하고 하위에 있는 문서들도 추가 수집 진행할지 여부 논의 필요
</t>
    </r>
    <r>
      <rPr>
        <rFont val="&quot;맑은 고딕&quot;"/>
        <color rgb="FF38761D"/>
        <sz val="11.0"/>
      </rPr>
      <t>&gt;&gt; 두번째 문서는 자치법규안에 있는 별표 첨부파일입니다.</t>
    </r>
    <r>
      <rPr>
        <rFont val="&quot;맑은 고딕&quot;"/>
        <color rgb="FF0000FF"/>
        <sz val="11.0"/>
      </rPr>
      <t xml:space="preserve">
&gt;&gt; 자치법규정보시스템에서 해당 법규의 첨부파일들 전체를 수집하고 임베딩 처리</t>
    </r>
  </si>
  <si>
    <r>
      <rPr>
        <rFont val="맑은 고딕"/>
        <b/>
        <color theme="1"/>
        <sz val="11.0"/>
      </rPr>
      <t>1249_지방공무원_복무규정대통령령제35666호20250722.pdf[8, 9]</t>
    </r>
    <r>
      <rPr>
        <rFont val="맑은 고딕"/>
        <color theme="1"/>
        <sz val="11.0"/>
      </rPr>
      <t xml:space="preserve">
-----
</t>
    </r>
    <r>
      <rPr>
        <rFont val="맑은 고딕"/>
        <color rgb="FFFF0000"/>
        <sz val="11.0"/>
      </rPr>
      <t xml:space="preserve">[기대답변은 이 문서가 맞는것 같은데 확인 필요]
</t>
    </r>
    <r>
      <rPr>
        <rFont val="맑은 고딕"/>
        <color theme="1"/>
        <sz val="11.0"/>
      </rPr>
      <t xml:space="preserve">
제7조의7(특별휴가) ① 공무원의 특별휴가는 이 영에서 정하는 바에 따른다. 다만, 이 영에서 정하지 아니하는 사항은
지방자치단체의 조례로 정하는 바에 따른다.
② 지방자치단체의 장과 지방의회의 의장은 소속 공무원이 결혼하거나 그 밖의 경조사가 있는 경우에는 해당 공무
원의 신청에 따라 별표 1의 기준에 따른 경조사휴가를 주어야 한다.&lt;개정 2017. 4. 25., 2021. 11. 30.&gt;
③ 임신 중인 공무원은 출산 전과 출산 후를 통하여 90일(미숙아를 출산한 경우에는 100일, 한 번에 둘 이상의 자녀
를 임신한 경우에는 120일)의 출산휴가를 사용할 수 있으며, 출산 후의 휴가기간이 45일(한 번에 둘 이상의 자녀를
임신한 경우에는 60일) 이상이 되도록 해야 한다. 다만, 임신 중인 공무원은 다음 각 호의 어느 하나에 해당하는 사
유로 출산휴가를 신청하는 경우에는 출산 전 어느 때라도 최장 44일(한 번에 둘 이상의 자녀를 임신한 경우에는
59일)의 범위에서 출산휴가를 나누어 사용할 수 있다.&lt;개정 2014. 6. 30., 2021. 11. 30., 2021. 12. 31., 2023. 7. 18.,
2024. 7. 2., 2025. 2. 11.&gt;
1. 임신 중인 공무원이 유산(「모자보건법」 제14조제1항에 따라 허용되는 경우 외의 인공임신중절에 의한 유산은 제
외한다. 이하 제3호를 제외하고 같다)ㆍ사산의 경험이 있는 경우
2. 임신 중인 공무원이 출산휴가를 신청할 당시 연령이 40세 이상인 경우
3. 임신 중인 공무원이 유산ㆍ사산 또는 조산(早産)의 위험이 있다는 의료기관의 진단서를 제출한 경우
④ 유산하거나 사산한 여성공무원은 다음 각 호의 기준에 따라 유산휴가 또는 사산휴가를 사용할 수 있다.&lt;개정
2014. 6. 30., 2019. 12. 31., 2024. 7. 2.&gt;
1. 임신기간이 15주 이내인 경우: 유산 또는 사산한 날부터 10일까지
2. 임신기간이 16주 이상 21주 이내인 경우: 유산 또는 사산한 날부터 30일까지
3. 임신기간이 22주 이상 27주 이내인 경우: 유산 또는 사산한 날부터 60일까지
4. 임신기간이 28주 이상인 경우: 유산 또는 사산한 날부터 90일까지
⑤ 남성공무원은 배우자가 유산하거나 사산한 경우 제4항 각 호의 구분에 따른 기간 중 3일의 유산휴가 또는 사산
휴가를 사용할 수 있다.&lt;신설 2019. 12. 31., 2021. 11. 30., 2024. 7. 2.&gt;
⑥ 인공수정 또는 체외수정 등 난임치료 시술을 받는 공무원은 다음 각 호의 구분에 따라 난임치료시술휴가를 사용
할 수 있다.&lt;개정 2018. 12. 18., 2019. 12. 31., 2021. 12. 31., 2024. 7. 2.&gt;
1. 여성공무원: 다음 각 목의 어느 하나에 해당하는 경우 해당 목에서 정한 기간
가. 인공수정 등 시술을 받는 경우: 총 2일(시술 당일에 1일과 시술일 전날, 시술일 후 2일 이내이거나 시술 관련
진료일 중에 1일)
나. 동결 보존된 배아를 이식하는 체외수정 시술을 받는 경우: 총 3일(시술 당일에 1일과 시술일 전날, 시술일 후
2일 이내이거나 시술 관련 진료일 중에 2일)
다. 난자 채취를 하여 체외수정 시술을 받는 경우: 총 4일(난자 채취일에 1일, 시술 당일에 1일과 시술일 전날, 난
자 채취일 전날, 시술일 후 2일 이내, 난자 채취일 후 2일 이내이거나 시술 관련 진료일 중에 2일)
법제처 9 국가법령정보센터
지방공무원 복무규정
2. 남성공무원: 정자 채취일에 1일
⑦ 임신 중인 여성공무원은 1일 2시간의 범위에서 휴식이나 병원 진료 등을 위한 모성보호시간을 사용할 수 있다.
이 경우 지방자치단체의 장과 지방의회의 의장은 임신 후 12주 이내 또는 32주 이후에 있는 여성공무원이 모성보호
시간의 사용을 신청하면 이를 허가해야 한다.&lt;신설 2013. 5. 31., 2018. 12. 18., 2019. 12. 31., 2024. 7. 2., 2025. 7.
22.&gt;
⑧ 8세 이하 또는 초등학교 2학년 이하의 자녀를 가진 공무원은 36개월의 범위에서 자녀돌봄, 육아 등을 위한 1일
최대 2시간의 육아시간을 사용할 수 있다.&lt;신설 2017. 4. 25., 2018. 12. 18., 2019. 12. 31., 2024. 7. 2.&gt;
⑨ 공무원은 다음 각 호의 어느 하나에 해당하는 경우 연간 10일의 범위에서 가족돌봄휴가를 사용할 수 있다.&lt;개정
2020. 10. 20., 2024. 7. 2.&gt;
1. 「영유아보육법」에 따른 어린이집, 「유아교육법」에 따른 유치원 및 「초ㆍ중등교육법」 제2조 각 호의 학교(이하
이 항에서 “어린이집등”이라 한다)의 휴업ㆍ휴원ㆍ휴교 및 그 밖에 이에 준하는 사유로 자녀 또는 손자녀를 돌봐
야 하는 경우
2. 자녀 또는 손자녀가 다니는 어린이집등의 공식 행사 또는 교사와의 상담에 참여하는 경우
3. 미성년자이거나 「장애인복지법」 제2조제2항에 따른 장애인(이하 이 조에서 “장애인”이라 한다)인 자녀ㆍ손자녀
의 병원 진료(「국민건강보험법」 제52조에 따른 건강검진 또는 「감염병의 예방 및 관리에 관한 법률」 제24조 및
제25조에 따른 예방접종을 포함한다)에 동행하는 경우
4. 질병, 사고, 노령 등의 사유로 조부모, 외조부모, 부모(배우자의 부모를 포함한다), 배우자, 자녀 또는 손자녀를 돌
봐야 하는 경우
⑩ 제9항에 따른 가족돌봄휴가는 무급으로 하되, 자녀(같은 항 제4호의 경우에는 미성년자 또는 장애인인 자녀로
한정한다)를 돌보기 위한 가족돌봄휴가는 해당 공무원의 자녀(제9항제1호에 따른 어린이집등에 재학 중이거나 미
성년인 자녀 또는 장애인인 자녀를 말한다)수에 1을 더한 일수까지를 연간 유급휴가 일수로 한다. 다만, 장애인인
자녀가 있는 공무원 또는 「한부모가족지원법」 제4조제1호의 모 또는 부에 해당하는 공무원의 경우에는 본문에 따
른 연간 유급휴가 일수에 1일을 더한 일수까지 연간 유급휴가 일수로 한다.&lt;신설 2020. 10. 20., 2024. 7. 2.&gt;
⑪ 여성공무원은 생리기간 중 휴식을 위해 매월 1일의 여성보건휴가를 사용할 수 있다. 이 경우 여성보건휴가는 무
급으로 한다.&lt;신설 2019. 12. 31., 2020. 10. 20., 2024. 7. 2.&gt;
⑫ 여성공무원은 임신기간 중 검진을 위해 10일의 범위에서 임신검진휴가를 사용할 수 있다.&lt;신설 2019. 12. 31.,
2020. 10. 20., 2024. 7. 2.&gt;
⑬ 「재난 및 안전관리 기본법」 제3조제1호에 따른 재난으로 피해[배우자, 부모(배우자의 부모를 포함한다) 또는 자
녀가 입은 피해를 포함한다. 이하 이 항에서 같다]를 입은 공무원과 재난 발생 지역에서 자원봉사활동을 하려는 공
무원은 5일(같은 법 제14조제1항에 따른 대규모 재난으로 피해를 입은 공무원으로서 장기간 피해 수습이 필요하다
고 소속 지방자치단체의 장이나 지방의회의 의장이 인정하는 경우에는 10일) 이내의 재해구호휴가를 받을 수 있다.
&lt;신설 2020. 10. 20., 2021. 11. 30.&gt;
⑭ 지방자치단체의 장과 지방의회의 의장은 소속 공무원이 다음 각 호의 요건을 모두 충족하는 경우 4일의 범위에
서 심리상담, 진료 및 휴식을 위한 심리안정휴가를 줄 수 있다.&lt;신설 2023. 7. 18.&gt;
1. 「공무원 재해보상법」 제5조제1호 및 제6호부터 제11호까지에 해당하는 직무를 수행하는 과정에서 인명피해가
있는 사건ㆍ사고를 경험했을 것
2. 제1호에 따른 인명피해가 있는 사건ㆍ사고의 경험으로 인해 심리적 안정과 정신적 회복이 필요하다고 인정될 것
⑮ 남성공무원은 배우자의 임신기간 중 검진에 동행하기 위해 10일의 범위에서 임신검진 동행휴가를 사용할 수 있
다.&lt;신설 2025. 7. 22.&gt;
[전문개정 2010. 7. 15.]
[제7조의6에서 이동, 종전 제7조의7은 제7조의8로 이동 &lt;2019. 4. 16.&gt;]</t>
    </r>
  </si>
  <si>
    <r>
      <rPr>
        <rFont val="맑은 고딕"/>
        <b/>
        <color theme="1"/>
        <sz val="11.0"/>
      </rPr>
      <t>199_페이지20_문서9_162426_부산광역시_공무원_복무_조례.pdf[2, 3]</t>
    </r>
    <r>
      <rPr>
        <rFont val="맑은 고딕"/>
        <color theme="1"/>
        <sz val="11.0"/>
      </rPr>
      <t xml:space="preserve">
-----
</t>
    </r>
    <r>
      <rPr>
        <rFont val="맑은 고딕"/>
        <color rgb="FFFF0000"/>
        <sz val="11.0"/>
      </rPr>
      <t>[상세 내용이 없음. 최근 문서가 따로 있는지 확인 필요]</t>
    </r>
    <r>
      <rPr>
        <rFont val="맑은 고딕"/>
        <color theme="1"/>
        <sz val="11.0"/>
      </rPr>
      <t xml:space="preserve">
제15조(특별휴가) ① 소속기관장은 소속 공무원이 결혼을 하거나 그 밖의 경조사가 있는 경우에는 해당 공무원의 신청에 따라 별
표 3의 기준에 따른 경조사휴가를 주어야 한다. &lt;개정 2017. 12. 27.&gt;
② 삭제 &lt;2024. 12. 25.&gt;
③ 삭제 &lt;2017. 12. 27.&gt;
④ 한국방송통신대학교에 재학 중인 공무원은 「한국방송통신대학교 설립 및 운영에 관한 법률」에 따른 출석수업에 참석하기 위하
여 연가일수를 초과하는 출석수업기간에 대한 수업휴가를 사용할 수 있다. &lt;개정 2023. 10. 11., 2024. 12. 25.&gt;
⑤ 삭제 &lt;2024. 12. 25.&gt;
⑥ 소속기관장은 재직기간이 5년 이상 10년 미만인 공무원에게 해당 재직기간 중 5일, 10년 이상 20년 미만인 공무원에게 해당 재
직기간 중 15일, 20년 이상 30년 미만 및 30년 이상 재직한 공무원에게는 해당 재직기간 중 각각 25일의 휴가를 허가할 수 있으며,
운영에 필요한 사항은 시장이 따로 정한다. &lt;신설 2015. 1. 1.&gt;, &lt;개정 2020. 1. 1., 2023. 10. 11., 2024. 12. 25.&gt;
⑦ 군입영 자녀를 둔 공무원은 자녀 입영 당일 1일의 휴가와 신병훈련수료식 당일 1일의 휴가를 사용할 수 있다. &lt;신설 2016. 3. 30.
&gt;, &lt;개정 2020. 1. 1., 2024. 12. 25.&gt;
⑧ 남성공무원은 배우자의 임신검진에 동행하기 위하여 10일의 범위에서 임신검진동행휴가를 사용할 수 있다. 다만, 운영에 필요
한 사항은 시장이 따로 정한다. &lt;신설 2024. 12. 25.&gt;
⑨ 9세 이상 10세 이하 또는 초등학교 3학년 이상 초등학교 4학년 이하의 자녀를 가진 공무원은 12개월의 범위에서 초등학교 학습
적응 및 지도 등을 위한 1일 최대 2시간의 학습지도시간을 사용할 수 있다. &lt;신설 2024. 12. 25.&gt;
⑩ 시장은 시정 업무를 성공적으로 수행하여 탁월한 성과와 공로가 인정되거나 재해·재난 등으로 장기간 격무에 종사하는 공무원에
게 7일 이내의 포상휴가를 줄 수 있다. 다만, 포상휴가 대상자의 선정 등에 대한 사항은 시장이 따로 정한다. &lt;신설 2020. 1. 1.&gt;, &lt;
개정 2023. 10. 11., 2024. 12. 25.&gt;</t>
    </r>
  </si>
  <si>
    <t>단체보장보험 세부 보장내용 및 청구방법은 무엇인가요?</t>
  </si>
  <si>
    <t>단체보장보험에서 제공되는 핵심 보장항목과 보험금 청구 절차는 무엇인가요?</t>
  </si>
  <si>
    <t>단체보장보험의 세부 보장내용과 청구 방법은 보험기간, 주관보험사, 보장범위 및 내용, 청구 방법입니다.
관련내용은 다음과 같습니다.
보험기간: 2025년 1월 1일 00시부터 2025년 12월 31일 24시까지 1년간 보장됩니다.
주관보험사: KB손해보험입니다.
단체보험 보장범위 및 내용(직원):
계약기간 동안 업무 중, 업무 외를 불문하고 24시간 보장됩니다.
개인별 타 보험수혜와 관계없이 중복보상되나, 실손의료비는 제외됩니다.
세부내용은 다음과 같습니다.
생명보험: 1억원(재해, 질병 사망)
공무 중 사망: 5천만원
상해보험: 1억원(장해지급률에 따라 차등지급)
암/뇌졸중/심근경색 최초진단: 1천만원
5종 수술비: 1종 7만원 ~ 5종 150만원
대장, 위 폴립진단비: 10만원(1회)
치아치료비(보철): 30만원(임플란트, 브릿지, 틀니 통합 연간 3개 한도)
상해/폭행 위로금: 1백만원
피싱, 해킹, 금융사기: 5백만원 한도(피싱, 해킹, 금융사기로 인한 금전적 손해 보상)
실손의료비(선택항목): 입원 및 통원의료비 통합 3천만원(통원 1회당 15만원 한도)
청구 방법:
청구 가능일: 2025년 1월 24일부터 가능합니다.
청구서 및 청구안내문: 붙임 2, 3을 참고하여 작성합니다.
모바일 청구안내문: 붙임 4를 참고하여 모바일로 청구할 수 있습니다.
이 정보는 제공된 문서를 기반으로 한 내용이며, 구체적인 청구 절차나 필요 서류는 해당 보험사의 안내문을 참고하시기 바랍니다.</t>
  </si>
  <si>
    <t>ㆍ279_2501_인사과_기타_인사과_2025년_맞춤형복지_단체보장보험_가입내용_및_청구방법_안내.pdf (p.1)
https://busanai.busan.go.kr/download/279_2501_인사과_기타_인사과_2025년_맞춤형복지_단체보장보험_가입내용_및_청구방법_안내.pdf</t>
  </si>
  <si>
    <t>내용 이상없음.
청구방법 안내에 붙임파일을 참고하라고 되어 있는데
붙임파일 2,3,4가 추가가 안되어서 확인이 안됩니다.
해당 파일의 내용이 워낙 많아 붙임파일로만 제공할지 고민이 필요해보입니다.</t>
  </si>
  <si>
    <t>단체보장보험의 세부 보장내용과 청구 방법은 보험기간, 주관보험사, 보장범위 및 내용, 청구 방법입니다.
 관련내용은 다음과 같습니다.
 보험기간: 2025년 1월 1일 00시부터 2025년 12월 31일 24시까지 1년간 보장됩니다.
 주관보험사: KB손해보험입니다.
 단체보험 보장범위 및 내용(직원):
 계약기간 동안 업무 중, 업무 외를 불문하고 24시간 보장됩니다.
 개인별 타 보험수혜와 관계없이 중복보상되나, 실손의료비는 제외됩니다.
 세부내용은 다음과 같습니다.
 생명보험: 1억원(재해, 질병 사망)
 공무 중 사망: 5천만원
 상해보험: 1억원(장해지급률에 따라 차등지급)
 암/뇌졸중/심근경색 최초진단: 1천만원
 5종 수술비: 1종 7만원 ~ 5종 150만원
 대장, 위 폴립진단비: 10만원(1회)
 치아치료비(보철): 30만원(임플란트, 브릿지, 틀니 통합 연간 3개 한도)
 상해/폭행 위로금: 1백만원
 피싱, 해킹, 금융사기: 5백만원 한도(피싱, 해킹, 금융사기로 인한 금전적 손해 보상)
 실손의료비(선택항목): 입원 및 통원의료비 통합 3천만원(통원 1회당 15만원 한도)
 청구 방법:
 청구 가능일: 2025년 1월 24일부터 가능합니다.
 청구서 및 청구안내문: 붙임 2, 3을 참고하여 작성합니다.
 모바일 청구안내문: 붙임 4를 참고하여 모바일로 청구할 수 있습니다.
 이 정보는 제공된 문서를 기반으로 한 내용이며, 구체적인 청구 절차나 필요 서류는 해당 보험사의 안내문을 참고하시기 바랍니다.</t>
  </si>
  <si>
    <t xml:space="preserve">BSC 공통지표 점수를 올리기 위해 무엇을 해야할까요?(챙겨야 할게 무엇인지), BSC 청렴도 항목의 점수를 올리려면 어떤 활동을 해야하나요? </t>
  </si>
  <si>
    <t>BSC 공통지표 및 청렴도 항목의 실적을 개선하기 위해 점검 및 관리해야 할 필수 요소들은 무엇이며, 점수 향상을 위해 반드시 수행해야 하는 구체적 행동 기준은 무엇인가요?</t>
  </si>
  <si>
    <t>BSC 공통지표 점수를 향상시키기 위해 다음과 같은 활동을 수행할 수 있습니다.
목표 설정: BSC 공통지표의 각 항목에 대해 명확한 목표를 설정합니다. 이는 지표의 각 영역에 대한 구체적인 기대치를 설정하는 것을 의미합니다.
데이터 수집 및 분석: 지표에 대한 데이터를 수집하고 분석하여 현재 상태를 파악합니다. 이를 통해 개선이 필요한 영역을 식별할 수 있습니다.
전략 수립: 목표 달성을 위한 구체적인 전략을 수립합니다. 이는 각 지표에 대한 구체적인 행동 계획을 포함해야 합니다.
실행 및 모니터링: 수립된 전략을 실행하고, 진행 상황을 지속적으로 모니터링합니다. 이를 통해 계획의 효과를 평가하고 필요한 경우 조정을 할 수 있습니다.
피드백 및 개선: 실행 결과를 분석하고, 필요한 경우 피드백을 반영하여 지속적으로 개선합니다.
BSC 청렴도 항목 점수를 올리기 위해 수행해야 할 활동은 다음과 같습니다.
윤리 교육 및 훈련: 직원들에게 윤리 교육과 훈련을 제공하여 청렴의 중요성을 인식시키고, 청렴한 행동을 촉진합니다.
내부 감사 및 모니터링: 정기적인 내부 감사를 통해 청렴 관련 문제를 식별하고, 이를 해결하기 위한 조치를 취합니다.
청렴 정책 및 절차 수립: 청렴한 업무 환경을 유지하기 위한 정책과 절차를 수립하고, 이를 철저히 준수하도록 합니다.
신고 시스템 구축: 직원들이 청렴 관련 문제를 자유롭게 신고할 수 있는 시스템을 구축하고, 신고된 문제를 신속하게 처리합니다.
성과 평가 반영: 청렴 관련 성과를 성과 평가에 반영하여 청렴한 행동을 장려합니다.
이러한 활동을 통해 BSC 공통지표와 청렴도 항목 점수를 효과적으로 향상시킬 수 있습니다.</t>
  </si>
  <si>
    <t>오늘 구내식당 메뉴를 알 수 있나요?</t>
  </si>
  <si>
    <t>오늘 구내식당의 식단 정보는 어디에서 확인할 수 있으며, 조회 가능한 경로는 무엇인가요?</t>
  </si>
  <si>
    <t xml:space="preserve">부산시청 구내식당의 메뉴는 공개되어 있지 않습니다. 구내식당 메뉴는 매일 변경될 수 있으며, 이는 해당 기관의 사정이나 식재료 수급 상황에 따라 달라질 수 있습니다. 정확한 메뉴 정보를 알고 싶으시다면 부산시청 구내식당이나 관련 부서에 직접 문의하시는 것이 가장 정확합니다. </t>
  </si>
  <si>
    <t>해당 자료는 학습자료로 반영바랍니다.
기대답변 : 
구내식당 메뉴 링크 안내드립니다.
http://99.1.1.29/brd/mywork/?brd_menu_div=1&amp;contsType=list&amp;brd_seq=1268#tabGroup=A#contsType=list#contsUrl=#tabIndex=0#isActive=true#page=1#brd_seq=1268#cate_seq=#brd_nm=%EC%A3%BC%EA%B0%84%EC%8B%9D%EB%8B%A8#brd_typ_cd=1#isRead=#</t>
  </si>
  <si>
    <t>구내식당 메뉴 링크 안내드립니다.
 http://99.1.1.29/brd/mywork/?brd_menu_div=1&amp;contsType=list&amp;brd_seq=1268#tabGroup=A#contsType=list#contsUrl=#tabIndex=0#isActive=true#page=1#brd_seq=1268#cate_seq=#brd_nm=%EC%A3%BC%EA%B0%84%EC%8B%9D%EB%8B%A8#brd_typ_cd=1#isRead=#</t>
  </si>
  <si>
    <t>고정답변처리</t>
  </si>
  <si>
    <t>1285_구내식당_운영가이드.pdf</t>
  </si>
  <si>
    <t>[부산시청 직원구내식당 운영 가이드]
 부산시청 직원식당은 평일 운영되며, 매주 수요일 및 금요일 석식 미운영입니다.
 식사요금은 조식(08:00~09:00) 2,500원, 중식(11:30~13:30) 5,000원, 석식
 (17:30~18:50) 5,000원 이며,
 주간 메뉴는 아래에서 확인 하실 수 있습니다.
 http://99.1.1.29/brd/mywork/?
 brd_menu_div=1&amp;contsType=list&amp;brd_seq=1268#tabGroup=A#contsType=list
 #contsUrl=#tabIndex=0#isActive=true#page=1#brd_seq=1268#cate_seq=#br
 d_nm=%EC%A3%BC%EA%B0%84%EC%8B%9D%EB%8B%A8#brd_typ_cd=1#isRead=#
 * 위 메뉴는 사정에 따라 변경될 수 있습니다.
 * 잔반은 국그릇에 모아서 반납해주시고, 먹을 만큼 음식 담아 주세요! 환경 보호를 위해 잔반
 줄이기 캠페인에 적극 참여 부탁드립니다.
 * 매일 국의 염도를 측정하여 성인의 건강한 염도 기준을 준수하고 있습니다.
 (국/탕류 0.6~0.7%, 찌개류 0.9~1.0%)
 * 부산시청 직원식당은 안전하고 위생적인 식사 제공을 위해 위생점검 및 조리기구 미생물 검사
 (반기별)를 실시하고 있습니다.</t>
  </si>
  <si>
    <t>(고정 답변 처리 완료)</t>
  </si>
  <si>
    <t>행정정보 공동이용 권한 신청은 어떻게 하는것인가요?</t>
  </si>
  <si>
    <t>행정정보공동이용 시스템 권한을 신규로 부여받거나 변경·갱신해야 할 때, 담당자가 따라야 하는 신청 절차는 어떻게 구성되어 있나요?</t>
  </si>
  <si>
    <t>행정정보 공동이용 권한 신청 절차는 신청서 작성, 제출, 승인, 이용 순으로 진행됩니다.
관련내용은 다음과 같습니다.
신청서 작성: 행정정보 공동이용 권한 신청서를 작성합니다. 이 때, 신청하고자 하는 사무명 및 유형을 명확히 기재해야 합니다.
제출: 작성한 신청서를 해당 기관(예: 행정안전부 공공지능정책과)으로 제출합니다.
승인: 기관에서는 신청서를 검토한 후, 승인 여부를 결정합니다. 승인 시에는 공동이용 가능한 행정정보와 그 이용 목적을 명시합니다.
이용: 승인된 행정정보를 이용하여 필요한 업무를 처리합니다.</t>
  </si>
  <si>
    <t>ㆍ430_2408_통합민원과_업무매뉴얼_행정안전부_행정정보공동이용.pdf (p.40)
https://busanai.busan.go.kr/download/430_2408_통합민원과_업무매뉴얼_행정안전부_행정정보공동이용.pdf</t>
  </si>
  <si>
    <t xml:space="preserve">해당 매뉴얼이 맞는데
대부분 글이 아닌 이미지라서 이 파일에서 답변에 관한 내용을 가져오기는
어려워 보입니다.
기대답변 : 
OO 방법에 대한 관련 내용이 없습니다.
자세한 사항은 관련 부서나 업무 담당자에게 문의하시기 바랍니다.
</t>
  </si>
  <si>
    <t>GPKI 재발급 및 인사이동시 이동은 어떻게 하는 것인가요?</t>
  </si>
  <si>
    <t>GPKI 인증서(행정전자서명)를 재발급해야 하거나 인사이동으로 인해 인증서를 다른 PC(컴퓨터)로 옮기는 방법은 무엇인가요?</t>
  </si>
  <si>
    <t>GPKI 재발급과 인사이동 시 GPKI 정보의 이동은 다음과 같은 절차로 처리해야 합니다.
인사이동 전 GPKI 재발급
인사이동 대상자에게 새로운 GPKI 인증서를 발급합니다.
기존 GPKI 인증서는 폐기합니다.
인사이동 후 GPKI 정보 이동
인사이동 대상자의 새로운 GPKI 인증서를 해당 기관의 인증서 관리 시스템에 등록합니다.
해당 기관의 인증서 관리 시스템에서 인사이동 대상자의 인증서를 활성화합니다.
기존 기관의 인증서 관리 시스템에서 인사이동 대상자의 인증서를 비활성화합니다.
이러한 절차를 통해 인사이동 시 GPKI 정보의 이동이 원활하게 이루어질 수 있습니다.</t>
  </si>
  <si>
    <r>
      <rPr>
        <rFont val="Malgun Gothic"/>
        <color theme="1"/>
        <sz val="11.0"/>
      </rPr>
      <t xml:space="preserve">관련 문서는 정보화정책과에서 제출한
행정전자서명 사용자 매뉴얼Ver1.4 입니다.
재발급과 인사이동 시 인증서 이동에 대한 내용은 없습니다.
해당 내용이 있는 파일은 </t>
    </r>
    <r>
      <rPr>
        <rFont val="맑은 고딕"/>
        <color rgb="FFFF0000"/>
        <sz val="11.0"/>
      </rPr>
      <t>행정전자서명(GPKI) 발급 갱신 이동 안내 파일</t>
    </r>
    <r>
      <rPr>
        <rFont val="맑은 고딕"/>
        <color theme="1"/>
        <sz val="11.0"/>
      </rPr>
      <t>인데
해당 파일은 아직 미제출상태입니다.
기대답변 (행정전자서명 발급 갱신 이동 안내 파일 포함)
[행정전자서명 신규, 재발급, 비밀번호 분실 시]
1. 공문 신청(정보화정책과) 
＃기간제 직원 신청시 근무기간 반드시 명시
* 구군은 구군 전산팀,상수도사업본부는경영지원부 정보관리팀, 소방재난본부는 119종합 상황실로 신청
2. 문자메시지 수신 후 gpki.go.kr에 접속하여 인증서 발급
※ 행정망에서만 가능
 - 메뉴: 인증서관리/발급 (구분: 개인용, 행정기관)
 - 기관명: 부산광역시
***14일내 발급 필요, 14일 초과시 재 신청(공문 재발송 필요)***
[행정전자서명 이동]
요약: 행정전자서명 파일 압축하여 내 온메일 또는온톡으로 보내놓기 
→ 사용할 PC에서 온메일 또는 온톡 열어서 저장하기 
★ 온메일 이용시는 행정포털의 로그인계정과 비밀번호(id/pw) 숙지 ★ 
1. (이동전 PC) 행정전자서명 파일을 압축: GPKI폴더 전체 - 행정전자서명 저장위치: C드라이브 /GPKI (폴더전체 압축)
2. (이동전 PC) 온메일 '내게쓰기' 또는 온톡으로 본인에게 압축파일한 파일 보내기
3. (이동후 PC) 온메일 또는 온톡열어서 압축파일 PC저장후 압축풀기
--저장위치:C드라이브 (GPKI폴더 전체가 있어야 됨) * C&amp;GPKI&amp;certificate&amp;class2 폴더내 '본인이름으로 된 파일이 4개' 있는지 확인
※ [class2]만 복사하면 안됨, [GPKI]폴더 전체 복사.</t>
    </r>
  </si>
  <si>
    <t>[행정전자서명 신규, 재발급, 비밀번호 분실 시]
 1. 공문 신청(정보화정책과) 
 ＃기간제 직원 신청시 근무기간 반드시 명시
 * 구군은 구군 전산팀,상수도사업본부는경영지원부 정보관리팀, 소방재난본부는 119종합 상황실로 신청
 2. 문자메시지 수신 후 gpki.go.kr에 접속하여 인증서 발급
 ※ 행정망에서만 가능
  - 메뉴: 인증서관리/발급 (구분: 개인용, 행정기관)
  - 기관명: 부산광역시
 ***14일내 발급 필요, 14일 초과시 재 신청(공문 재발송 필요)***
 [행정전자서명 이동]
 요약: 행정전자서명 파일 압축하여 내 온메일 또는온톡으로 보내놓기 
 → 사용할 PC에서 온메일 또는 온톡 열어서 저장하기 
 ★ 온메일 이용시는 행정포털의 로그인계정과 비밀번호(id/pw) 숙지 ★ 
 1. (이동전 PC) 행정전자서명 파일을 압축: GPKI폴더 전체 - 행정전자서명 저장위치: C드라이브 /GPKI (폴더전체 압축)
 2. (이동전 PC) 온메일 '내게쓰기' 또는 온톡으로 본인에게 압축파일한 파일 보내기
 3. (이동후 PC) 온메일 또는 온톡열어서 압축파일 PC저장후 압축풀기
 --저장위치:C드라이브 (GPKI폴더 전체가 있어야 됨) * C&amp;GPKI&amp;certificate&amp;class2 폴더내 '본인이름으로 된 파일이 4개' 있는지 확인
 ※ [class2]만 복사하면 안됨, [GPKI]폴더 전체 복사.</t>
  </si>
  <si>
    <t>1228_2511_부산광역시_업무매뉴얼_부산광역시_행정전자서명GPKI_발급_갱신_이동_안내.pdf</t>
  </si>
  <si>
    <t>행정전자서명 가입 신청 및 재발급 방법, 행정 전자서명신청방법, GPKI 인사이동시 사용방법, GPKI 비밀번호 분실시 조치 방법, 행정 전자서명 비번 분실시 조치방법, pc 교체시 행정 전자서명 이동 방법, 신규 임용시 행정포털, 행정전사서명 발급 등에 관한 사용 가이드 및 매뉴얼</t>
  </si>
  <si>
    <t>SQG009</t>
  </si>
  <si>
    <t>장기재직 휴가 등록 및 사용 방법이 어떻게 되나요?</t>
  </si>
  <si>
    <t>장기재직 휴가를 인사랑시스템 등록하고 사용하는 절차는 어떻게 되나요?</t>
  </si>
  <si>
    <t>장기재직 휴가 등록 및 사용 방법은 장기재직 휴가 계획서 작성, 원장의 승인, 휴가 사용 순서로 진행됩니다.
관련내용은 다음과 같습니다.
장기재직 휴가 계획서 작성: 휴가 희망자는 "장기재직 휴가 계획서"를 작성해야 합니다. 이 계획서에는 인적 사항과 휴가 계획이 포함되어야 하며, 특히 국외여행 유무를 반드시 기재해야 합니다.
원장의 승인: 작성된 장기재직 휴가 계획서는 소속 부서장의 승인을 거쳐 인사부서에 제출해야 합니다. 이후 원장의 승인을 받아야 합니다. 결재 라인은 팀원 → 팀장 → 인사부서장(협조) → 실/본부장 → 원장입니다.
휴가 사용: 승인을 받은 후, 휴가는 해당 재직 기간 내에 사용해야 하며, 5일 단위로 분할하여 사용할 수 있습니다. 단, 공휴일은 휴가 일수에 산입하지 않습니다.</t>
  </si>
  <si>
    <t>ㆍ1123_압축부산디자인진흥원_규정집2025430_기준.pdf (p.218)
https://busanai.busan.go.kr/download/1123_압축부산디자인진흥원_규정집2025430_기준.pdf
ㆍ1110_압축부산테크노파크_규정집정관_규정_규칙-20253.pdf (p.84)
https://busanai.busan.go.kr/download/1110_압축부산테크노파크_규정집정관_규정_규칙-20253.pdf</t>
  </si>
  <si>
    <t>관외출장 시 신청 방법과 여비는 어떻게 받나요?</t>
  </si>
  <si>
    <t>관외출장을 진행할 때 인사랑시스템에서의 출장 신청 절차, 여비 신청 방법은 어떻게 되나요?</t>
  </si>
  <si>
    <t>관외출장 시 신청 방법과 여비 지급 절차는 다음과 같습니다.
신청 방법
출장 신청: 출장 전에 출장 신청서를 작성하여 소속 부서의 상급자에게 제출합니다.
출장 승인: 소속 부서장의 결재를 받아 출장 명령을 받습니다.
출장 준비: 출장지, 일정, 숙박, 교통편 등을 미리 확인하고 준비합니다.
여비 지급 절차
여비 결제: 출장지에서 "보조금전용카드 등"을 사용하여 운임과 숙박비를 결제합니다. 다만, 출장지에서 "보조금전용카드 등"을 사용할 수 없는 경우, 현금 또는 개인카드 등을 사용하거나 사전에 정액으로 여비를 지급할 수 있습니다.
증거서류 제출: 출장 후 증거서류를 제출해야 합니다. 예를 들어, 간이영수증, 버스승차권, 운임 영수증, 숙박비 및 식비 영수증 등을 제출해야 합니다.
여비 정산: 제출된 증거서류를 바탕으로 여비가 정산되며, 정산된 금액에 따라 여비가 지급됩니다.
여비 지급: 정산된 여비는 출장자의 계좌로 입금됩니다.
이러한 절차를 통해 관외출장 시 필요한 여비를 신청하고 지급받을 수 있습니다.</t>
  </si>
  <si>
    <t>내용 오류입니다.
인사과에서 제공한 출장관리 매뉴얼에 해당 내용이 있습니다.
다만 3등급짜리라서 제목은 텍스트인데
내용은 이미지가 대부분이라
해당 내용에 대해 간략하게만 설명해주고 링크만 제공해주면 될 것 같습니다.
12P부터 있습니다.
기대답변 : 
출장관리 &gt; 관외출장 &gt; 출장신청(관외), 처리(관외) 에서 신청가능합니다.
자세한 사항은 첨부파일 확인하시거나 관련부서, 업무 담당자에게 문의바랍니다.</t>
  </si>
  <si>
    <r>
      <rPr>
        <rFont val="&quot;맑은 고딕&quot;"/>
        <color rgb="FF000000"/>
        <sz val="11.0"/>
      </rPr>
      <t xml:space="preserve">질의문에 출장 신청이란 글자가 같이 들어가 있으면
 해당 매뉴얼을 제공해주면 될 것 같습니다.
</t>
    </r>
    <r>
      <rPr>
        <rFont val="&quot;맑은 고딕&quot;"/>
        <color rgb="FFFF0000"/>
        <sz val="11.0"/>
      </rPr>
      <t xml:space="preserve">&gt;&gt; [25.12.18] 해당 문서의 해당 페이지에서 유의미한 정보는 전부다 이미지로 되어 있어 FAQ 에서 해당 문서를 안내하도록 별도로 처리하는게 맞을것 같습니다.
</t>
    </r>
    <r>
      <rPr>
        <rFont val="&quot;맑은 고딕&quot;"/>
        <color rgb="FF00B050"/>
        <sz val="11.0"/>
      </rPr>
      <t>&gt;&gt; FAQ 처리</t>
    </r>
  </si>
  <si>
    <r>
      <rPr>
        <rFont val="맑은 고딕"/>
        <b/>
        <color rgb="FFFF0000"/>
        <sz val="11.0"/>
      </rPr>
      <t xml:space="preserve">268_2405_인사과_업무매뉴얼_행정안전부_출장관리_매뉴얼.pdf[16]
-----
</t>
    </r>
    <r>
      <rPr>
        <rFont val="맑은 고딕"/>
        <color rgb="FFFF0000"/>
        <sz val="11.0"/>
      </rPr>
      <t xml:space="preserve">[문서가 대부분 그림이라 아래 내용 밖에 찾지 못하고 있으며 유사도 아주 낮음]
</t>
    </r>
    <r>
      <rPr>
        <rFont val="맑은 고딕"/>
        <color rgb="FFFF0000"/>
        <sz val="11.0"/>
      </rPr>
      <t xml:space="preserve">
Ⅲ-2-1) 출장관리 &gt; 관외출장 &gt; 처리(관외)
</t>
    </r>
  </si>
  <si>
    <t>온나라 문서배부가 잘못되엇습니다 어떻게 수정하나요?</t>
  </si>
  <si>
    <t>온나라에서 문서가 잘못 배부된 경우, 담당자 변경·회수·재배부 등 정정 절차를 어떻게 처리해야 하나요?</t>
  </si>
  <si>
    <t>온나라 문서 배부가 잘못되었을 경우, 다음과 같은 방법으로 수정할 수 있습니다.
배부 오류 확인: 먼저 배부된 문서와 실제 수령자 명단을 비교하여 배부 오류가 발생한 문서와 수령자를 확인합니다.
수정 요청: 배부 오류가 확인된 경우, 해당 문서를 수령하지 못한 수령자에게 수정 요청을 합니다. 이때, 오류 발생 사유와 수정 내용을 명확히 전달해야 합니다.
재배부: 수정 요청을 받은 수령자에게 올바른 문서를 다시 배부합니다. 이때, 배부된 문서의 수령 확인을 받는 것이 좋습니다.
기록 수정: 배부 오류와 수정 내용을 문서 관리 시스템에 기록하여 향후 동일한 문제가 발생하지 않도록 합니다.
재발 방지 대책 마련: 배부 오류가 반복되지 않도록 배부 절차를 점검하고, 필요한 경우 절차를 개선하거나 추가적인 교육 등을 통해 재발 방지 대책을 마련합니다.
이러한 절차를 통해 배부 오류 문제를 신속하고 정확하게 해결할 수 있습니다.</t>
  </si>
  <si>
    <t>온나라2.0 사용자교육자료(정보화정책과 제공) 44p
온나라 2.0 부서관리자 교육자료(정보화정첵과 제공) 31P
기대답변
사용자 :
재배부요청 : 배부 받은 문서를 문서과로 재배부 요청
관리자 : 
업무담당자가 재지정 요청한 문서를 확인하고 [담당지정] 버튼을 통해 담당자를 변경하여 재지정 가능</t>
  </si>
  <si>
    <t>사용자 :
 재배부요청 : 배부 받은 문서를 문서과로 재배부 요청
 관리자 : 
 업무담당자가 재지정 요청한 문서를 확인하고 [담당지정] 버튼을 통해 담당자를 변경하여 재지정 가능</t>
  </si>
  <si>
    <t>343_2405_정보화정책과_업무매뉴얼_행정안전부_온나라20_사용자교육자료배포용.pdf
355_2412_정보화정책과_업무매뉴얼_KLID_온나라_20_부서관리자_교육자료PDF.pdf</t>
  </si>
  <si>
    <t>44
 31</t>
  </si>
  <si>
    <t>4.3 접수할 문서 &gt; 접수대기함 (처리과 문서담당자)
 • [재배부요청]
 배부 받은 문서를 문서과로 재배부 요청
 4.1 접수할 문서 &gt; 재지정함 
  업무담당자가 재지정 요청한 문서를 확인하고 [담당지정] 버튼을 통해 담당자를 변경하여 재지정 가능
 이미지 제외 본문 글과 제목으로만 해당 질의에 대한 답변이 나와야 할 것 같습니다.</t>
  </si>
  <si>
    <t>온나라 문서 배부 오류 수정 방법 안내</t>
  </si>
  <si>
    <r>
      <rPr>
        <rFont val="맑은 고딕"/>
        <b/>
        <color theme="1"/>
        <sz val="11.0"/>
      </rPr>
      <t>343_2405_정보화정책과_업무매뉴얼_행정안전부_온나라20_사용자교육자료배포용.pdf[44]</t>
    </r>
    <r>
      <rPr>
        <rFont val="맑은 고딕"/>
        <color theme="1"/>
        <sz val="11.0"/>
      </rPr>
      <t xml:space="preserve">
-----
</t>
    </r>
    <r>
      <rPr>
        <rFont val="맑은 고딕"/>
        <color rgb="FFFF0000"/>
        <sz val="11.0"/>
      </rPr>
      <t xml:space="preserve">[문서 내용이 대부분 이미지로 만들어져 있으며 문서 배부 오류에 대한 사항을 포함하고 있지 않아 유사도 낮게 확인됨] </t>
    </r>
    <r>
      <rPr>
        <rFont val="맑은 고딕"/>
        <color theme="1"/>
        <sz val="11.0"/>
      </rPr>
      <t xml:space="preserve">
4.3 접수할 문서 &gt; 접수대기함 (처리과 문서담당자)
처리과 문서담당자는 수신 문서 확인 및 접수 가능
※ [ 접수할 문서 ] 메뉴 권한
- 문서과 문서담당자, 처리과 문서 담당자
• [접수]
배부 또는 직접 수신된 문서에
업무담당자를 지정하여 접수처리
* 필요 시 [접수의견]을 입력 하여 처리 가능
• [담당접수]
본인을 업무담당자로 지정하여
접수처리
• [재배부요청]
배부 받은 문서를 문서과로 재배부 요청
• [재발송요청]
대외에서 처리과부서로 직접 수신된
문서를 해당 기관으로 재발송 요청</t>
    </r>
  </si>
  <si>
    <r>
      <rPr>
        <rFont val="맑은 고딕"/>
        <b/>
        <color theme="1"/>
        <sz val="11.0"/>
      </rPr>
      <t>355_2412_정보화정책과_업무매뉴얼_KLID_온나라_20_부서관리자_교육자료PDF.pdf[31]</t>
    </r>
    <r>
      <rPr>
        <rFont val="맑은 고딕"/>
        <color theme="1"/>
        <sz val="11.0"/>
      </rPr>
      <t xml:space="preserve">
-----
</t>
    </r>
    <r>
      <rPr>
        <rFont val="맑은 고딕"/>
        <color rgb="FFFF0000"/>
        <sz val="11.0"/>
      </rPr>
      <t>[문서 내용이 대부분 이미지로 만들어져 있어 내용 인식이 불가능함]</t>
    </r>
    <r>
      <rPr>
        <rFont val="맑은 고딕"/>
        <color theme="1"/>
        <sz val="11.0"/>
      </rPr>
      <t xml:space="preserve">
4.1 접수할 문서 &gt; 재지정함 
 업무담당자가 재지정 요청한 문서를
확인하고 [담당지정] 버튼을 통해
담당자를 변경하여 재지정 가능</t>
    </r>
  </si>
  <si>
    <t>온나라 팀장님 지정 및 부재시 부재설정은 어떻게 하나요?</t>
  </si>
  <si>
    <t>온나라에서 팀장 지정(변경) 절차와, 팀장 부재 시 부재자 설정·기간 지정은 어떻게 처리해야 하나요?</t>
  </si>
  <si>
    <t>온나라 시스템에서 팀장님을 지정하고, 부재 시에는 부재 설정을 다음과 같이 진행할 수 있습니다.
팀장님 지정
온나라 시스템에 로그인합니다.
“사용자 관리” 메뉴를 선택합니다.
“사용자 추가” 버튼을 클릭하여 팀장님의 정보를 입력하고 저장합니다.
부재 설정
온나라 시스템에서 팀장님의 이름을 선택합니다.
“부재 설정” 버튼을 클릭합니다.
부재 시작일과 종료일, 사유 등을 입력하고 저장합니다.
이 과정을 통해 팀장님의 부재 설정을 완료할 수 있습니다. 부재 설정이 완료되면 팀장님의 일정 및 업무 관련 알림이 자동으로 팀원들에게 전달됩니다.</t>
  </si>
  <si>
    <t>관련문서 
- 온나라 2.0 부서관리자 교육자료(정보화정책과) 11p : 팀장님 지정 &gt; 권한부여
- 온나라 2.0 달라지는 점(정보화정책과) 26p : 부재설정 관련 내용
팀장님 지정 방법
 - 부서관리자 목록에 나타난 부서원들의 권한 부여
① 지정할 부서원 선택
② 권한정보 : 부서의 일반사용자에게 권한 부여 가능
부재자 설정 방법
 - 본인이 부재자 설정하는 경우- [개인설정 &gt; 개인정보관리 &gt; 부재설정]에서 설정 가능
 - 서무담당자가 부재자 설정하는 경우- [개인설정 &gt; 부서관리자]에서 설정 가능</t>
  </si>
  <si>
    <t>팀장님 지정 방법
  - 부서관리자 목록에 나타난 부서원들의 권한 부여
 ① 지정할 부서원 선택
 ② 권한정보 : 부서의 일반사용자에게 권한 부여 가능
 부재자 설정 방법
  - 본인이 부재자 설정하는 경우- [개인설정 &gt; 개인정보관리 &gt; 부재설정]에서 설정 가능
  - 서무담당자가 부재자 설정하는 경우- [개인설정 &gt; 부서관리자]에서 설정 가능</t>
  </si>
  <si>
    <t>355_2412_정보화정책과_업무매뉴얼_KLID_온나라_20_부서관리자_교육자료PDF.pdf
353_2412_정보화정책과_업무매뉴얼_KLID_온나라_20_달라지는_점PDF.pdf</t>
  </si>
  <si>
    <t>11
 26</t>
  </si>
  <si>
    <t>이미지 제외하고 해당 글로만 관련 내용 검색되게끔 프롬프트 수정이 필요 할 것 같습니다.
 검토자료 2번의 경우는 이상없는것으로 보입니다.</t>
  </si>
  <si>
    <t>온나라 시스템 팀장 또는 특정 인원 지정 후 부재 설정하는 방법
----
온나라 시스템 팀장 또는 특정 인원 지정 후 부재 설정하는 방법</t>
  </si>
  <si>
    <r>
      <rPr>
        <rFont val="맑은 고딕"/>
        <b/>
        <color theme="1"/>
        <sz val="11.0"/>
      </rPr>
      <t>355_2412_정보화정책과_업무매뉴얼_KLID_온나라_20_부서관리자_교육자료PDF.pdf[11]</t>
    </r>
    <r>
      <rPr>
        <rFont val="맑은 고딕"/>
        <color theme="1"/>
        <sz val="11.0"/>
      </rPr>
      <t xml:space="preserve">
-----
</t>
    </r>
    <r>
      <rPr>
        <rFont val="맑은 고딕"/>
        <color rgb="FFFF0000"/>
        <sz val="11.0"/>
      </rPr>
      <t>[문서 내용이 대부분 이미지로 만들어져 있어 내용 인식이 잘 되지 않으며 유사도 떨어짐]</t>
    </r>
    <r>
      <rPr>
        <rFont val="맑은 고딕"/>
        <color theme="1"/>
        <sz val="11.0"/>
      </rPr>
      <t xml:space="preserve">
1.8 부서관리자 &gt; 사용자 수정 &gt; 권한정보 
부서 내 부서원들의 권한정보 확인 및 권한부여 
</t>
    </r>
    <r>
      <rPr>
        <rFont val="Segoe UI Symbol"/>
        <color theme="1"/>
        <sz val="11.0"/>
      </rPr>
      <t>➢</t>
    </r>
    <r>
      <rPr>
        <rFont val="맑은 고딕"/>
        <color theme="1"/>
        <sz val="11.0"/>
      </rPr>
      <t xml:space="preserve"> 부서관리자 목록에 나타난 부서원들의
권한 부여
① [지정할 부서원 선택]
지정 대상자를 선택 합니다.
② [권한정보]
부서의 일반사용자에게 권한 부여 가능
</t>
    </r>
  </si>
  <si>
    <r>
      <rPr>
        <rFont val="맑은 고딕"/>
        <b/>
        <color theme="1"/>
        <sz val="11.0"/>
      </rPr>
      <t>353_2412_정보화정책과_업무매뉴얼_KLID_온나라_20_달라지는_점PDF.pdf[26]</t>
    </r>
    <r>
      <rPr>
        <rFont val="맑은 고딕"/>
        <color theme="1"/>
        <sz val="11.0"/>
      </rPr>
      <t xml:space="preserve">
-----
3. 메모보고
(1) 질문: 메모보고를 회수할 수 있습니까?
답변: 미열람한 메모는 회수 가능합니다. 다만, 메모보고를 수신인이 조회했을 경우 불가능합니다. 4. 유통문서
(1) 질문: 접수 시 ‘업무관리자(선람)’ 기능이 보이지 않습니다. 답변: ‘행정업무의 운영 및 혁신에 관한 규정’ 준수를 위해 ‘업무관리자(선람)’ 기능이 삭제되었습니다. 필요 시 ‘공람’ 기능을 활용하시기 바랍니다.
(2) 질문: 키워드 자동배부 또는 키워드 자동접수 사용 시 키워드를 일괄등록할 수 있습니까?
답변: 가능합니다. (배부함/접수대기함 &gt; [export]로 서식 다운로드 &gt; 키워드 입력 후 저장 &gt; [import]로 업로드)
(3) 질문: 부서장 서명인이 보이지 않습니다. 답변: 부서의 부서장을 설정하시기 바랍니다.
([개인설정 &gt; 부서관리자] 에서 부서장 설정 가능)
5. 기타
(1) 질문: 온나라 2.0 시스템 아이디 또는 비밀번호가 기억나지 않습니다. 답변: 부서 관리자 (서무담당자), 또는 기관관리자 를 통하여 비밀번호 초기화 가능합니다.
([개인설정 &gt; 부서관리자]에서 비밀번호 초기화)
(2) 질문: 비밀번호를 5번 틀려서 로그인이 안됩니다. 답변: 부서 관리자 (서무담당자), 또는 기관관리자 를 통하여 로그인 금지해제 가능합니다.
([개인설정 &gt; 부서관리자]에서 로그인 금지해제)
(3) 질문: 자동으로 로그아웃 됩니다. 답변: 초기화면에서 [나의알림]버튼을 클릭해 활성화시킨 후 업무하시기 바랍니다. 활성화된 [나의알림]버튼은 재클릭하면 비활성화되니 참고 바랍니다.
(4) 질문: [내 문서함]에 스크랩한 문서도 전환 시 이관됩니까?
답변: [내 문서함]은 삭제되어 이관되지 않습니다. MyPage &gt; [정리함]으로 기능이 대체되므로 향후 [정리함]을 이용하시기 바랍니다.
</t>
    </r>
    <r>
      <rPr>
        <rFont val="맑은 고딕"/>
        <color rgb="FFFF0000"/>
        <sz val="11.0"/>
      </rPr>
      <t xml:space="preserve">(5) 질문: 부재자 설정은 어떻게 합니까?
답변: 본인이 부재자 설정하는 경우- [개인설정 &gt; 개인정보관리 &gt; 부재설정]에서 설정 가능
서무담당자가 부재자 설정하는 경우- [개인설정 &gt; 부서관리자]에서 설정 가능
</t>
    </r>
    <r>
      <rPr>
        <rFont val="맑은 고딕"/>
        <color theme="1"/>
        <sz val="11.0"/>
      </rPr>
      <t>(6) 질문: 결재대기함에서 문서처리 시 결재 비밀번호를 물어보는데 어디서 설정할 수 있습니까?
답변: [개인 환경설정 &gt; 결재 비밀번호] 메뉴에서 결재 비밀번호를 설정 할 수 있습니다</t>
    </r>
  </si>
  <si>
    <t>업무추진비 사용할 수 있는 항목이 구체적으로 어떻게 되나요?</t>
  </si>
  <si>
    <t>업무추진비 집행 시 사용할 수 있는 세부 항목은 무엇이며, 항목별 허용·제한 기준은 어떻게 구분되나요?</t>
  </si>
  <si>
    <t>업무추진비로 사용할 수 있는 항목은 격려금, 축의·부의금, 경조사비, 심야 및 자택 근처 사용 제한, 현금에 준하는 상품권, 고가의 선물 등 물품이 있습니다.
관련내용은 다음과 같습니다.
격려금: 현금 집행이 불가피한 경우에 한하여 사용이 가능하며, 격려금 지급 목적과 대상, 금액 등의 내용이 포함된 지출품의서(기본계획 수립·방침 포함)를 작성해야 합니다.
축의·부의금: 업무추진비에서만 집행 가능하며, 기관별 대표 1인만 집행할 수 있습니다. 경조사와 관련된 경비는 「부정청탁 및 금품 등 수수의 금지에 관한 법률 시행령」에 따른 기준에 맞게 집행해야 합니다.
경조사비: 「청렴유지 등을 위한 행동강령」에 의한 기준에 맞게 집행하며, 공직선거법 등 관계 법령에 위반되지 않도록 유의해야 합니다.
심야 및 자택 근처 사용 제한: 업무추진비는 심야와 사용자의 자택 근처 등 통상적 업무추진과 관련이 적은 시간과 장소에서는 사용할 수 없습니다. 다만, 직무 관련성이 입증되는 객관적 증빙자료를 제출한 경우에는 예외로 합니다.
현금에 준하는 상품권, 고가의 선물 등 물품: 업무추진비로 현금에 준하는 상품권 또는 고가의 선물, 기념품, 특산품 등을 구매할 때는 수불부를 작성해야 합니다.
이러한 항목들은 업무추진비의 투명하고 적절한 사용을 위해 설정된 기준입니다.</t>
  </si>
  <si>
    <t>ㆍ22_2501_공공기관담당관_업무매뉴얼_공공기관담당관_2025년도_부산광역시_지방공기업_예산편성보완지침.pdf (p.41)
https://busanai.busan.go.kr/download/22_2501_공공기관담당관_업무매뉴얼_공공기관담당관_2025년도_부산광역시_지방공기업_예산편성보완지침.pdf
ㆍ1125_압축2025년_부산문화재단_규정집2025227.pdf (p.512)
https://busanai.busan.go.kr/download/1125_압축2025년_부산문화재단_규정집2025227.pdf
ㆍ208_2107_예산담당관_업무매뉴얼_행정안전부_2022년도_지방자치단체_예산편성_운영기준_및_기금운용계획_수립기준.pdf (p.107)
https://busanai.busan.go.kr/download/208_2107_예산담당관_업무매뉴얼_행정안전부_2022년도_지방자치단체_예산편성_운영기준_및_기금운용계획_수립기준.pdf</t>
  </si>
  <si>
    <t>회계재산담당관 일반지출 절차 및 삭제 파일의 127~128P에 해당 내용이 나와있습니다.
그 외 미 제출한 파일 중 지방회계법시행령 제64조 하위법령 = 지방자치단체 업무추진비 집행에 관한 규칙과 [별표 1] 지방자치단체의 장 등 업무추진비 집행대상 직무활동 범위 파일 기준으로 답변 작성했습니다.
기대답변
1. 관련 규정 : 지방자치단체 업무추진비 집행에 관한 규칙
2. 집행대상 및 범위
업무추진비는 지방자치단체의 직무 수행을 위해 필요한 범위에서만 사용할 수 있습니다.
주요 사용 가능 항목은 다음과 같습니다.
① 재난이나 사고로 인한 이재민, 피해자, 복구 종사자 등에 대한 격려금품 지급 및 식사 제공
② 시책사업이나 지역특산품, 언론 간담회 등 지역 홍보 관련 행사비
③ 체육·문화·학술 분야 유공자나 자원봉사자에 대한 격려금품 또는 식사 제공
④ 시책사업 추진, 각종 회의·행사·간담회 참석자에 대한 식사 또는 기념품 제공
⑤ 경찰서, 소방서 등 현장 근무자 및 유관기관 현장 종사자 격려
⑥ 소속 직원의 부상·사망 위로, 퇴직 예정자나 평가 우수부서 격려, 비상근무자 위문 등 내부 격려
⑦ 타 기관·단체와의 협의, 공동행사, 퇴임·전출입자에 대한 의례적 선물 제공
⑧ 내방객 다과·음료, 결혼·사망 시 축의·부의금품 등 통상적인 직무 관련 경비
⑨ 조례나 법령에 따라 구체적으로 정해진 경우 등입니다.
이외의 용도나 개인적 목적, 정기적인 금품 지급은 허용되지 않습니다.</t>
  </si>
  <si>
    <t>업무추진비 집행 시 사용가능한 세부 항목 안내, 업무추진비 항목별 허용 및 제한 기준</t>
  </si>
  <si>
    <t>DRM 비밀번호 초기화는 어떻게 하나요?</t>
  </si>
  <si>
    <t>DRM(자료유출방지시스템) 비밀번호를 분실했을 때, 초기화 또는 재설정은 어떤 절차로 진행하나요?</t>
  </si>
  <si>
    <t xml:space="preserve">온나라 시스템에서 DRM 비밀번호를 초기화하는 방법은 다음과 같습니다.
1. 온나라 시스템에 로그인합니다.
2. 상단 메뉴에서 "설정"을 클릭합니다.
3. "DRM 설정" 메뉴를 선택합니다.
4. "비밀번호 초기화" 버튼을 클릭합니다.
5. 초기화할 비밀번호를 입력하고 확인합니다.
6. 초기화가 완료되면 새로운 비밀번호를 설정합니다.
위 단계를 따라 진행하시면 DRM 비밀번호를 초기화할 수 있습니다. 시스템이나 정책이 변경될 수 있으므로, 정확한 방법은 사용 중인 온나라 시스템의 최신 매뉴얼을 참고하시기 바랍니다. </t>
  </si>
  <si>
    <t>행정포털 비밀번호 3회 이상 오류로 초기화 해야 하는데 어떻게 하나요?</t>
  </si>
  <si>
    <t>행정포털 로그인 비밀번호가 3회 이상 오류로 잠긴 경우, 초기화하거나 부서 담당자를 통해 재설정하기 위해 어떤 절차를 따라야 하나요?</t>
  </si>
  <si>
    <t>행정포털 비밀번호를 3회 이상 오류로 입력하여 초기화해야 하는 경우, 초기화 절차는 온나라 지식 접속 오류 조치 방법을 따릅니다.</t>
  </si>
  <si>
    <t xml:space="preserve">
ㆍ371_2503_정보화정책과_업무매뉴얼_정보화정책과_온톡_온메일_온나라_지식_사용자_매뉴얼_v21.pdf (p.2)
https://busanai.busan.go.kr/download/371_2503_정보화정책과_업무매뉴얼_정보화정책과_온톡_온메일_온나라_지식_사용자_매뉴얼_v21.pdf </t>
  </si>
  <si>
    <t>건강검진비 및 휴양시설 지원 신청은 어디서 하나요?</t>
  </si>
  <si>
    <t>건강검진비 지원이나 휴양시설 이용 지원을 받기 위한 신청 방법은 무엇인가요?</t>
  </si>
  <si>
    <t>부산광역시에서 건강검진비 및 휴양시설 지원 신청은 지방보조금관리시스템 보탬e를 통해 신청할 수 있습니다.</t>
  </si>
  <si>
    <t>ㆍ74100_20250317_일자리노동과_보도자료부산시_감정노동자_휴게시설_설치개선_비용_등_지원_나서.pdf (p.4)
https://busanai.busan.go.kr/download/74100_20250317_일자리노동과_보도자료부산시_감정노동자_휴게시설_설치개선_비용_등_지원_나서.pdf
ㆍ71757_20240311_일자리노동과_보도자료부산시_감정노동자_휴게시설_설치개선_비용_등_지원_나서.pdf (p.4)
https://busanai.busan.go.kr/download/71757_20240311_일자리노동과_보도자료부산시_감정노동자_휴게시설_설치개선_비용_등_지원_나서.pdf</t>
  </si>
  <si>
    <t>관련문서
 - 인사과 2025년 건강검진 대상자 및 검진실시 안내 1P
 - 인사과 직원복지지원시스템 신청방법(휴양시설 이용 지원) 1~5P
기대답변
① 행정포털 하단 개인서비스→ ’직원복지지원’ 클릭
② 복지지원 프로그램 배너 → 프로그램 조회 → ‘신청’ 클릭
③ 상세지원 내역(유의사항) 및 첨부파일 확인 후 ‘신청’ 클릭
④ 해당서식 작성 및 첨부파일 업로드 후 등록 클릭
⑤ 신청처리 현황 목록에서 진행상태 확인</t>
  </si>
  <si>
    <t>① 행정포털 하단 개인서비스→ ’직원복지지원’ 클릭
 ② 복지지원 프로그램 배너 → 프로그램 조회 → ‘신청’ 클릭
 ③ 상세지원 내역(유의사항) 및 첨부파일 확인 후 ‘신청’ 클릭
 ④ 해당서식 작성 및 첨부파일 업로드 후 등록 클릭
 ⑤ 신청처리 현황 목록에서 진행상태 확인</t>
  </si>
  <si>
    <t xml:space="preserve">289_2501_인사과_기타_인사과_2025년도_건강검진_대상자_및_검진실시_안내.pdf
1284_2512_부산시_업무관련_FAQ문서.pdf
</t>
  </si>
  <si>
    <t>1
10</t>
  </si>
  <si>
    <r>
      <rPr>
        <rFont val="&quot;맑은 고딕&quot;"/>
        <color rgb="FF000000"/>
        <sz val="11.0"/>
      </rPr>
      <t xml:space="preserve">검진비 지원신청: 본인부담 일반검진 및 종합검진비 &gt; 행정포털 / 개인서비스 / “직원복지지원”시스템
1~5P 이미지 제외 글자로만 생성
</t>
    </r>
    <r>
      <rPr>
        <rFont val="&quot;맑은 고딕&quot;"/>
        <color rgb="FFFF0000"/>
        <sz val="11.0"/>
      </rPr>
      <t xml:space="preserve">&gt;&gt;&gt; 두 번째 문서는 별도로 정리해서 새로운 문서를 만드는게 좋을것 같습니다. 
</t>
    </r>
    <r>
      <rPr>
        <rFont val="&quot;맑은 고딕&quot;"/>
        <color rgb="FF000000"/>
        <sz val="11.0"/>
      </rPr>
      <t xml:space="preserve">
</t>
    </r>
    <r>
      <rPr>
        <rFont val="&quot;맑은 고딕&quot;"/>
        <color rgb="FF00FF00"/>
        <sz val="11.0"/>
      </rPr>
      <t>&gt;&gt; 간단한 질문 FAQ 등에 정리 요청</t>
    </r>
  </si>
  <si>
    <t>단체보장보험의 세부 보장 내용과 보험금 청구 방법 안내</t>
  </si>
  <si>
    <r>
      <rPr>
        <rFont val="맑은 고딕"/>
        <b/>
        <color theme="1"/>
        <sz val="11.0"/>
      </rPr>
      <t xml:space="preserve">289_2501_인사과_기타_인사과_2025년도_건강검진_대상자_및_검진실시_안내.pdf[1] </t>
    </r>
    <r>
      <rPr>
        <rFont val="맑은 고딕"/>
        <color theme="1"/>
        <sz val="11.0"/>
      </rPr>
      <t xml:space="preserve">
-----</t>
    </r>
    <r>
      <rPr>
        <rFont val="맑은 고딕"/>
        <color theme="1"/>
        <sz val="11.0"/>
      </rPr>
      <t xml:space="preserve">
미래를 선도하는 디지털혁신도시 부 산 광 역 시 수신 수신자 참조 (경유) 제목 2025년도 건강검진 대상자 및 검진실시 안내 1. 「국민건강보험법」제52조 및 같은법 시행령 제25조,「산업안전보건법」제129조 및 같은법 시행령 제196조에 의하여 “2025년도 일반건강검진 대상자 명단”을 알려드리오니 소속 부서 직원이 검진기간내에 수검할 수 있도록 안내하여 주시기 바랍니다. ※ 본청 외 시의회사무처, 직속기관, 사업소 명단은 기관(사업주)에서 파악 후 통보 2. 또한, 검진예약이 연말에 집중되지 않도록 조속한 시일내 검진이 이루어질 수 있도록 당부드립니다. 【검진대상】사무직(2년에 1회), 비사무직(매년) ○ 사무직 중 홀수연도 출생자 ○ 비사무직 공무원 전체 &lt;table border="1" class="table table-striped table-hover"&gt;&lt;thead&gt;&lt;tr&gt;&lt;th&gt;위암&lt;/th&gt;&lt;th&gt;대장암&lt;/th&gt;&lt;th&gt;유방암&lt;/th&gt;&lt;th&gt;자궁경부암&lt;/th&gt;&lt;/tr&gt;&lt;/thead&gt;&lt;tbody&gt;&lt;tr&gt;&lt;td&gt;40세 이상&lt;/td&gt;&lt;td&gt;50세 이상&lt;/td&gt;&lt;td&gt;40세 이상&lt;/td&gt;&lt;td&gt;20세 이상&lt;/td&gt;&lt;/tr&gt;&lt;tr&gt;&lt;td&gt;2년&lt;/td&gt;&lt;td&gt;1년(분변검사)&lt;/td&gt;&lt;td&gt;2년&lt;/td&gt;&lt;td&gt;2년&lt;/td&gt;&lt;/tr&gt;&lt;/tbody&gt;&lt;/table&gt; 【검진기간】2025.12.31.까지 *권장기간: 2025.10.30.까지 【검진방법】본인이 희망하는 검진병원에서 개별검진 실시 </t>
    </r>
    <r>
      <rPr>
        <rFont val="맑은 고딕"/>
        <color rgb="FFFF0000"/>
        <sz val="11.0"/>
      </rPr>
      <t xml:space="preserve">【검진비용】 ○ 일반검진: 건강보험공단 전액부담 ○ 암 검 진: 공단 90%, 본인 10% (단, 자궁경부암, 대장암 검진은 공단 전액부담) ○ 종합검진: 본인부담(일반검진 외 개별종합검진) </t>
    </r>
    <r>
      <rPr>
        <rFont val="Segoe UI Symbol"/>
        <color rgb="FFFF0000"/>
        <sz val="11.0"/>
      </rPr>
      <t>✶</t>
    </r>
    <r>
      <rPr>
        <rFont val="맑은 고딕"/>
        <color rgb="FFFF0000"/>
        <sz val="11.0"/>
      </rPr>
      <t xml:space="preserve"> 검진비 지원신청: 본인부담 일반검진 및 종합검진비 </t>
    </r>
    <r>
      <rPr>
        <rFont val="Cambria Math"/>
        <color rgb="FFFF0000"/>
        <sz val="11.0"/>
      </rPr>
      <t>↳</t>
    </r>
    <r>
      <rPr>
        <rFont val="맑은 고딕"/>
        <color rgb="FFFF0000"/>
        <sz val="11.0"/>
      </rPr>
      <t xml:space="preserve"> 행정포털 / 개인서비스 / “직원복지지원”시스템 ※ 공가사용: 2025년 건강검진대상자(암검진 포함) 2차 검진(재검진) 및 25년 검진대상이 아닌 경우 연가 사용</t>
    </r>
    <r>
      <rPr>
        <rFont val="맑은 고딕"/>
        <color theme="1"/>
        <sz val="11.0"/>
      </rPr>
      <t xml:space="preserve"> ☞ [붙임 2] 공가 허가시 주의사항 참고 붙임: 1. 2025년도 건강검진 대상자 명단 1부. 2. 건강검진을 위한 공가 허가시 주의사항 1부. 3. 2025년 직원 종합건강검진 협약병원 현황 1부. 끝.</t>
    </r>
  </si>
  <si>
    <r>
      <rPr>
        <rFont val="맑은 고딕"/>
        <b/>
        <color theme="1"/>
        <sz val="11.0"/>
      </rPr>
      <t>301_2502_인사과_업무매뉴얼_인사과_직원복지지원시스템_신청방법휴양시설_이용_지원.pdf[1~5]</t>
    </r>
    <r>
      <rPr>
        <rFont val="맑은 고딕"/>
        <color theme="1"/>
        <sz val="11.0"/>
      </rPr>
      <t xml:space="preserve">
-----
후생복지 프로그램 신청방법 안내(공무원)
□ 유의사항
- 청원경찰(행정포털 미사용자) : [붙임파일1] 휴양시설 이용 지원 신청서(공문제출)
□ 진행 절차(공무원)
① 행정포털 하단 개인서비스→ ’직원복지지원’ 클릭 
② 복지지원 프로그램 배너 → 프로그램 조회 → ‘신청’ 클릭 
③ 상세지원 내역(유의사항) 및 첨부파일 확인 후 ‘신청’ 클릭</t>
    </r>
  </si>
  <si>
    <t>차세대 지방재정 권한은 어떻게 받을수 있나요?</t>
  </si>
  <si>
    <t>차세대지방재정시스템(e호조, 이호조)에서 업무를 수행하기 위해 필요한 권한을 부여받기 위한 신청 절차는 무엇인가요?</t>
  </si>
  <si>
    <t>차세대 지방재정 권한을 받기 위해서는 다음과 같은 방법을 고려할 수 있습니다.
지방분권 강화 정책 참여: 중앙정부와 지방정부 간의 협력과 소통을 통해 지방분권을 강화하는 정책을 추진합니다. 이를 위해 지방의회가 중앙정부와 협력하여 지방재정 관련 법안과 정책을 제안하고, 이를 적극적으로 추진합니다.
지방재정 교육 및 역량 강화: 지방공무원 및 지방의회 의원들을 대상으로 지방재정 관련 교육 및 역량 강화 프로그램을 실시하여 지방재정 운영에 대한 전문성을 높입니다.
지방재정 정보시스템 활용: 지방재정 정보시스템을 활용하여 지방재정 정보를 체계적으로 관리하고, 이를 기반으로 지방재정 정책을 수립하고 실행합니다.
주민 참여 확대: 주민들이 지방재정 운영에 참여할 수 있는 기회를 확대하여, 지방재정 정책의 투명성과 책임성을 높입니다.
지방재정 연구 및 개발: 지방재정 관련 연구 및 개발을 통해 지방재정 운영에 대한 새로운 아이디어와 정책을 발굴하고, 이를 적극적으로 적용합니다.
이러한 방법들을 통해 차세대 지방재정 권한을 효과적으로 확보하고, 지방정부의 재정 운영 능력을 향상시킬 수 있습니다.</t>
  </si>
  <si>
    <t xml:space="preserve">관련 근거 문서가 없습니다.
참고 : 차세대 지방재정시스템은 e호조, 이호조 등으로 불리며
직원이 예산, 지출 관련 업무를 수행할수 있는 시스템으로 보시면 됩니다.
기대답변 : 
OO 방법에 대한 관련 문서가 없습니다.
자세한 사항은 관련 부서나 업무 담당자에게 문의하시기 바랍니다.
</t>
  </si>
  <si>
    <t>행정포털 신규 등록 방법 및 절차는 어떻게 되나요?</t>
  </si>
  <si>
    <t>행정포털 신규 사용자를 등록할 때, 필요한 신청 절차와 담당 부서, 구체적인 단계는 어떻게 되나요?</t>
  </si>
  <si>
    <t>행정포털 신규 등록 방법 및 절차는 설치 방법, 로그인 방법, 개인정보취급자 보안서약서 작성의무가 있습니다.
관련내용은 다음과 같습니다.
설치 방법
행정포털 우측 상단 "오류조치안내"를 클릭합니다.
"오류조치안내"에서 “온-나라 조치방법” 11번을 선택합니다.
"DRM 설치프로그램 다운로드"를 클릭하여 PC 운영체제(32비트/64비트)에 맞는 설치 프로그램을 다운로드합니다.
다운로드한 설치 파일을 실행하고, 설치가 완료될 때까지 기다립니다.
설치가 완료되면 로그인 창이 뜨며, 숨겨진 아이콘에 모양이 설치됩니다.
사용자 ID(행정포털 ID)와 초기 비밀번호(a12345)를 입력하여 로그인합니다.
비밀번호를 변경한 경우, 변경된 비밀번호를 입력합니다.
로그인 방법
시스템 접속 URL: https://www.enis.go.kr
인증서(GPKI) 로그인: 인증서는 로그인 후 우측 상단 "본인이름"을 클릭하여 사용자 정보 변경 화면에서 최초 1회 등록이 필요합니다.
바로 접속(SSO 로그인): 행정포털에서 재정정보 또는 차세대 세외수입을 선택합니다.
개인정보취급자 보안서약서 작성의무
신규 신청 시 개인정보취급자 보안서약서를 작성해야 합니다.
부산광역시 지방세외수입정보시스템 개인정보 내부 관리계획에 따라 작성 의무가 있습니다.
이러한 절차를 통해 행정포털에 신규로 등록할 수 있습니다.</t>
  </si>
  <si>
    <t>ㆍ359_2412_정보화정책과_업무매뉴얼_정보화정책과_설치방법_및_조치사항_안내자료유출방지시스템_DRM_v50.pdf (p.2)
https://busanai.busan.go.kr/download/359_2412_정보화정책과_업무매뉴얼_정보화정책과_설치방법_및_조치사항_안내자료유출방지시스템_DRM_v50.pdf
ㆍ185_2409_세정정책담당관_업무매뉴얼_세정정책담당관_세외수입시스템_사용자_권한신청_방법_등.pdf (p.2)
https://busanai.busan.go.kr/download/185_2409_세정정책담당관_업무매뉴얼_세정정책담당관_세외수입시스템_사용자_권한신청_방법_등.pdf</t>
  </si>
  <si>
    <t>관련 근거 문서가 없습니다.
참고 : 행정포털 시스템은 직원 업무시스템 메인입니다. 
온나라 문서, 지방재정, 세외수입 등 각종 업무시스템 링크 제공 및
게시판 운영, 각종 시스템 sso 연계 담당 등 업무 총괄 시스템이라고 보시면 됩니다.
기대답변 : 
OO 방법에 대한 관련 문서가 없습니다.
자세한 사항은 관련 부서나 업무 담당자에게 문의하시기 바랍니다.</t>
  </si>
  <si>
    <t>온나라시스템 부재 설정 방법은 어떻게 되나요?</t>
  </si>
  <si>
    <t>온나라시스템에서 부재자 설정을 하고자 할 때, 설정 방법, 기간 지정, 권한 위임 등 구체적인 절차는 어떻게 되나요?</t>
  </si>
  <si>
    <t>온나라시스템 부재 설정 방법은 다음과 같습니다.
온나라시스템 로그인: 온나라시스템에 로그인합니다.
부재 설정 메뉴 선택: “설정” 메뉴를 선택한 후 "부재 설정"을 선택합니다.
부재 기간 설정: 부재 기간을 설정합니다. 예를 들어, 2023년 10월 1일부터 2023년 10월 5일까지의 기간을 설정할 수 있습니다.
부재 사유 입력: 부재 사유를 입력합니다. 예를 들어, “출장” 또는 “휴가” 등의 사유를 입력할 수 있습니다.
저장: 설정한 내용을 저장합니다.
온나라시스템의 부재 설정 방법은 시스템 버전이나 운영 환경에 따라 다를 수 있으므로, 시스템 관리자나 담당자에게 문의하여 정확한 방법을 확인하는 것이 좋습니다.</t>
  </si>
  <si>
    <t>지방재정관리시스템 권한 요청 방법은 어떻게 되나요?</t>
  </si>
  <si>
    <t>지방재정관리시스템(이호조, e호조) 사용 권한을 요청하고 승인받기 위해 따라야 하는 절차는 무엇인가요?</t>
  </si>
  <si>
    <t xml:space="preserve">지방재정관리시스템 권한 요청 방법은 다음과 같습니다.
1. 지방재정관리시스템에 로그인합니다.
2. 상단 메뉴에서 "권한관리"를 선택합니다.
3. 권한관리 메뉴에서 "권한 요청"을 선택합니다.
4. 권한 요청 양식에 필요한 정보를 입력합니다. (예: 요청자 이름, 요청 사유, 요청 기간 등)
5. 권한 요청을 제출합니다.
권한 요청이 승인되면 해당 권한을 사용할 수 있게 됩니다. 권한 요청 시 요청 사유를 명확히 기재하는 것이 중요합니다. </t>
  </si>
  <si>
    <t xml:space="preserve">관련 근거 문서가 없습니다.
참고 : 지방재정시스템(차세대 지방재정 등)은 e호조, 이호조 등으로 불리며
직원이 예산, 지출 관련 업무를 수행할수 있는 시스템으로 보시면 됩니다.
기대답변 : 
OO 방법에 대한 관련 문서가 없습니다.
자세한 사항은 관련 부서나 업무 담당자에게 문의하시기 바랍니다.
</t>
  </si>
  <si>
    <t>일상경비 지출 절차는 어떻게 되나요?</t>
  </si>
  <si>
    <t>일상경비를 집행할 때, 지출 신청부터 승인, 집행, 정산까지의 구체적인 절차는 무엇인가요?</t>
  </si>
  <si>
    <t>일상경비 지출 절차는 일상경비 요청, 자금 교부, 지급 원인 행위, 카드 사용, 세무 회계 처리로 진행됩니다.
관련내용은 다음과 같습니다.
일상경비 요청: 일상경비를 요청하고자 할 때에는 일상경비 요청금액, 요청 사유, 예산과목, 정산예정일 등의 내용이 포함된 일상경비지급요청 공문을 작성하여 분임회계책임자에게 청구합니다.
자금 교부: 일상경비는 특히 긴급한 사유가 없는 한 전 회의 일상경비를 정산한 후가 아니면 이를 교부받을 수 없습니다.
지급 원인 행위: 일상경비출납원은 교부받은 자금에 대해 그 목별 금액의 범위 안에서 지급의 원인이 되는 행위를 할 수 있습니다.
카드 사용: 법인카드는 공적인 용도로만 사용해야 하며, 접대성 경비의 경우 지출 시 법인카드 사용을 원칙으로 합니다. 다만, 신용카드 사용이 불가능한 지역 및 사유 등 불가피한 경우에는 현금으로 지출할 수 있습니다.
세무 회계 처리: 세무업무는 제세법령, 통칙, 훈령, 내규 및 지침에 따라 처리하며, 세무업무의 인계·인수 시에는 반드시 세무사항을 포함하여 인계·인수해야 합니다. 세무업무처리에 관련된 제 자료의 보관기간은 조세 소멸시효 완성 시까지로 합니다.</t>
  </si>
  <si>
    <t>ㆍ1122_압축최종부산시사회서비스원_규정집250226.pdf (p.335)
https://busanai.busan.go.kr/download/1122_압축최종부산시사회서비스원_규정집250226.pdf
ㆍ76219_부산광역시_재무회계_규칙_전부개정_규칙안_입법예고문-hwp.pdf (p.66)
https://busanai.busan.go.kr/download/76219_부산광역시_재무회계_규칙_전부개정_규칙안_입법예고문-hwp.pdf</t>
  </si>
  <si>
    <r>
      <rPr>
        <rFont val="Malgun Gothic"/>
        <color theme="1"/>
        <sz val="11.0"/>
      </rPr>
      <t xml:space="preserve">근거문서는 제출 자료에는 없습니다.
해당 근거 문서는 일상경비 사용방법.txt로 보관중입니다.
기대답변(일상경비 사용방법.txt 포함)
[일상경비(법인카드사용시) 처리 방법]
step1. 품의결재(내부결재, 공문,견적서등 서무제출)
step2. 카드결재
step3. 품의승인내역 등록 </t>
    </r>
    <r>
      <rPr>
        <rFont val="Segoe UI Symbol"/>
        <color theme="1"/>
        <sz val="11.0"/>
      </rPr>
      <t>❗❗</t>
    </r>
    <r>
      <rPr>
        <rFont val="맑은 고딕"/>
        <color theme="1"/>
        <sz val="11.0"/>
      </rPr>
      <t>주의</t>
    </r>
    <r>
      <rPr>
        <rFont val="Segoe UI Symbol"/>
        <color theme="1"/>
        <sz val="11.0"/>
      </rPr>
      <t>❗❗</t>
    </r>
    <r>
      <rPr>
        <rFont val="맑은 고딕"/>
        <color theme="1"/>
        <sz val="11.0"/>
      </rPr>
      <t xml:space="preserve">
▶ 품의승인내역 등록에서 카드연계 시
- 거래처명: 본인직급+성명 (예시)전산7급 홍길동
- 예금주명: 부산광역시 정보화정책과(부산광역시청</t>
    </r>
    <r>
      <rPr>
        <rFont val="Segoe UI Symbol"/>
        <color theme="1"/>
        <sz val="11.0"/>
      </rPr>
      <t>❌</t>
    </r>
    <r>
      <rPr>
        <rFont val="맑은 고딕"/>
        <color theme="1"/>
        <sz val="11.0"/>
      </rPr>
      <t>)
step4. 반드시 [계좌검증] 돌리시고 원인행위 결재요청
품의승인내역시 계좌검증 안하고 결재올라가면
과장님 결재로 반려해야하니 주의</t>
    </r>
  </si>
  <si>
    <t>[일상경비(법인카드사용시) 처리 방법]
 step1. 품의결재(내부결재, 공문,견적서등 서무제출)
 step2. 카드결재
 step3. 품의승인내역 등록 ❗❗주의❗❗
 ▶ 품의승인내역 등록에서 카드연계 시
 - 거래처명: 본인직급+성명 (예시)전산7급 홍길동
 - 예금주명: 부산광역시 정보화정책과(부산광역시청❌)
 step4. 반드시 [계좌검증] 돌리시고 원인행위 결재요청
 품의승인내역시 계좌검증 안하고 결재올라가면
 과장님 결재로 반려해야하니 주의</t>
  </si>
  <si>
    <t>1245_일상경비_사용방법-txt.pdf</t>
  </si>
  <si>
    <t>[★[ 필독]일상경비(법인카드사용시) 담당자처리 방법 알림★]
 step1. 품의결재(내부결재, 공문,견적서등 서무제출)
 step2. 카드결재
 step3. 품의승인내역 등록 ❗❗주의❗❗
 ▶ 품의승인내역 등록에서 카드연계 시
 - 거래처명: 본인직급+성명 (예시)전산7급 홍길동
 - 예금주명: 부산광역시 정보화정책과(부산광역시청❌)
 step4. 반드시 [계좌검증] 돌리시고 원인행위 결재요청
 품의승인내역시 계좌검증 안하고 결재올라가면
 과장님 결재로 반려해야하고 우리과 법인카드 계좌에 입금안됩니다!
 꼭 확인해서 품의승인내역 등록 해주시기 바랍니다</t>
  </si>
  <si>
    <t>일상경비 지출 절차 안내</t>
  </si>
  <si>
    <t>일상경비 반납 절차는 어떻게 되나요?</t>
  </si>
  <si>
    <t>일상경비 집행 후 발생한 잔액을 반납해야 할 때, e호조시스템(지방재정시스템) 입력부터 은행 송금 처리까지 어떤 절차와 증빙을 갖추어야 하나요?</t>
  </si>
  <si>
    <t>일상경비 반납 절차는 반납금 수입과 여입, 반납금 처리, 반납금 확인 및 보고, 반납금 입금, 반납금 정산으로 진행됩니다.
관련내용은 다음과 같습니다.
반납금 수입과 여입: 출납이 발생한 연도에 속하는 수입 기타 예산 외의 수입은 모두 당해 연도의 수입에 납입해야 합니다. 사업비의 잔액 등 반납금은 당해 연도에 그 지급한 과목에 여입해야 합니다.
반납금 처리: 일상경비출납원은 관련 업무 종료 후 지체 없이 일상경비를 정산해야 합니다.
반납금 확인 및 보고: 정산 증빙서류는 자금 요청 시에 명시된 사용 목적의 내용과 거래 사실이 입증될 수 있는 것이어야 합니다.
반납금 입금: 반납금은 원칙적으로 당일 중 은행에 입금 처리합니다.
반납금 정산: 일상경비출납원은 지급에 앞서 분임재무관의 회계 관직이 지정된 경우에는 해당 분임재무관의 지급 원인행위를 거쳐야 합니다.</t>
  </si>
  <si>
    <t>ㆍ1122_압축최종부산시사회서비스원_규정집250226.pdf (p.133)
https://busanai.busan.go.kr/download/1122_압축최종부산시사회서비스원_규정집250226.pdf</t>
  </si>
  <si>
    <t>행정전자서명 가입 절차는 어떻게 되나요?</t>
  </si>
  <si>
    <t>행정전자서명을 신규로 가입하거나 갱신할 때, 신청 방법, 필요 서류, 승인 절차 등 전체 과정은 어떻게 되나요?</t>
  </si>
  <si>
    <t>부산광역시 행정전자서명 가입 절차는 GPKI 신청, 사용자 등록, 인증서 발급 신청, 인증서 발급, 인증서 등록, 인증서 사용으로 진행됩니다.
관련내용은 다음과 같습니다.
GPKI 신청: 행정전자서명인증관리센터(www.gpki.go.kr)에서 GPKI를 신청합니다. 개인용 또는 기관용 중 개인용을 신청해야 하며, 발급까지 2~3일 정도 소요됩니다.
사용자 등록: 국정관리시스템 로그인 화면(www.ogm.go.kr)에서 사용자 등록을 진행합니다. GPKI 인증서 비밀번호를 입력하고, 인증에 성공하면 사용자 등록 화면이 나타납니다. 기본 정보 입력 및 사용할 업무 권한을 선택합니다.
인증서 발급 신청: 사용자는 행정전자서명 신청서를 작성하여 공문으로 등록기관 담당자에게 인증서 발급을 신청합니다.
인증서 발급: 등록기관 담당자가 신청자의 신원을 확인한 후, 사용자 등록 및 인증서 발급 절차를 진행합니다.
인증서 등록: 사용자는 https://www.gpki.go.kr에 접속하여 인증서를 등록합니다.
인증서 사용: 등록된 인증서를 사용하여 부산광역시 행정전자서명에 가입하고, 필요한 업무를 수행할 수 있습니다.</t>
  </si>
  <si>
    <t>ㆍ329_1911_정보화정책과_업무매뉴얼_행정안전부_행정전자서명_사용자_매뉴얼Ver14.pdf (p.2)
https://busanai.busan.go.kr/download/329_1911_정보화정책과_업무매뉴얼_행정안전부_행정전자서명_사용자_매뉴얼Ver14.pdf
ㆍ414_2505_총무과_매뉴얼_2024_정부의전편람.pdf (p.429)
https://busanai.busan.go.kr/download/414_2505_총무과_매뉴얼_2024_정부의전편람.pdf</t>
  </si>
  <si>
    <t>첨부파일 2번째꺼는 잘못된 파일입니다.
관련 문서는 정보화정책과에서 제출한
행정전자서명 사용자 매뉴얼Ver1.4 입니다.
재발급과 인사이동 시 인증서 이동에 대한 내용은 없습니다.
해당 내용이 있는 파일은 행정전자서명(GPKI) 발급 갱신 이동 안내 파일인데
해당 파일은 아직 미제출상태입니다.
기대답변 (행정전자서명 발급 갱신 이동 안내 파일 포함)
[행정전자서명 신규, 재발급, 비밀번호 분실 시]
1. 공문 신청(정보화정책과) 
＃기간제 직원 신청시 근무기간 반드시 명시
* 구군은 구군 전산팀,상수도사업본부는경영지원부 정보관리팀, 소방재난본부는 119종합 상황실로 신청
2. 문자메시지 수신 후 gpki.go.kr에 접속하여 인증서 발급
※ 행정망에서만 가능
 - 메뉴: 인증서관리/발급 (구분: 개인용, 행정기관)
 - 기관명: 부산광역시
***14일내 발급 필요, 14일 초과시 재 신청(공문 재발송 필요)***</t>
  </si>
  <si>
    <t>온나라시스템 과제카드 설정은 어떻게 되나요?</t>
  </si>
  <si>
    <t>온나라 시스템에서 문서 작성 시 과제카드를 설정하거나 변경하려면 어떻게 해야 하나요?</t>
  </si>
  <si>
    <t>온나라시스템에서 과제카드 설정은 생산기관, 단위과제, 과제카드 재지정, 과제카드 변경을 통해 이루어집니다.
관련내용은 다음과 같습니다.
생산기관 설정: 기록물철(과제카드)이 속한 단위과제를 입력하기 전에, 생산기관을 설정해야 합니다. 생산기관은 기록물철(과제카드)이 속한 부서명을 입력하여 검색하고 선택합니다.
단위과제 설정: 생산기관 설정 후, 기록물철(과제카드)이 속한 단위과제를 입력합니다. 단위과제는 2008년 이전에는 단위업무로, 2009년 이후에는 단위과제로 구분됩니다.
과제카드 재지정: 과제카드 오류지정 시에는 온 나라 시스템에서 “처리한 문서” 메뉴로 이동하여 "완료 문서"를 선택하고, 해당 문서에서 "재편철"을 클릭하여 과제카드를 재지정할 수 있습니다.
과제카드 변경: 과제카드 변경이 필요한 경우, “과제카드 변경” 버튼을 클릭하여 변경할 과제카드를 선택하고 확인 버튼을 클릭하여 변경을 완료합니다.
이러한 절차를 통해 온나라시스템에서 과제카드를 설정하고 관리할 수 있습니다.</t>
  </si>
  <si>
    <t>ㆍ438_2502_통합민원과_업무메뉴얼_통합민원과_기록관리_업무편람기정너.pdf (p.21, 44)
https://busanai.busan.go.kr/download/438_2502_통합민원과_업무메뉴얼_통합민원과_기록관리_업무편람기정너.pdf
ㆍ355_2412_정보화정책과_업무매뉴얼_KLID_온나라_20_부서관리자_교육자료PDF.pdf (p.13)
https://busanai.busan.go.kr/download/355_2412_정보화정책과_업무매뉴얼_KLID_온나라_20_부서관리자_교육자료PDF.pdf</t>
  </si>
  <si>
    <t>2번 첨부파일만 참고하시면 될것 같습니다.
1번 첨부파일은 온나라시스템 상의 과제카드 설정이라기보다는
기록물 관리할때의 과제카드에 관한 설명으로 보입니다.
기대답변
1. 기능분류시스템(BRM)을 기반으로과제카드생성
2. 과제카드관리자는부서과제카드등록
 - 카드등록 : 부서단위과제(카드)관리자, 부서관리과제(카드)관리자권한이있는
사용자에게노출됨
 - 카드구성 : 표제부, 실적관리,접수관리, 이력관리는 기본적으로 사용하고 특성에 따라 계획관리, 홍보관리, 고객관리 선택
 -  과제담당자 : 실제 과제를 수행할 담당자를 지정
* ‘과제담당자’만이 해당 과제의 전자문서, 과제일정, 메모보고 등의 작성이 가능함
 - 내부관계자 : 과제와 관련이 있는 타부서 관계자를 지정</t>
  </si>
  <si>
    <t>참조내용과 질문을 활용해 지피티로 생성한 답변을 기대답변으로 첨부합니다.
 기대답변 :
 1. 부서과제 과제카드 생성
  - 카드 등록 권한: 부서 단위과제 카드 관리자 또는 부서 관리과제 카드 관리자 권한이 있는 사용자만 가능
  - 카드 구성:
  &gt; 필수 항목: 표제부, 실적관리, 접수관리, 이력관리
  &gt; 선택 항목: 계획관리, 홍보관리, 고객관리(과제 특성에 따라 선택)
  - 과제 담당자 지정: 실제 과제를 수행할 담당자를 지정하며, 과제 담당자만 해당 과제의 전자문서, 과제일정, 메모보고 작성 가능
  - 내부 관계자 지정: 과제 관련 타 부서 관계자를 지정
 2. 과제카드 관리
  - 수정 권한: 부서 단위과제 카드 관리자 또는 부서 관리과제 카드 관리자
  - 과제카드 수정 및 담당자 변경:
  &gt; 수정할 과제카드 선택
  &gt; ‘변경’ 버튼 선택 후 과제 담당자 목록 수정 가능
 3. 과제카드 담당자 관리
  - 일괄 지정 기능:
  &gt; ‘담당자 관리’ 버튼 선택
  &gt; 원하는 과제카드 목록과 부서원 목록 선택
  &gt; 저장하여 일괄 지정 완료</t>
  </si>
  <si>
    <t>355_2412_정보화정책과_업무매뉴얼_KLID_온나라_20_부서관리자_교육자료PDF.pdf</t>
  </si>
  <si>
    <t>15, 16, 17</t>
  </si>
  <si>
    <t>이미지 제외하고 아래 내용으로만 답변 생성 바랍니다.
 2.2 부서과제 과제카드 생성
 - 과제카드 관리자는 부서 과제카드 등록
  Ø카드등록 : 부서 단위과제 카드 관리자 , 부서 관리과제 카드 관리자 권한이 있는 사용자에게 노출 됨
  • 카드구성
  표제부, 실적관리 접수관리 이력관리는 기본적으로 사용하고 특성에 따라 계획관리, 홍보관리, 고객관리를 선택
  • 과제 담당자
  실제 과제를 수행할 담당자를 지정
  * ‘과제담당자 만이 해당과제의 전자문서,과제일정, 메모보고 등의 작성이 가능함
  • 내부 관계자
  과제와 관련이 있는 타 부서 관계자를 지정
 2.3 과제카드 관리
 - 과제카드 수정 및 과제담당자 변경
  Ø 부서 단위과제 카드 관리자 , 부서관리과제 카드 관리자 권한이 있는 사용자는 부서과제카드를 선택하여 과제카드 수정 가능
  ① 변경 버튼을 선택하여 과제 담당자 목록 수정 가능
 2.4 과제카드 담당자 관리
 - 과제카드 담당자 일괄 지정
  Ø 과제카드 담당자 일괄 지정 기능
  ① 담당자 관리 버튼을 선택하여 원하는 카드 목록과 부서원목록을 선택 후 저장</t>
  </si>
  <si>
    <t>온나라시스템 과제카드 설정 방법 안내</t>
  </si>
  <si>
    <r>
      <rPr>
        <rFont val="Malgun Gothic"/>
        <color rgb="FF000000"/>
        <sz val="11.0"/>
      </rPr>
      <t xml:space="preserve">355_2412_정보화정책과_업무매뉴얼_KLID_온나라_20_부서관리자_교육자료PDF.pdf 
------
</t>
    </r>
    <r>
      <rPr>
        <rFont val="맑은 고딕"/>
        <color rgb="FFFF0000"/>
        <sz val="11.0"/>
      </rPr>
      <t xml:space="preserve">[문서 내용이 대부분 이미지로 만들어져 있어 내용 인식이 잘 되지 않으며 유사도 떨어짐]
</t>
    </r>
    <r>
      <rPr>
        <rFont val="맑은 고딕"/>
        <color rgb="FF000000"/>
        <sz val="11.0"/>
      </rPr>
      <t xml:space="preserve">
[p.14]
</t>
    </r>
    <r>
      <rPr>
        <rFont val="Segoe UI Symbol"/>
        <color rgb="FF000000"/>
        <sz val="11.0"/>
      </rPr>
      <t>➢</t>
    </r>
    <r>
      <rPr>
        <rFont val="맑은 고딕"/>
        <color rgb="FF000000"/>
        <sz val="11.0"/>
      </rPr>
      <t xml:space="preserve"> [카드등록] : 부서 단위과제(카드)관리자, 부서 관리과제(카드)관리자 권한이있는 사용자에게노출 됨
• 카드구성
표제부, 실적관리,접수관리, 이력관리 는 기본적으로 사용하고 특성에 따라 계획관리, 홍보관리, 고객관리 를 선택
• ‘과제 담당자’
실제 과제를 수행할 담당자를 지정
* ‘과제담당자’만이 해당과제의 전자문서, 과제일정, 메모보고 등의 작성이 가능함
• ‘내부 관계자’
과제와 관련이 있는 타 부서 관계자를 지정</t>
    </r>
  </si>
  <si>
    <t>지방재정관리시스템 대직 권한 설정 방법은?</t>
  </si>
  <si>
    <t>지방재정관리시스템에서 결재권자 부재 시 대직자 권한을 설정하려면, 필요한 절차와 권한, 설정 방법은 어떻게 되나요?</t>
  </si>
  <si>
    <t>지방재정관리시스템에서 대직 권한 설정 방법은 다음과 같습니다.
지방재정관리시스템에 로그인합니다.
“사용자 관리” 메뉴를 선택합니다.
"사용자 권한 관리"를 선택합니다.
대직 권한을 부여할 사용자를 선택합니다.
“대직 권한 부여” 버튼을 클릭합니다.
대직 권한을 부여할 업무를 선택합니다.
“저장” 버튼을 클릭하여 변경사항을 저장합니다.
위 단계를 통해 지방재정관리시스템에서 대직 권한을 설정할 수 있습니다. 시스템마다 세부 메뉴나 명칭이 다를 수 있으니, 시스템 매뉴얼을 참고하여 진행하는 것이 좋습니다.</t>
  </si>
  <si>
    <t>관련 근거 문서가 없습니다.
참고 : 지방재정시스템(차세대 지방재정 등)은 e호조, 이호조 등으로 불리며
직원이 예산, 지출 관련 업무를 수행할수 있는 시스템으로 보시면 됩니다.
기대답변 : 
OO 방법에 대한 관련 문서가 없습니다.
자세한 사항은 관련 부서나 업무 담당자에게 문의하시기 바랍니다.</t>
  </si>
  <si>
    <t>지방재정관리시스템 결재선 입력 방법은?</t>
  </si>
  <si>
    <t>지방재정관리시스템에서 결재를 진행할 때, 결재선을 입력하거나 수정하려면 절차와 권한, 구체적인 입력 방법은 무엇인가요?</t>
  </si>
  <si>
    <t>지방재정관리시스템에서 결재선을 입력하는 방법은 다음과 같습니다.
지방재정관리시스템에 로그인합니다.
결재선 관리 메뉴를 선택합니다.
결재선 관리 화면에서 결재선 정보를 입력합니다.
결재선 유형: 결재선 유형을 선택합니다. (예: 부서장 결재, 팀장 결재 등)
결재선 구성원: 결재선에 포함될 구성원들을 선택합니다. (예: 부서장, 팀장 등)
결재선 순서: 결재선 구성원들의 순서를 설정합니다.
입력한 결재선 정보를 저장합니다.
이 과정을 통해 결재선을 입력하고 관리할 수 있습니다. 시스템마다 세부 메뉴 이름이나 순서가 다를 수 있으니, 시스템 매뉴얼을 참고하여 진행하는 것이 좋습니다.</t>
  </si>
  <si>
    <t>DRM 또는 PC Client 사용을 위해 필요한 아이디와 비밀번호를 분실했을 때, 복구 또는 재발급을 받는 절차와 담당 부서는 어떻게 되나요?</t>
  </si>
  <si>
    <t>DRM PC Client의 아이디 및 비밀번호를 잊어버렸을 때 해결 방법은 다음과 같습니다.
DRM 고객센터에 문의: DRM 고객센터에 연락하여 아이디 및 비밀번호를 잊어버렸다고 문의합니다. 고객센터에서는 아이디와 비밀번호를 재설정하거나 복구하는 방법을 안내해 줄 수 있습니다.
비밀번호 재설정: DRM PC Client 로그인 화면에서 “비밀번호를 잊으셨나요?” 옵션을 선택합니다. 이후 이메일 주소나 휴대폰 번호를 입력하여 비밀번호를 재설정할 수 있는 링크를 받습니다.
고객센터 방문: 만약 온라인으로 해결이 어렵다면, DRM 고객센터에 직접 방문하여 도움을 요청할 수 있습니다.
보안 설정 확인: 비밀번호를 재설정한 후에는 보안 설정을 다시 확인하여 추가적인 보안 조치를 취하는 것이 좋습니다.
이러한 방법을 통해 DRM PC Client의 아이디 및 비밀번호를 복구하거나 재설정할 수 있습니다.</t>
  </si>
  <si>
    <t>온나라 문서 과제카드를 잘못 지정하였습니다. 어떻게 수정하나요?</t>
  </si>
  <si>
    <t>온나라 시스템에서 문서 작성 시 과제카드를 잘못 지정한 경우, 이를 수정하거나 재지정하는 절차는 어떻게 되나요?</t>
  </si>
  <si>
    <t>온나라 문서 과제카드를 잘못 지정한 경우, 재편철(과제카드 재지정) 절차를 통해 수정할 수 있습니다.
관련 내용은 다음과 같습니다.
온나라 시스템에 로그인합니다.
“처리한 문서” 메뉴로 이동합니다.
“완료 문서” 탭에서 수정하려는 문서건을 선택합니다.
해당 문서건의 상세 페이지에서 "재편철할 기록물건 제목"을 클릭합니다.
"문서관리카드 보기"로 이동한 후, “과제카드 변경” 버튼을 클릭합니다.
변경할 새로운 과제카드를 선택하고, 확인 버튼을 클릭하여 변경을 완료합니다.
이 과정을 통해 과제카드를 잘못 지정한 문서를 올바르게 수정할 수 있습니다.</t>
  </si>
  <si>
    <t>이상없습니다.
다만 기대답변이 좀 더 간결했으면 합니다.
재편철(과제카드 재지정) : 과제카드 오류지정 시
온나라 &gt; 처리한 문서 &gt; 완료문서 &gt; 재편철할 기록물건 제목 클릭 &gt; 문서관리카드[보기] &gt; 과제카드 변경버튼 클릭 &gt; 변경할 과제카드 선택 &gt; 확인 버튼 클릭</t>
  </si>
  <si>
    <t>재편철(과제카드 재지정) : 과제카드 오류지정 시
 온나라 &gt; 처리한 문서 &gt; 완료문서 &gt; 재편철할 기록물건 제목 클릭 &gt; 문서관리카드[보기] &gt; 과제카드 변경버튼 클릭 &gt; 변경할 과제카드 선택 &gt; 확인 버튼 클릭</t>
  </si>
  <si>
    <t>➊ 재편철(과제카드 재지정) : 과제카드 오류지정 시
 온나라 &gt; 처리한 문서 &gt; 완료문서 &gt; 재편철할 기록물건 제목 클릭 &gt; 문서관리카드[보기] &gt; 과제카드 변경버튼 ( ) 클릭 &gt; 변경할 과제카드 선택 &gt; 확인 버튼 클릭</t>
  </si>
  <si>
    <t>차세대지방재정 업무그룹에 각각 어떤 권한이 부여되어 있나요?</t>
  </si>
  <si>
    <t>차세대지방재정시스템에서 각 업무그룹별로 부여된 권한 확인 및 변경 절차는 어떻게 되나요?</t>
  </si>
  <si>
    <t>차세대지방재정 시스템의 업무그룹별 권한 부여 내역은 다음과 같습니다.
예산편성 업무그룹
예산편성 담당자: 예산편성, 예산안 작성, 예산안 제출
예산집행 담당자: 예산 집행, 예산 집행 내역 관리
예산결산 담당자: 예산 결산, 예산 결산 보고서 작성
세입세출 업무그룹
세입 담당자: 세입 관리, 세입 내역 관리
세출 담당자: 세출 관리, 세출 내역 관리
재무보고 업무그룹
재무보고 담당자: 재무보고, 재무보고서 작성
자산관리 업무그룹
자산관리 담당자: 자산 관리, 자산 내역 관리
계약관리 업무그룹
계약관리 담당자: 계약 관리, 계약 내역 관리
지출관리 업무그룹
지출관리 담당자: 지출 관리, 지출 내역 관리
이러한 권한 부여 내역은 시스템의 안정적이고 효율적인 운영을 위해 각 업무그룹별로 필요한 권한을 부여하여 업무를 수행할 수 있도록 하고 있습니다.</t>
  </si>
  <si>
    <t>장기재직휴가 기준과 사용 방법을 알려주세요. 장기재직휴가 사용 요건이 되면 인사랑에 자동 반영되나요?</t>
  </si>
  <si>
    <t>장기재직휴가 부여 기준과 근속년수별 휴가 일수, 신청 및 사용 방법은 무엇이며, 사용 요건 충족 시 인사관리시스템(인사랑)에 자동으로 반영되나요?</t>
  </si>
  <si>
    <t>산광역시청에서 장기재직휴가 기준은 재직기간에 따라 10년 이상 20년 미만은 10일, 20년 이상 30년 미만은 20일, 30년 이상은 25일을 사용할 수 있습니다. 사용 방법은 장기재직휴가 계획서를 작성하여 근무상황부에 기재하고, 원장의 승인을 받아야 합니다. 또한, 휴가는 해당 재직기간 내에 사용해야 하며, 5일 단위로 분할 사용이 가능합니다. 연차일수와 관계없이 사용할 수 있으며, 휴가기간 중 주요 현안업무 및 인수인계 현황을 파악해야 합니다. 장기재직휴가 사용 요건을 충족하면 인사랑 시스템에 자동으로 반영되는 것이 아니라, 인사부서에 신청하고 소속 부서에서는 업무 대행자의 지정, 업무의 인수·인계 등 필요한 조치를 취해야 합니다.</t>
  </si>
  <si>
    <t>근거 오류입니다.
기관에 대한 입력이 없으면 기본적으로 부산시 우선입니다.
부산시 우선 &gt; 상위기관 순이고
하위기관은 따로 프롬프트에 입력할때만 답변 근거로 사용하시면 됩니다.
그게 아니면 없는 자료로 취급해야합니다.
해당 질의에 대한 답변 문서는 [붙임 1]장기재직휴가 시행지침 개정전문인데 학습자료 미제출자료입니다.
 - 2 세부 시행지침 내용 참고
기대답변(미제출자료 포함해서 답변 생성)
1. 장기재직 사용방법
  가. 복무시스템 승인 및 실시(휴가 희망직원 ⇒ 부서장)
    - 차세대인사랑(복무관리시스템) 상 결재를 득한 후 휴가 실시
       * 휴가신청 시 차세대인사랑 등록방법 
         √ 휴가구분 : 연가외휴가관리 - 특별휴가 - ‘장기재직휴가’로 등록
         √ 휴가사유 : [예시] ‘(금회) 20년차 1회 5일, (잔여일수) 20일
    - 부서장은 휴가 기간 중 업무대행자 지정 등 확인 후 승인
       * 주요 현안 등 업무 공백이 우려될 경우 휴가 조정 등
  나. 업무에 지장이 없는 범위 내에서 부서장* 책임 하 실시
     - 휴가 시작일 기준 1주일 전 승인(차세대인사랑 복무 승인) 후 실시
  다. 재직기간 별 해당 기간 내 반드시 사용
  라. 휴가 기간은 2일 이상 분할사용 가능
    - 최소 2일 이상 사용
  마. 부서 현원의 1/3 이내로 휴가대상자 선정
  바. 장기간 휴가사용을 위해 연가 연계사용 권장
2. 장기재직휴가 대상 : 재직기간 5년 이상인 공무원부터
3. 재직기간별 휴가 일수
 - 5년~9년 : 5일
 - 10년~19년 : 10일
 - 20년~29년 : 25일
 - 30년 이상 : 25일
4. 인사랑 자동 반영 여부에 관련된 매뉴얼이 없습니다. 관련 부서나 업무담당자에게 문의하시기 바랍니다.</t>
  </si>
  <si>
    <t>1. 장기재직 사용방법
  가. 복무시스템 승인 및 실시(휴가 희망직원 ⇒ 부서장)
  - 차세대인사랑(복무관리시스템) 상 결재를 득한 후 휴가 실시
  * 휴가신청 시 차세대인사랑 등록방법 
  √ 휴가구분 : 연가외휴가관리 - 특별휴가 - ‘장기재직휴가’로 등록
  √ 휴가사유 : [예시] ‘(금회) 20년차 1회 5일, (잔여일수) 20일
  - 부서장은 휴가 기간 중 업무대행자 지정 등 확인 후 승인
  * 주요 현안 등 업무 공백이 우려될 경우 휴가 조정 등
  나. 업무에 지장이 없는 범위 내에서 부서장* 책임 하 실시
  - 휴가 시작일 기준 1주일 전 승인(차세대인사랑 복무 승인) 후 실시
  다. 재직기간 별 해당 기간 내 반드시 사용
  라. 휴가 기간은 2일 이상 분할사용 가능
  - 최소 2일 이상 사용
  마. 부서 현원의 1/3 이내로 휴가대상자 선정
  바. 장기간 휴가사용을 위해 연가 연계사용 권장
 2. 장기재직휴가 대상 : 재직기간 5년 이상인 공무원부터
 3. 재직기간별 휴가 일수
  - 5년~9년 : 5일
  - 10년~19년 : 10일
  - 20년~29년 : 25일
  - 30년 이상 : 25일
 4. 인사랑 자동 반영 여부에 관련된 매뉴얼이 없습니다. 관련 부서나 업무담당자에게 문의하시기 바랍니다.</t>
  </si>
  <si>
    <t>직원복지지원시스템 사용 방법을 알려주세요. 행정포털 아이디가 없을 경우엔 어떻게 하나요?</t>
  </si>
  <si>
    <t>행정포털 계정이 없을 경우 직원복지지원시스템 사용 방법은 어떻게 되나요?</t>
  </si>
  <si>
    <t>직원복지지원시스템 사용 방법과 행정포털 아이디가 없을 경우의 사용 방법은 다음과 같습니다.
직원복지지원시스템 사용 방법
직원복지지원시스템에 로그인합니다.
해당 시스템 내에서 필요한 서류를 업로드합니다. 예를 들어, 대상포진 예방접종 시에는 신청서와 진료비 상세내역서를 업로드해야 합니다.
업로드한 서류를 검토한 후, 접종비용이 청구되면 지급 절차가 진행됩니다.
접종비용은 익월 10일 이내에 개인 계좌로 입금됩니다.
행정포털 아이디가 없을 경우의 사용 방법
청원경찰과 같이 직원복지지원시스템을 사용하지 않는 경우, 공문을 통해 서류를 제출해야 합니다.
공문에는 신청서와 필요한 증빙자료를 첨부하여 제출합니다.
인사과에서는 제출된 서류를 검토한 후, 접종비용을 청구하며, 익월 10일 이내에 지급합니다.</t>
  </si>
  <si>
    <t>ㆍ288_2501_인사과_기타_인사과_2025년_휴양시설_이용_지원_계획.pdf (p.2)
https://busanai.busan.go.kr/download/288_2501_인사과_기타_인사과_2025년_휴양시설_이용_지원_계획.pdf
ㆍ277_2501_인사과_기타_인사과_2025년_공무원_대상포진_예방접종_지원_계획.pdf (p.1)
https://busanai.busan.go.kr/download/277_2501_인사과_기타_인사과_2025년_공무원_대상포진_예방접종_지원_계획.pdf
ㆍ276_2501_인사과_기타_인사과_2025년_가족친화_프로그램_운영_계획.pdf (p.2)
https://busanai.busan.go.kr/download/276_2501_인사과_기타_인사과_2025년_가족친화_프로그램_운영_계획.pdf</t>
  </si>
  <si>
    <r>
      <rPr>
        <rFont val="&quot;맑은 고딕&quot;"/>
        <color rgb="FF000000"/>
        <sz val="11.0"/>
      </rPr>
      <t xml:space="preserve">이미지 제외 본문 텍스트 활용으로
왼쪽 기대답변대로 생성되면 됩니다. 
-------
</t>
    </r>
    <r>
      <rPr>
        <rFont val="&quot;맑은 고딕&quot;"/>
        <color rgb="FF0000FF"/>
        <sz val="11.0"/>
      </rPr>
      <t>[Top5내로 검색될 수 있도록 페이지 정리 논의 필요]</t>
    </r>
    <r>
      <rPr>
        <rFont val="&quot;맑은 고딕&quot;"/>
        <color rgb="FF000000"/>
        <sz val="11.0"/>
      </rPr>
      <t xml:space="preserve">
</t>
    </r>
    <r>
      <rPr>
        <rFont val="&quot;맑은 고딕&quot;"/>
        <color rgb="FF00FF00"/>
        <sz val="11.0"/>
      </rPr>
      <t>&gt;&gt; 간단한 질문 FAQ에 정리 요청</t>
    </r>
  </si>
  <si>
    <r>
      <rPr>
        <rFont val="맑은 고딕"/>
        <b/>
        <color theme="1"/>
        <sz val="11.0"/>
      </rPr>
      <t>300_2502_인사과_업무매뉴얼_인사과_직원복지지원시스템_사용방법_안내장례비.pdf [1-5]</t>
    </r>
    <r>
      <rPr>
        <rFont val="맑은 고딕"/>
        <color theme="1"/>
        <sz val="11.0"/>
      </rPr>
      <t xml:space="preserve">
-----
</t>
    </r>
    <r>
      <rPr>
        <rFont val="맑은 고딕"/>
        <color rgb="FFFF0000"/>
        <sz val="11.0"/>
      </rPr>
      <t xml:space="preserve">[문서 페이지가 다 나눠져 있음.]
</t>
    </r>
    <r>
      <rPr>
        <rFont val="맑은 고딕"/>
        <color theme="1"/>
        <sz val="11.0"/>
      </rPr>
      <t xml:space="preserve">후생복지 프로그램 신청방법 안내□ 유의사항
- 파견, 휴직자, 시의원 등 행정포털 미사용자(공무원)는 각 부서관리자(서무)가 신청□ 진행 절차
① 행정포털 하단 개인서비스→ ’직원복지지원’ 클릭
② 복지지원 프로그램 배너 → 프로그램 조회 → ‘신청’ 클릭
③ 상세지원 내역(유의사항) 및 첨부파일 확인 후 ‘신청’ 클릭
④ 해당서식 작성 및 첨부파일 업로드 후 등록 클릭
⑤ 신청처리 현황 목록에서 진행상태 확인
</t>
    </r>
  </si>
  <si>
    <r>
      <rPr>
        <rFont val="맑은 고딕"/>
        <b/>
        <color theme="1"/>
        <sz val="11.0"/>
      </rPr>
      <t xml:space="preserve">301_2502_인사과_업무매뉴얼_인사과_직원복지지원시스템_신청방법휴양시설_이용_지원.pdf[1-5]
</t>
    </r>
    <r>
      <rPr>
        <rFont val="맑은 고딕"/>
        <color theme="1"/>
        <sz val="11.0"/>
      </rPr>
      <t xml:space="preserve">-----
</t>
    </r>
    <r>
      <rPr>
        <rFont val="맑은 고딕"/>
        <color rgb="FFFF0000"/>
        <sz val="11.0"/>
      </rPr>
      <t xml:space="preserve">[문서 페이지가 다 나눠져 있음]
</t>
    </r>
    <r>
      <rPr>
        <rFont val="맑은 고딕"/>
        <color theme="1"/>
        <sz val="11.0"/>
      </rPr>
      <t xml:space="preserve">
후생복지 프로그램 신청방법 안내(공무원)
□ 유의사항
- 청원경찰(행정포털 미사용자) : [붙임파일1] 휴양시설 이용 지원 신청서(공문제출)
□ 진행 절차(공무원)
① 행정포털 하단 개인서비스→ ’직원복지지원’ 클릭
② 복지지원 프로그램 배너 → 프로그램 조회 → ‘신청’ 클릭
③ 상세지원 내역(유의사항) 및 첨부파일 확인 후 ‘신청’ 클릭
④ 해당서식 작성 및 첨부파일 업로드 후 등록 클릭
※ 1. 직무, 연락처, 지급계좌, 배우자 공무원 여부 선택 등 작성
2. 이용기간, 휴양시설명, 첨부파일 내역은 당첨 후 지원금신청시 작성
⑤ 신청처리 현황 목록에서 진행상태 확인
⑥ 지원 대상자 선정·공문통보 : ’25. 3. 31.(월)한
</t>
    </r>
  </si>
  <si>
    <t>업무추진비 집행을 위해서 확인해야할 규정을 정리해주세요. 직원당 쓸 수 있는 단가도 상세히 알려주세요
(예시: 정원가산업무추진비 격려금 지급 상한금액 등)</t>
  </si>
  <si>
    <t>업무추진비 집행을 위해 확인해야 할 관련 규정과 지침은 무엇이며, 직원별로 사용할 수 있는 단가, 격려금 상한액 등 세부 기준은 어떻게 되나요?</t>
  </si>
  <si>
    <t>업무추진비 집행과 관련하여 확인해야 할 규정과 직원당 쓸 수 있는 단가는 다음과 같습니다.
업무추진비 집행 관련 규정
지방자치단체 회계관리에 관한 훈령
지방자치단체 업무추진비 집행에 관한 규칙
지방재정법 제47조
정원가산업무추진비 집행 기준
부산광역시립예술단 운영규정
부산광역시 공공기관의 출연금, 전출금 및 위탁사업비 정산에 관한 조례
공공기관 출연금, 전출금 및 위탁사업비 정산 업무 처리 지침
업무추진비 집행 지침(부산도시공사 사규)
지방자치단체 세출예산 집행기준(행정안전부 예규)
관련 법령 및 조례
직원당 쓸 수 있는 단가
정원가산업무추진비 격려금 지급 상한금액: 300만 원 미만 물품 구입 시 신용카드 또는 현금영수증을 의무적으로 적용해야 합니다.
업무추진비로 300만 원 미만 물품 구입 시 신용카드 또는 현금영수증을 의무적으로 적용해야 합니다.
직원 사기 진작을 위한 격려금 지급: 격려금 지급은 현장 근무자 및 비상근무자로 한정되며, 자치단체 본청은 격려금 지급 대상에서 제외됩니다.
업무추진비 집행 시 현금 사용 제한: 업무추진비는 원칙적으로 현금을 사용할 수 없으며, 현금 집행이 불가피한 경우 최종 수요자에게 영수증을 받을 수 없거나 부적절한 경우에 한해 집행 가능합니다. 이때 현금 전달자 등에게 집행 내역서를 받아 회계 증빙서류에 첨부해야 합니다.
이러한 규정과 단가를 준수하여 업무추진비를 집행하는 것이 중요합니다.</t>
  </si>
  <si>
    <t>회계재산담당관 일반지출 절차 및 삭제 파일의 127~128P에 해당 내용이 나와있습니다.
그 외 미 제출한 파일 중 지방회계법시행령 제64조 하위법령 = 지방자치단체 업무추진비 집행에 관한 규칙과 [별표 1] 지방자치단체의 장 등 업무추진비 집행대상 직무활동 범위 파일 기준으로 답변 작성했습니다.
기대답변
1. 관련 규정 : 지방자치단체 업무추진비 집행에 관한 규칙
2. 집행대상 및 범위
업무추진비는 지방자치단체의 직무 수행을 위해 필요한 범위에서만 사용할 수 있습니다.
주요 사용 가능 항목은 다음과 같습니다.
① 재난이나 사고로 인한 이재민, 피해자, 복구 종사자 등에 대한 격려금품 지급 및 식사 제공
② 시책사업이나 지역특산품, 언론 간담회 등 지역 홍보 관련 행사비
③ 체육·문화·학술 분야 유공자나 자원봉사자에 대한 격려금품 또는 식사 제공
④ 시책사업 추진, 각종 회의·행사·간담회 참석자에 대한 식사 또는 기념품 제공
⑤ 경찰서, 소방서 등 현장 근무자 및 유관기관 현장 종사자 격려
⑥ 소속 직원의 부상·사망 위로, 퇴직 예정자나 평가 우수부서 격려, 비상근무자 위문 등 내부 격려
⑦ 타 기관·단체와의 협의, 공동행사, 퇴임·전출입자에 대한 의례적 선물 제공
⑧ 내방객 다과·음료, 결혼·사망 시 축의·부의금품 등 통상적인 직무 관련 경비
⑨ 조례나 법령에 따라 구체적으로 정해진 경우 등입니다.
이외의 용도나 개인적 목적, 정기적인 금품 지급은 허용되지 않습니다.
3. 단가 관련 내용은 근거 규정이 없으므로 관련 부서나 업무 담당자에게 문의하시기 바랍니다.</t>
  </si>
  <si>
    <t>1. 관련 규정 : 지방자치단체 업무추진비 집행에 관한 규칙
 2. 집행대상 및 범위
 업무추진비는 지방자치단체의 직무 수행을 위해 필요한 범위에서만 사용할 수 있습니다.
 주요 사용 가능 항목은 다음과 같습니다.
 ① 재난이나 사고로 인한 이재민, 피해자, 복구 종사자 등에 대한 격려금품 지급 및 식사 제공
 ② 시책사업이나 지역특산품, 언론 간담회 등 지역 홍보 관련 행사비
 ③ 체육·문화·학술 분야 유공자나 자원봉사자에 대한 격려금품 또는 식사 제공
 ④ 시책사업 추진, 각종 회의·행사·간담회 참석자에 대한 식사 또는 기념품 제공
 ⑤ 경찰서, 소방서 등 현장 근무자 및 유관기관 현장 종사자 격려
 ⑥ 소속 직원의 부상·사망 위로, 퇴직 예정자나 평가 우수부서 격려, 비상근무자 위문 등 내부 격려
 ⑦ 타 기관·단체와의 협의, 공동행사, 퇴임·전출입자에 대한 의례적 선물 제공
 ⑧ 내방객 다과·음료, 결혼·사망 시 축의·부의금품 등 통상적인 직무 관련 경비
 ⑨ 조례나 법령에 따라 구체적으로 정해진 경우 등입니다.
 이외의 용도나 개인적 목적, 정기적인 금품 지급은 허용되지 않습니다.
 3. 단가 관련 내용은 근거 규정이 없으므로 관련 부서나 업무 담당자에게 문의하시기 바랍니다.</t>
  </si>
  <si>
    <t>1223_별표_1_지방자치단체의_장_등_업무추진비_집행대상_직무활동_범위제3조제1항_관련지방자치단체_업무추진비_집행에_관한_규칙.pdf</t>
  </si>
  <si>
    <t>1, 2, 3, 4</t>
  </si>
  <si>
    <t>■ 지방자치단체 업무추진비 집행에 관한 규칙 [별표 1] &lt;개정 2023. 3. 3.&gt;
 지방자치단체의 장 등 업무추진비 집행대상 직무활동 범위(제3조제1항 관련)
 1. 이재민 및 불우소외계층에 대한 격려 및 지원
 가. 다른 지방자치단체의 관할구역에서 재난·사고가 발생한 경우 이재민 또는피해자에 대한 격려금품 지급 및 식사(다과·음료를 포함한다. 이하 이 호에서 같다) 제공
 나. 해당 지방자치단체 관할 구역에서 재난·사고가 발생한 경우 이재민, 피해자 및 그 유가족, 재난복구 종사자 등에 대한 격려금품 지급 및 식사 제공
 다. 해당 지방자치단체 관할 구역에서 「공직선거법」 제112조제2항제3호에따른 구호적 또는 자선적 행위
 2. 시책 또는 지역 홍보
 가. 해당 지역특산품 홍보를 위하여 언론관계자에게 의례적인 수준의 특산품제공
 나. 다른 기관·단체와의 협약식에 따른 기념품 증정 또는 교환, 관계자에게 식사(다과ㆍ주류ㆍ음료를 포함한다. 이하 같다) 제공
 다. 내방객(일반 민원인은 제외한다)에게 의례적인 수준의 기념품 지급
 라. 해당 지방자치단체 시책사업 홍보를 위하여 언론관계자 또는 홍보관계자간담회를 개최할 경우 식사 제공
 3. 학술·문화예술·체육활동 유공자 등에 대한 격려 및 지원
 가. 해당 지방자치단체의 대표 선수 또는 그 지방자치단체의 관할 구역에 주소를 둔 사람이 올림픽대회, 월드컵대회, 세계선수권대회, 아시아경기대회, 전국체육대회, 시·도 체육대회에 선수로 출전하거나 그 밖에 그 지방자치단체를 대표하여 선수로 출전하는 경우 해당 선수, 해당 선수와 동행하는 사람으로서 그 선수의 지도자 및 그 선수가 소속된 기관ㆍ단체의임직원에 대한 격려금품(격려금의 경우에는 선수로 한정한다) 지급 및식사 제공
 나. 공연단, 악단, 영화·연극단, 예술단, 학술단체, 사물놀이단, 합창단, 공공기관,
 언론기관 및 시범단체 등이 해당 지방자치단체 관할 구역에서 공연 또는</t>
  </si>
  <si>
    <t>업무추진비 집행 규정, 직원별 업무 추진비 사용 한도, 업무추진비 지급 상한 금액, 직원 별 사용 가능 단가</t>
  </si>
  <si>
    <t>(ex.시청, 사업소 등)하루평균 민원인 방문자는 몇명인가요?</t>
  </si>
  <si>
    <t>시청 및 산하 사업소별로 일평균 민원 방문자 수를 정확히 파악하기 위해, 어떤 자료나 시스템을 조회해야 하나요?</t>
  </si>
  <si>
    <t xml:space="preserve">제공된 문서에는 부산광역시 시청, 사업소 등 각 기관의 하루 평균 민원인 방문자 수에 대한 정보가 없습니다. 따라서, 해당 정보를 제공할 수 없습니다. </t>
  </si>
  <si>
    <t>공무원 교육이수 가능한 방법에는 무엇이 있나요?(교육 가능한 사이트 목록, 
공무원 의무교육 과목이 몇 가지인지, 특정 자격증 취득 시 교육 이수 시간이 몇 시간이 되는지 등)</t>
  </si>
  <si>
    <t>공무원이 교육을 이수할 수 있는 방법과 경로는 무엇이며, 이를 위해 이용할 수 있는 교육 사이트 목록, 의무교육 과목 수, 특정 자격증 취득 시 인정되는 교육 시간 등 구체적인 기준은 어떻게 되나요?</t>
  </si>
  <si>
    <t>부산광역시 공무원이 교육을 이수할 수 있는 방법은 온라인 교육, 대면 교육으로 구분됩니다.
관련내용은 다음과 같습니다.
온라인 교육
KEI 환경정책교육원 부산시 공무원 전용 환경교육페이지 개설
국가환경교육센터 통합플랫폼 부산시 공무원 맞춤형 교육과정 개설
부산시 인재개발원 나라배움터 이러닝 활용
대면 교육
대면 교육은 연간 1회 이상 실시되며, 별도의 계획에 따라 진행됩니다.
공무원 의무교육 과목의 종류 및 개수
KEI 환경정책교육원: 기후변화, 자원순환 등 38개 과목
국가환경교육센터 통합플랫폼: 에너지, 지속가능발전 등 11개 과목
부산시 인재개발원 나라배움터: 탄소중립, 미세먼지 등 4개 과목
특정 자격증 취득 시 교육 이수 시간
자격증 종류에 따라 요구되는 교육 이수 시간이 다를 수 있으며, 관련 법령 및 규정에 따라 달라질 수 있습니다. 예를 들어, 환경 관련 자격증 취득을 위해서는 환경 관련 교육 이수 시간이 필요할 수 있습니다.
부산광역시 공무원이 교육을 이수하고자 할 때는 부산광역시 통합예약 시스템을 통해 신청할 수 있습니다.</t>
  </si>
  <si>
    <t>ㆍ10879_부산시_소속_공무원_환경교육_추진계획.pdf (p.3)
https://busanai.busan.go.kr/download/10879_부산시_소속_공무원_환경교육_추진계획.pdf
ㆍ49650_마감_9월_상설부모교육_온라인ZOOM_교육_안내.pdf (p.2)
https://busanai.busan.go.kr/download/49650_마감_9월_상설부모교육_온라인ZOOM_교육_안내.pdf
ㆍ49066_7월_상설부모교육_온라인ZOOM_교육_안내.pdf (p.2)
https://busanai.busan.go.kr/download/49066_7월_상설부모교육_온라인ZOOM_교육_안내.pdf</t>
  </si>
  <si>
    <t>시청으로 인사발령 받고 나서 숙지해야할 직원 공통사항을 알려주세요.</t>
  </si>
  <si>
    <t>시청으로 인사발령을 받은 직원이 반드시 숙지해야 하는 공통 업무, 복무, 권한, 시스템 접근, 교육, 보안 사항 등 필수 확인 항목은 무엇인가요?</t>
  </si>
  <si>
    <t>부산시청으로 인사발령을 받은 후 숙지해야 할 직원 공통사항은 다음과 같습니다.
업무 분장 및 인수인계: 새로운 부서에 배치되면, 해당 부서의 업무 분장과 인수인계 절차를 숙지해야 합니다. 기존 직원과의 원활한 소통을 통해 업무를 빠르게 파악하고, 필요한 경우 추가적인 교육을 요청할 수 있습니다.
조직 문화 이해: 부산시청의 조직 문화와 분위기를 파악하는 것이 중요합니다. 이를 통해 팀원들과의 관계를 원활하게 유지하고, 업무 효율성을 높일 수 있습니다.
업무 관련 규정 및 지침 숙지: 부산시청의 업무 관련 규정과 지침을 숙지하고 준수해야 합니다. 이는 업무 수행에 있어 법적, 절차적 문제를 예방하는 데 도움이 됩니다.
소통과 협업: 부산시청 내 다양한 부서와 협력해야 할 상황이 발생할 수 있습니다. 원활한 소통과 협업을 통해 업무의 효율성을 높이고, 팀워크를 강화하는 것이 중요합니다.
지속적인 학습과 자기 개발: 부산시청에서 근무하면서 필요한 지식과 기술을 지속적으로 학습하고 개발하는 것이 중요합니다. 이를 통해 업무 역량을 강화하고, 조직 내에서 성장할 수 있습니다.
이러한 사항들을 숙지하고 실천함으로써 부산시청에서의 업무 수행에 있어 보다 원활하고 효율적으로 진행할 수 있을 것입니다.</t>
  </si>
  <si>
    <t>관련 근거 문서가 없습니다.
기대답변 : 
OO에 대한 관련 문서가 없습니다.
자세한 사항은 관련 부서나 업무 담당자에게 문의하시기 바랍니다.</t>
  </si>
  <si>
    <t>온나라 시스템에서 직원 부재 시 부재자 설정을 등록·변경하는 방법에 대해 알려주세요</t>
  </si>
  <si>
    <t>온나라 시스템에서 부재자 신고를 설정하는 방법은 본인이 부재자 설정하는 경우와 서무담당자가 부재자 설정하는 경우가 있습니다.
관련내용은 다음과 같습니다.
본인이 부재자 설정하는 경우:
개인 설정 메뉴로 이동합니다.
"개인정보 관리"를 선택합니다.
"부재 설정"을 클릭합니다.
부재자 설정을 원하는 기간과 사유를 입력하고 저장합니다.
서무담당자가 부재자 설정하는 경우:
개인 설정 메뉴로 이동합니다.
"부서 관리자"를 선택합니다.
부재자 설정이 필요한 부서의 담당자를 선택하고, 부재자 설정을 진행합니다.
이 두 가지 방법을 통해 온나라 시스템에서 부재자 신고를 설정할 수 있습니다.</t>
  </si>
  <si>
    <t>비상출퇴근 사용하여 시간외 근무시 인사랑 반영 방법을 알려주세요</t>
  </si>
  <si>
    <t>비상출퇴근으로 근무한 시간 외 근무 실적을 인사랑에 반영하려면, 어떤 메뉴에서 어떤 방식으로 입력해야 하나요?</t>
  </si>
  <si>
    <t>비상출퇴근 제도를 사용하여 시간외 근무를 한 경우, 인사에 반영되는 방법과 시간외 근무 수당 처리 방법은 다음과 같습니다.
인사 반영
시간외 근무 기록: 비상출퇴근 제도를 통해 시간외 근무를 한 경우, 해당 근무 시간을 기록합니다. 이는 인사 관리 시스템에 반영되어 근무 시간 및 근태 관리에 포함됩니다.
인사 평가: 시간외 근무 기록은 인사 평가 시 참고 자료로 활용될 수 있습니다. 특히, 비상 상황에서의 적극적인 대응이 평가에 긍정적으로 반영될 수 있습니다.
근속 연수에 포함: 비상출퇴근으로 인한 시간외 근무 시간도 근속 연수에 포함됩니다. 이는 장기 근속자에게 유리한 인사 혜택을 제공하는 데 도움이 됩니다.
시간외 근무 수당 처리
수당 계산: 비상출퇴근으로 인한 시간외 근무에 대해서는 통상임금 또는 해당 직원의 시급을 기준으로 수당을 계산합니다.
급여 시스템 반영: 계산된 수당은 급여 시스템에 반영되어 해당 월의 급여 지급 시 함께 지급됩니다.
세금 및 복리후생: 시간외 근무 수당도 세금 및 복리후생 혜택의 대상이 되며, 이에 따라 세금 공제 및 복리후생 적용이 이루어집니다.
이러한 절차는 회사의 내부 규정 및 노동법에 따라 다를 수 있으므로, 구체적인 사항은 회사의 인사 담당 부서에 문의하여 확인하는 것이 좋습니다.</t>
  </si>
  <si>
    <t>조례제정시 의회제출 전 법무담당관 협의 등 거쳐야 하는 내부 절차 및 기한에 대해 알려주세요</t>
  </si>
  <si>
    <t>조례를 제정하거나 개정할 때, 의회 제출 전에 법무담당관 협의, 관련 부서 검토 등 내부 승인 절차와 각 단계별 기한은 어떻게 되나요?</t>
  </si>
  <si>
    <t>부산광역시 조례 제정 시 의회 제출 전에 법무담당관 협의 등 거쳐야 하는 내부 절차와 기한은 의견 제출, 입법예고, 조례 제정 관련 절차 이행, 지자체 표준 조례안 검토 및 방침 결정, 조례 제정 및 공포입니다.
관련내용은 다음과 같습니다.
의견 제출: 조례의 개정안에 대하여 의견이 있는 단체 또는 개인은 2021년 12월 7일까지 부산광역시장에게 제출해야 합니다. 이때, 입법예고 사항에 대한 의견, 성명, 주소 및 전화번호 등을 기재해야 합니다.
입법예고: 제출된 의견의 내용이 분명하지 않은 경우, 법무담당관의 협조를 거쳐 30일 이내에 검토 결과를 통지해야 합니다.
조례 제정 관련 절차 이행: 지자체 표준 조례안 검토 및 방침 결정은 3/4분기에 진행되며, 조례 제정 관련 절차 이행은 8월부터 9월까지 진행됩니다.
지자체 표준 조례안 검토 및 방침 결정: 7월에 진행됩니다.
조례 제정 및 공포: 4/4분기에 진행되며, 12월에 완료됩니다.
이러한 절차를 통해 조례 제정이 이루어지며, 각 단계별로 적절한 시기에 진행되어야 합니다.</t>
  </si>
  <si>
    <t>ㆍ1053_첨부2_2022년_부산광역시_산하_구8231군_안전교육_시행계획-hwp.pdf (p.9)
https://busanai.busan.go.kr/download/1053_첨부2_2022년_부산광역시_산하_구8231군_안전교육_시행계획-hwp.pdf
ㆍ3097_2024년_부산광역시_산하_구8231군_안전교육_시행계획-hwpx.pdf (p.9)
https://busanai.busan.go.kr/download/3097_2024년_부산광역시_산하_구8231군_안전교육_시행계획-hwpx.pdf</t>
  </si>
  <si>
    <r>
      <rPr>
        <rFont val="Malgun Gothic"/>
        <color theme="1"/>
        <sz val="11.0"/>
      </rPr>
      <t xml:space="preserve">관련내용, 근거문서 오류입니다.
근거문서 : 자치법규 입법절차 등(법무담당관) 1P
기대답변 : 
□ 조례 입법절차
○ 시장 발의 </t>
    </r>
    <r>
      <rPr>
        <rFont val="Segoe UI Symbol"/>
        <color theme="1"/>
        <sz val="11.0"/>
      </rPr>
      <t>▸</t>
    </r>
    <r>
      <rPr>
        <rFont val="맑은 고딕"/>
        <color theme="1"/>
        <sz val="11.0"/>
      </rPr>
      <t>「지방자치법」제32조</t>
    </r>
    <r>
      <rPr>
        <rFont val="Tahoma"/>
        <color theme="1"/>
        <sz val="11.0"/>
      </rPr>
      <t>․</t>
    </r>
    <r>
      <rPr>
        <rFont val="맑은 고딕"/>
        <color theme="1"/>
        <sz val="11.0"/>
      </rPr>
      <t>제35조, 「지방자치법시행령」제28조, 「부산광역시법제업무운영규칙」
1. 자치법규 입안 (주관부서)
 · 방침결재 : 제정·폐지(시장), 개정(부시장)
2. 사전승인, 부패영향평가, 성별영향평가, 규제영향 분석(규제 포함시)
 · 부패영향평가(감사담당관)
 · 성별영향평가(여성가족과)
3. 입법예고(20일 이상, 시보, 시 인터넷 홈페이지)
 · 규제영향분석서 함께 공표
4. 규제개혁위원회 심의 (규제심사 - 신설·강화)
5. 법제심사 의뢰(주관부서→법무담당관)
· 입법이유서, 입법안, 입법예고결과요약서, 비용추계서등 첨부심사 의뢰
6. 조례규칙심의회심의</t>
    </r>
    <r>
      <rPr>
        <rFont val="Tahoma"/>
        <color theme="1"/>
        <sz val="11.0"/>
      </rPr>
      <t>․</t>
    </r>
    <r>
      <rPr>
        <rFont val="맑은 고딕"/>
        <color theme="1"/>
        <sz val="11.0"/>
      </rPr>
      <t>의결(재적위원 과반수 찬성)
 · 위원장 시장
 · 위원 31명(부시장, 실·국장)
7. 시의회 제출(회기 10일전)
8. 시의회 심의</t>
    </r>
    <r>
      <rPr>
        <rFont val="Tahoma"/>
        <color theme="1"/>
        <sz val="11.0"/>
      </rPr>
      <t>․</t>
    </r>
    <r>
      <rPr>
        <rFont val="맑은 고딕"/>
        <color theme="1"/>
        <sz val="11.0"/>
      </rPr>
      <t xml:space="preserve">의결(상임위 및 본회의)
9. 조례안 이송(의결 후 5일 이내)
10. 조례안 사전보고(이송후5일이내, 행안부)
11. 조례규칙심의회(시의회 수정가결時)
12. 조례안 공포(이송 후 20일 이내)
○ 의원 발의 </t>
    </r>
    <r>
      <rPr>
        <rFont val="Segoe UI Symbol"/>
        <color theme="1"/>
        <sz val="11.0"/>
      </rPr>
      <t>▸</t>
    </r>
    <r>
      <rPr>
        <rFont val="맑은 고딕"/>
        <color theme="1"/>
        <sz val="11.0"/>
      </rPr>
      <t>「지방자치법」제32조</t>
    </r>
    <r>
      <rPr>
        <rFont val="Tahoma"/>
        <color theme="1"/>
        <sz val="11.0"/>
      </rPr>
      <t>․</t>
    </r>
    <r>
      <rPr>
        <rFont val="맑은 고딕"/>
        <color theme="1"/>
        <sz val="11.0"/>
      </rPr>
      <t>제35조, 「지방자치법시행령」제28조, 「부산광역시법제업무운영규칙」
1. 조례안 입안(입법정책담당관 지원) 
2. 조례안 발의(재적의원 1/5 또는10명이상) 
3. 소관 상임위 배부
4. 상임위 조례안 심의(입법예고 5일 이상)
5. 본회의 심의</t>
    </r>
    <r>
      <rPr>
        <rFont val="Tahoma"/>
        <color theme="1"/>
        <sz val="11.0"/>
      </rPr>
      <t>․</t>
    </r>
    <r>
      <rPr>
        <rFont val="맑은 고딕"/>
        <color theme="1"/>
        <sz val="11.0"/>
      </rPr>
      <t xml:space="preserve">의결(재적의원 과반수 출석, 출석의원 과반수 찬성)
6. 조례안 이송(의결 후 5일 이내)
7. 조례안 사전보고(이송 후 5일 이내, 행안부)
8. 조례규칙심의회(재의여부 심의)
9. 조례안 공포(이송 후 20일 이내)
□ 규칙 입법절차
</t>
    </r>
    <r>
      <rPr>
        <rFont val="Segoe UI Symbol"/>
        <color theme="1"/>
        <sz val="11.0"/>
      </rPr>
      <t>▸</t>
    </r>
    <r>
      <rPr>
        <rFont val="맑은 고딕"/>
        <color theme="1"/>
        <sz val="11.0"/>
      </rPr>
      <t>「지방자치법」제32조</t>
    </r>
    <r>
      <rPr>
        <rFont val="Tahoma"/>
        <color theme="1"/>
        <sz val="11.0"/>
      </rPr>
      <t>․</t>
    </r>
    <r>
      <rPr>
        <rFont val="맑은 고딕"/>
        <color theme="1"/>
        <sz val="11.0"/>
      </rPr>
      <t>제35조, 「지방자치법시행령」제28조, 「부산광역시법제업무운영규칙① 자치법규 입안
1. 자치법규 입안(주관부서)
2. 사전승인, 규제심사, 부패영향평가(감사담당관) 성별영향평가(여성가족과)
3. 입법예고(20일 이상, 시보, 시 인터넷 홈페이지)
4. 법제심사 의뢰
5. 규칙안 확정보고(부시장) / 법무담당관 협의
6. 조례규칙심의회 상정의뢰
7. 조례규칙심의회 심의</t>
    </r>
    <r>
      <rPr>
        <rFont val="Tahoma"/>
        <color theme="1"/>
        <sz val="11.0"/>
      </rPr>
      <t>․</t>
    </r>
    <r>
      <rPr>
        <rFont val="맑은 고딕"/>
        <color theme="1"/>
        <sz val="11.0"/>
      </rPr>
      <t>의결
8. 사전보고[행안부](공포예정일 15일전)
9. 규칙안 공포</t>
    </r>
  </si>
  <si>
    <t>조례 입법 절차, 조례 제정 절차, 조례 개정 절차, 조례 제정 개정 행정 절차 가이드라인, 조례 제정 기한, 조례 제정 관련 의회 제출 전 법무담당관 협의 내용</t>
  </si>
  <si>
    <t>휴일 출장시 대체휴무 사용이 가능한가요?</t>
  </si>
  <si>
    <t>휴일에 출장을 나갈 경우, 대체휴무를 사용할 수 있는지 여부와 신청·사용 절차는 어떻게 되나요?</t>
  </si>
  <si>
    <t>휴일 출장 시 대체 휴무 사용 가능 여부는 지방공무원 복무규정 제4조 제2항에 따라 결정됩니다.
관련 내용은 다음과 같습니다.
지방공무원 복무규정 제4조 제2항: 해당 기관의 업무사정이나 그 밖의 부득이한 사유로 제1항에 따라 근무한 날의 다음 정상근무일에 휴무하게 할 수 없을 때에는 그 사유가 해소된 날부터 6주 이내의 다른 정상근무일을 지정하여 휴무하게 할 수 있다고 명시되어 있습니다.
따라서, 휴일 출장과 같은 부득이한 사유로 인해 정상근무일에 휴무가 어려울 경우, 사유가 해소된 날부터 6주 이내의 다른 정상근무일을 지정하여 대체 휴무를 사용할 수 있습니다.
결론적으로, 휴일 출장으로 인한 대체 휴무 사용은 규정된 범위 내에서 가능하며, 해당 기관의 업무사정이나 부득이한 사유가 해소된 날부터 6주 이내에 다른 정상근무일을 지정하여 대체 휴무를 사용할 수 있습니다.</t>
  </si>
  <si>
    <t>ㆍ84163_2025년_반여농산물도매시장관리사업소_종합감사_결과보고공개용.pdf (p.73)
https://busanai.busan.go.kr/download/84163_2025년_반여농산물도매시장관리사업소_종합감사_결과보고공개용.pdf</t>
  </si>
  <si>
    <r>
      <rPr>
        <rFont val="Malgun Gothic"/>
        <color theme="1"/>
        <sz val="11.0"/>
      </rPr>
      <t xml:space="preserve">근거문서 오류입니다.
관련 내용은 이상없지만 지방공무원 복무규정을 제공한 적이 없으므로
아래 문서를 근거로 답변을 생성하는것이 나을 것 같습니다.
근거문서 : 자주찾는 질문(인사과)
기대답변 :
대체휴무는 기관장(허가권자)의 시간외근무 명령 및 승인 등의 절차를
거친 경우에 한하여 부여할 수 있으며, 출장으로 인한 이동시간, 식사
시간 등 공무와 직접적인 관련이 없는 시간을 제외하고 정규근무시간
외에 실제 근무를 8시간 이상 수행한 경우(필연적으로 시간외근무가
발생한 경우에 한하며, 시간외 근무시간 등에 대한 객관적 증명자료
필요)에는 대체휴무를 부여할 수 있을 것으로 판단됩니다. 또한, 대체
휴무와 초과근무수당은 둘 중 하나만 부여할 수 있습니다.
차량으로 행사장 이동 및 행사 후 차량으로 복귀하는 시간은 근무시간으로
인정할 수 없음을 유의하시기 바랍니다.
</t>
    </r>
    <r>
      <rPr>
        <rFont val="Segoe UI Symbol"/>
        <color theme="1"/>
        <sz val="11.0"/>
      </rPr>
      <t>◦</t>
    </r>
    <r>
      <rPr>
        <rFont val="맑은 고딕"/>
        <color theme="1"/>
        <sz val="11.0"/>
      </rPr>
      <t xml:space="preserve"> 「지방공무원 복무규정」제4조</t>
    </r>
  </si>
  <si>
    <t>대체휴무는 기관장(허가권자)의 시간외근무 명령 및 승인 등의 절차를
 거친 경우에 한하여 부여할 수 있으며, 출장으로 인한 이동시간, 식사
 시간 등 공무와 직접적인 관련이 없는 시간을 제외하고 정규근무시간
 외에 실제 근무를 8시간 이상 수행한 경우(필연적으로 시간외근무가
 발생한 경우에 한하며, 시간외 근무시간 등에 대한 객관적 증명자료
 필요)에는 대체휴무를 부여할 수 있을 것으로 판단됩니다. 또한, 대체
 휴무와 초과근무수당은 둘 중 하나만 부여할 수 있습니다.
 차량으로 행사장 이동 및 행사 후 차량으로 복귀하는 시간은 근무시간으로
 인정할 수 없음을 유의하시기 바랍니다.
 ◦ 「지방공무원 복무규정」제4조</t>
  </si>
  <si>
    <t>질 문
 � 주말 대체휴무를 위한 근무시간은 어떻게 되나요?
 답 변
 � 대체휴무는 기관장(허가권자)의 시간외근무 명령 및 승인 등의 절차를
 거친 경우에 한하여 부여할 수 있으며, 출장으로 인한 이동시간, 식사
 시간 등 공무와 직접적인 관련이 없는 시간을 제외하고 정규근무시간
 외에 실제 근무를 8시간 이상 수행한 경우(필연적으로 시간외근무가
 발생한 경우에 한하며, 시간외 근무시간 등에 대한 객관적 증명자료
 필요)에는 대체휴무를 부여할 수 있을 것으로 판단됩니다. 또한, 대체
 휴무와 초과근무수당은 둘 중 하나만 부여할 수 있습니다.
 � 차량으로 행사장 이동 및 행사 후 차량으로 복귀하는 시간은 근무시간으로
 인정할 수 없음을 유의하시기 바랍니다.
 ◦ 「지방공무원 복무규정」제4조</t>
  </si>
  <si>
    <t>휴일 출장 시 초과근무수당 지급, 휴일 출장 시 대체휴무 사용 가능 여부 확인, 주말 관외 출장 시 초과근무수당 지급, 주말 관외 출장 시 대체휴무 사용 가능 여부 확인</t>
  </si>
  <si>
    <t>SQG017</t>
  </si>
  <si>
    <t>사후초과 익일결재를 못받은 경우 구제방법이 있나요?</t>
  </si>
  <si>
    <t>사전초과 결재를 등록했으나 익일에 결재를 받지 못한 경우, 사후초과 결재를 처리하거나 구제할 수 있는 방법과 절차는 무엇인가요?</t>
  </si>
  <si>
    <t>휴일 출장 후 사후적으로 초과 근무 수당 지급을 받지 못한 경우, 구제받을 수 있는 방법은 다음과 같습니다.
관련 규정 확인: 지방공무원 복무규정 제4조에 따른 대체휴무를 사용한 경우, 초과근무수당 지급방법을 위반하여 적발된 경우, 초과근무의 명령 및 승인 등 절차에 따라 명령권자의 결재를 받지 않은 경우 등이 있습니다.
명령권자에게 문의: 초과근무 명령권자에게 문의하여 상황을 설명하고, 초과근무 수당 지급 가능 여부를 확인합니다.
관련 부서와 협의: 예산 관련 주관부서와 협의하여 예산 범위 내에서 초과근무 수당을 지급받을 수 있는지 검토합니다.
행정심판 또는 소송: 위의 방법으로도 해결이 되지 않는 경우, 행정심판 또는 행정소송을 통해 구제받을 수 있습니다.</t>
  </si>
  <si>
    <t>ㆍ214_2501_예산담당관_업무매뉴얼_행정안전부_지방공무원보수업무_등_처리지침.pdf (p.349)
https://busanai.busan.go.kr/download/214_2501_예산담당관_업무매뉴얼_행정안전부_지방공무원보수업무_등_처리지침.pdf</t>
  </si>
  <si>
    <t>질의문 의도 : 사후초과는 원칙적으로 초과근무 다음날까지 결재를 받아야 하는데
다음날까지 결재를 못 받았을 경우 초과근무 실적이 인정되는지에 대해 질의한것으로 파악됩니다.
해당 문서에 관련 근거가 해야한다라고 나와있지만 할 수 없다라는 근거는 없습니다. 그래서 관련 해야한다는 관련 근거로 답변을 생성한 이후 
관련근거는 해당 문서가 맞습니다.
 &gt; 349P 4) 사전 초과근무명령 없이 초과근무를 한 경우 및 명령에서 정한 시간보다 초과하여 
근무한 경우 초과근무자는 근무종결 후 퇴청시에 당직근무자의 확인을 받아 
초과근무 다음날까지 명령권자의 사후결재를 받아야 한다.
&gt; 351p 1) 개인별 자기입력장치(마그네틱 카드, 지문인식기) 등 전산시스템을 활용하여 초과
근무를 관리하는 기관의 경우에도 초과근무명령권자의 사전명령 또는 사후승인을 
받고, 익일 초과근무 내역 보고(생략가능)를 한 경우에 한하여 초과근무시간을 
인정받을 수 있다.
기대답변 :
행정안전부 지방공무원보수업무 등 처리지침에 따르면 사후초과 근무 다음날까지 사후결재가 원칙입니다.
특별한 사항에 대한 관련 내용이 없으므로 자세한 사항은 관련 부서나 업무 담당자에게 문의하시기 바랍니다.</t>
  </si>
  <si>
    <t>행정안전부 지방공무원보수업무 등 처리지침에 따르면 사후초과 근무 다음날까지 사후결재가 원칙입니다.
 특별한 사항에 대한 관련 내용이 없으므로 자세한 사항은 관련 부서나 업무 담당자에게 문의하시기 바랍니다.</t>
  </si>
  <si>
    <t>349</t>
  </si>
  <si>
    <t>[P.349]
 나. 초과근무의 명령
 1) 초과근무수당은 개인별･초과근무일별 사전 초과근무명령에 따라 근무한 경우에 지급함을 원칙으로 한다. 다만, 재난 발생 등 불가피한 사정이 있는 경우 예외적 으로 자치단체의 실정에 따라 8. 초과근무의 명령 및 승인 등 절차를 이행하여 실･과별 또는 실･국별로 초과근무명령을 받을 수 있다.
 2) 초과근무의 명령은 공무원 개인별 구체적인 처리업무내용 및 지침을 명시한 초과근무명령서(별지 제2호 서식)에 의한다.
 3) 소속공무원의 전부 또는 일부가 일정기간동안 지속적으로 초과근무를 하게 될 때에는 예외적으로 기간･부서 및 담당자를 정하여 일괄적으로 초과근무를 명할 수 있으며, 이 경우 예산관련 주관부서의 협조를 거쳐 명령권자의 결재를 받아야 한다.
 4) 사전 초과근무명령 없이 초과근무를 한 경우 및 명령에서 정한 시간보다 초과하여 근무한 경우 초과근무자는 근무종결 후 퇴청시에 당직근무자의 확인을 받아 초과근무 다음날까지 명령권자의 사후결재를 받아야 한다.
 ----
 [p.351]
 1) 개인별 자기입력장치(마그네틱 카드, 지문인식기) 등 전산시스템을 활용하여 초과 근무를 관리하는 기관의 경우에도 초과근무명령권자의 사전명령 또는 사후승인을 받고, 익일 초과근무 내역 보고(생략가능)를 한 경우에 한하여 초과근무시간을 인정받을 수 있다.
 2) 따라서, 사전 초과근무명령 신청･근무명령 또는 초과근무후 다음날 초과근무 명령권자의 승인, 익일 초과근무 내역보고, 승인분에 대한 개인별 실적누계 및 초과근무내역의 통보 등의 절차를 전산시스템에 반영하여야 한다.
 3) 위 사항을 전산시스템에 반영하기 곤란한 기관의 경우에는 위 “8. 가. 나. 다. 라. 마. 바. 사”에 의한 절차를 따라야 한다</t>
  </si>
  <si>
    <t>사후 초과근무에 대한 익일 미결재시 구제 방법</t>
  </si>
  <si>
    <t xml:space="preserve">공무직 명절 근무시 급식비 지급 기준은? </t>
  </si>
  <si>
    <t>공무직이 명절에 근무할 경우, 급식비 지급 여부와 지급 기준, 적용되는 근거 규정, 근무 형태(정상근무·휴일근무)에 따른 차이, 그리고 실제 지급 절차를 알려주세요.</t>
  </si>
  <si>
    <t>부산광역시 공무직원의 명절휴가비 지급 기준은 해당 명절 당일 재직 시, 1호봉 기준 기본급의 43%입니다.</t>
  </si>
  <si>
    <t xml:space="preserve">ㆍ76600_붙임1공고문-hwp.pdf (p.2)
https://busanai.busan.go.kr/download/76600_붙임1공고문-hwp.pdf </t>
  </si>
  <si>
    <t>근거자료, 내용 오류입니다.
 &gt; 공고문을 근거로 답변을 생성한다고 해도 기본급의 40%라고 나와야 하는데
왜 43%가 나왔는지 확인바랍니다.
관련 근거 문서가 없습니다.
기대답변 : 
OO에 대한 관련 문서가 없습니다.
자세한 사항은 관련 부서나 업무 담당자에게 문의하시기 바랍니다.</t>
  </si>
  <si>
    <t>무료주차 당일 신청 가능한가요?</t>
  </si>
  <si>
    <t>시청 무료주차를 이용할 때, 당일 신청이 가능한지 여부, 신청 가능한 시간대, 신청 절차, 관련 시스템 또는 담당 부서 등에 대해 알려주세요</t>
  </si>
  <si>
    <t>부산광역시에서 운영하는 무료 주차 혜택은 "2025 설맞이 B-뷰티 데이" 행사 당일 현장에서 신청이 가능합니다. 다만, 요일제로 인하여 당일(목요일) 차량 끝 번호 4, 9번 차량은 출입이 불가할 수 있으니 참고하시기 바랍니다.</t>
  </si>
  <si>
    <t xml:space="preserve">ㆍ56387_2025_설맞이_B-뷰티_데이_참가기업_모집_공고문-hwp.pdf (p.1)
https://busanai.busan.go.kr/download/56387_2025_설맞이_B-뷰티_데이_참가기업_모집_공고문-hwp.pdf </t>
  </si>
  <si>
    <t>근거자료, 내용 오류입니다.
관련 근거 문서가 없습니다.
기대답변 : 
OO에 대한 관련 문서가 없습니다.
자세한 사항은 관련 부서나 업무 담당자에게 문의하시기 바랍니다.</t>
  </si>
  <si>
    <t>회의실 신청 어떻게 하나요?</t>
  </si>
  <si>
    <t>시청 내 회의실을 사용하기 위한 방법을 단계별로 상세히 설명해주세요.</t>
  </si>
  <si>
    <t>부산시청 회의실 신청은 전시실 사용(감면) 신청서를 작성하여 제출하는 절차로 진행됩니다.
관련 내용은 다음과 같습니다.
신청서 작성: "전시실 사용(감면) 신청서"를 작성합니다. 이 양식은 부산광역시청 홈페이지나 관련 공고문에서 다운로드 받을 수 있습니다.
제출 서류 준비: 신청서 외에도 전시계획서 1부와 전시도록을 첨부해야 합니다.
제출 방법:
공문
전자우편(bssports@korea.kr)
방문 접수
팩스
우편
신청 기간: 신청 기간은 별도로 공고된 내용을 확인해야 합니다.
제출 기한: 제출 기한도 공고문을 통해 확인해야 합니다.
결과 통보: 제출한 신청서는 검토 후 승인 여부가 통보됩니다. 일정은 사정에 따라 변경될 수 있으며, 변경 시 개별 통보 예정입니다.
추가적인 정보나 세부 사항은 부산광역시청 홈페이지나 관련 공고문을 참조하시기 바랍니다.</t>
  </si>
  <si>
    <t>ㆍ34915_2025-317_2025_세계도핑방지기구_총회_및_부대행사_대행_용역제안서_평가위원후보자_모집_공고.pdf (p.2)
https://busanai.busan.go.kr/download/34915_2025-317_2025_세계도핑방지기구_총회_및_부대행사_대행_용역제안서_평가위원후보자_모집_공고.pdf
ㆍ15911_2023-1042_강변여과수_타당성_조사_및_기본계획_수립용역_제안서_평가위원_후보_모집_공고수정.pdf (p.2)
https://busanai.busan.go.kr/download/15911_2023-1042_강변여과수_타당성_조사_및_기본계획_수립용역_제안서_평가위원_후보_모집_공고수정.pdf
ㆍ19344_2023-2385_제안서_평가위원_모집공고부산시_코로나19_대응_백서_및_부산형_방역_의료_정책과제_연구용역.pdf (p.2)
https://busanai.busan.go.kr/download/19344_2023-2385_제안서_평가위원_모집공고부산시_코로나19_대응_백서_및_부산형_방역_의료_정책과제_연구용역.pdf</t>
  </si>
  <si>
    <t>기대답변:
 회의장 예약 방법은 행정포털 개인서비스 내 회의장 클릭 후 원하는 날짜를 예약하시면 됩니다.</t>
  </si>
  <si>
    <r>
      <rPr>
        <rFont val="Malgun Gothic"/>
        <color rgb="FF000000"/>
        <sz val="11.0"/>
      </rPr>
      <t xml:space="preserve">시청 내 사용 가능한 회의실 확인 방법을 안내해주세요, 시청 1층 대강당 예약 어떻게 하는지 방법 안내, 시청 1층 대강당 시설 예약 절차 안내, 시청 1층 대강당 예약 확인, 회의실 신청 어떻게 하는지 안내, 시청 1층 대강당은 회의실 예약 안내를 통해 확인, 회의장 예약 방법, 회의장 예약 신청 절자 안내, 시청 1층 대강당 시설 사용 신청 방법
</t>
    </r>
    <r>
      <rPr>
        <rFont val="Malgun Gothic"/>
        <color rgb="FFFF0000"/>
        <sz val="11.0"/>
      </rPr>
      <t>&gt;&gt; 0.7로 2순위(추가 조치 필요)</t>
    </r>
  </si>
  <si>
    <t>국외출장시 며칠 전까지 허가신청 공문 보내야 하나요?</t>
  </si>
  <si>
    <t>국외출장을 가기 위해서는 며칠 전까지 허가신청 공문을 제출해야 하며, 제출 방법과 관련 절차는 어떻게 되나요?</t>
  </si>
  <si>
    <t>국외 출장 시 허가 신청 공문은 출국 예정일 20일 전까지 제출해야 합니다.</t>
  </si>
  <si>
    <t>ㆍ1125_압축2025년_부산문화재단_규정집2025227.pdf (p.428)
https://busanai.busan.go.kr/download/1125_압축2025년_부산문화재단_규정집2025227.pdf</t>
  </si>
  <si>
    <t>근거자료, 내용 오류입니다.
&gt; 근거 자료의 경우 기관을 정해서 질의하지 않는 이상 부산시 규정이 우선이어야 합니다. 부산시 규정이 안나올 경우 상위기관 규정 순서입니다. 하위기관 규정은 해당 기관에 대한 질의를 하지 않는 이상 포함되면 안됩니다.
근거자료 : 
부산시 자치법규 중 부산광역시 공무국외출장 조례 제4조
기대답변 : 
공무국외출장 허가를 받으려는 사람은 출국예정일 30일 전까지 공무국외출장 허가를 담당하는 부서의 장에게 다음 각 호의 서류를 첨부하여 공무국외출장 허가신청을 하여야 합니다.. 다만, 긴급한 경우에는 그러하지 않습니다.
1. 공무국외출장계획서
2. 국외출장자 수칙
3. 항공운임 산출내역서
4. 그 밖의 관계서류</t>
  </si>
  <si>
    <t>공무국외출장 허가를 받으려는 사람은 출국예정일 30일 전까지 공무국외출장 허가를 담당하는 부서의 장에게 다음 각 호의 서류를 첨부하여 공무국외출장 허가신청을 하여야 합니다.. 다만, 긴급한 경우에는 그러하지 않습니다.
 1. 공무국외출장계획서
 2. 국외출장자 수칙
 3. 항공운임 산출내역서
 4. 그 밖의 관계서류</t>
  </si>
  <si>
    <t>483_페이지49_문서3_162906_부산광역시_공무국외출장_조례.pdf</t>
  </si>
  <si>
    <t>제4조(공무국외출장 허가 등) ① 제2조제1항의 공무원 등이 공무로 국외출장을 하려면 시장의 허가를 받아야 한다.&lt;개정 2021. 5.
 26.&gt;
 ② 제1항에 따라 공무국외출장 허가를 받으려는 사람은 출국예정일 30일 전까지 공무국외출장 허가를 담당하는 부서의 장에게 다
 음 각 호의 서류를 첨부하여 공무국외출장 허가신청을 하여야 한다. 다만, 긴급한 경우에는 그러하지 아니하다.&lt;개정 2021. 5. 26.&gt;
 1. 공무국외출장계획서
 2. 국외출장자 수칙
 3. 항공운임 산출내역서
 4. 그 밖의 관계서류
 ③ 공무국외출장 신청과 허가 등에 필요한 사항은 시장이 따로 정한다.&lt;개정 2021. 5. 26.&gt;</t>
  </si>
  <si>
    <t>공무 국외 출장 시 필요한 절차에 대한 설명</t>
  </si>
  <si>
    <t>보존기간 만료 기록물 자체 폐기 가능한가요?</t>
  </si>
  <si>
    <t>보존기간이 만료된 기록물을 부서에서 자체적으로 폐기할 수 있는지, 가능하다면 절차와 관련 규정은 무엇인가요?</t>
  </si>
  <si>
    <t>보존기간이 만료된 기록물 자체는 폐기할 수 없습니다. 보존기간이 만료된 기록물은 평가 및 폐기 절차를 거쳐야 합니다. 이는 「공공기록물법 시행령」 제43조에 따라 기록물의 평가 및 폐기 절차를 수행해야 하기 때문입니다. 따라서, 보존기간이 만료된 기록물은 평가 과정을 거쳐 보존 필요성을 재검토하고, 필요에 따라 보존 기간을 재책정하거나, 보류 또는 폐기할 수 있습니다. 이 과정에서 기록물의 가치와 활용 가능성을 고려하여 적절한 조치를 취하게 됩니다.</t>
  </si>
  <si>
    <t>ㆍ432_2412_통합민원과_업무메뉴얼_국가기록원_25년_기록물관리_지침.pdf (p.264, 267)
https://busanai.busan.go.kr/download/432_2412_통합민원과_업무메뉴얼_국가기록원_25년_기록물관리_지침.pdf</t>
  </si>
  <si>
    <t>432_2412_통합민원과_업무메뉴얼_국가기록원_25년_기록물관리_지침.pdf</t>
  </si>
  <si>
    <t>264</t>
  </si>
  <si>
    <t>ㅇ 기록관리 절차
 - (등록·관리) 업무관리·전자문서시스템의 개인정보가 포함된 기록물은 분류, 편철, 정리, 이관, 평가 및 폐기 등 「공공기록물법」의 규정 따라 관리
 ● 업무관리·전자문서시스템에 구현된 기록관리 기능에 따라 관리하며, 기록관리시스템으로 이관하여 보존·활용
 ● 개인정보가 포함된 기록물은 보존기간 만료 시 「공공기록물법 시행령」 제43조에 따라 기록물의 평가 및 폐기 절차 수행
 ※ 「개인정보보호법」 제21조에 따른 개인정보 파기 대상에 미해당
 - (암호 설정 관련) 붙임파일 첨부 시 암호 설정 금지
 ● 붙임파일에 암호를 설정 할 경우 해당 비밀번호의 지속적 관리가 어려우며, 파일내용 확인이 불가하므로 문서로서의 효력 상실
 ● 개인정보 등이 포함되어 있는 기록물은 업무관리시스템 또는 전자문서시스템의 문서보안, 보안 결재, 열람범위 지정 및 열람제한 기능 활용
 ※ 개인정보 보호법 등 관련 규정에 따라 해당 정보가 유출되지 않도록 주의해야 함
 【유형2】 행정정보시스템 보유 개인정보
 &lt; 관리 방침 &gt;
 ◈ 행정정보시스템 보유 개인정보 중 기록관리 대상은 기록물 보존기간까지 보존·관리
 ◈ 개인정보 보유기간이 경과하였으나 해당 개인정보가 포함된 기록물의 보존기간이 만료되지 않은 경우 개인정보를 파기하지 않도록 주의
 ㅇ 기록관리 대상
 - 행정정보시스템은 「공공기록물법 시행령」 제3조에 따른 전자기록생산시스템에 해당하므로, 행정정보시스템에서 생산된 행정정보 데이터세트는 기록관리 대상
 ※ 개인정보가 포함된 기록관리 대상 행정정보 데이터세트 예시
 ● 인사관리시스템(e-사람)의 인사기록카드, 교육정보시스템(NEIS)의 학생생활기록부, 주민등록 관리시스템의 주민등록정보 등
 ㅇ 기록관리 절차
 - 개인정보가 포함된 행정정보 데이터세트는 「공공기록물법」 적용 대상이며 「공공기록물법」의 규정에 따라 관리</t>
  </si>
  <si>
    <t>보존기간 만료에 따른 기록물 자체 폐기에 대한 안내</t>
  </si>
  <si>
    <t>보직자 전원 부재시 사전초과 결재 어떻게 올려야 하나요?</t>
  </si>
  <si>
    <t>보직자 전원이 부재 중일 때 인사랑 시스템에 사전초과근무 신청을 하기위해 대체 결재자 지정 방법, 시스템 입력 절차, 처리 시 유의사항을 설명해주세요.</t>
  </si>
  <si>
    <t>보직자가 전원 부재 시, 사전 초과 결재를 올리기 위해서는 다음과 같은 절차를 따를 수 있습니다.
사전 초과 결재 요청서 작성: 사전 초과 결재 요청서를 작성합니다. 이 문서에는 결재 요청의 목적, 필요성, 예상되는 결과 등을 명확하게 기재해야 합니다.
결재 요청서 결재 라인 설정: 결재 요청서를 결재 라인에 따라 배치합니다. 일반적으로 상위 결재자부터 하위 결재자 순으로 배치합니다.
결재 요청서 제출: 결재 요청서를 관련 부서에 제출합니다. 이때, 보직자가 부재 중임을 명시하고, 대체 결재자를 지정할 수 있습니다.
대체 결재자 지정: 보직자가 부재 중인 경우, 대체 결재자를 지정하여 결재를 진행할 수 있도록 합니다. 대체 결재자는 해당 부서의 다른 책임자나 관련 부서장 등이 될 수 있습니다.
결재 진행: 대체 결재자가 결재를 진행하고, 결재가 완료되면 해당 내용을 문서로 기록합니다.
이러한 절차를 통해 보직자가 전원 부재 시에도 원활하게 사전 초과 결재를 진행할 수 있습니다.</t>
  </si>
  <si>
    <t xml:space="preserve">내용 오류입니다.
근거문서
1. 사전초과 : 부산광역시 사무전결처리 규칙 - (별포)전결사항
 - 시간외 근무 결재권자 : 과장(담당관, 단장)
부산광역시 직무대리 규칙 제2조, 제3조
 - 보직자 부재 시 직무 대리 순서 확인
기대답변 :
보직자 부재로 직무를 할 수 없을 때에는 다음 순위자 또는 지정대리자가 대행하도록 규정되어 있습니다.
보직자 전원 부재시에 대한 관련 내용이 없으므로 자세한 사항은 관련 부서나 업무 담당자에게 문의하시기 바랍니다.
</t>
  </si>
  <si>
    <t>윈도우 로그인 패스워드 오류시 어떻게 처리하나요?</t>
  </si>
  <si>
    <t>윈도우 로그인 시 패스워드 오류가 발생하면, 초기화나 재설정 등 문제를 해결하는 방법은 무엇인가요?</t>
  </si>
  <si>
    <t>윈도우 로그인 시 패스워드 오류가 발생했을 때는 비밀번호 초기화, 사용자 등록 확인, 보안 USB 비밀번호 초기화 등의 절차를 따라야 합니다.
관련 내용은 다음과 같습니다.
비밀번호 초기화 요청: 보안 USB 비밀번호 초기화 기능을 사용하여 패스워드를 초기화할 수 있습니다. 이는 보안 USB 패스워드를 5회 이상 틀리거나 패스워드를 분실한 경우에 사용할 수 있는 기능입니다.
사용자 등록 확인: 보안 USB 비밀번호 초기화 신청을 위해서는 사전 사용자 등록이 필요합니다. 사용자 등록을 확인하고, 지정한 비밀번호를 입력하여 인증을 진행합니다.
보안 USB 비밀번호 초기화 메뉴 선택: 신청서 관리에서 보안 USB 비밀번호 초기화 메뉴를 선택하고, 사용자 정보 메뉴를 통해 등록된 비밀번호를 입력하여 인증을 완료합니다.
이러한 절차를 통해 패스워드 오류를 해결할 수 있습니다.</t>
  </si>
  <si>
    <t>ㆍ369_2412_정보화정책과_업무매뉴얼_채울_휴대용저장매체관리시스템_사용자_매뉴얼.pdf (p.8)
https://busanai.busan.go.kr/download/369_2412_정보화정책과_업무매뉴얼_채울_휴대용저장매체관리시스템_사용자_매뉴얼.pdf
ㆍ331_2112_정보화정책과_업무매뉴얼_정보화정책과_부서관리자_매뉴얼자료유출방지시스템_DRM_v50_비번초기화.pdf (p.3)
https://busanai.busan.go.kr/download/331_2112_정보화정책과_업무매뉴얼_정보화정책과_부서관리자_매뉴얼자료유출방지시스템_DRM_v50_비번초기화.pdf</t>
  </si>
  <si>
    <t>근거자료, 내용 오류입니다.
해당 질의는 윈도우 운영체제의 로그인 비밀번호 오류나 분실시에 대한 질의라고 해석되어집니다. 
답변은 보안 USB(휴대용저장매체), DRM(자료유출방지시스템)에 대한 내용입니다.
관련 근거 문서가 없습니다.
기대답변 : 
OO에 대한 관련 문서가 없습니다.
자세한 사항은 관련 부서나 업무 담당자에게 문의하시기 바랍니다.</t>
  </si>
  <si>
    <t>프린터기 ip주소는 어디서 확인하나요?</t>
  </si>
  <si>
    <t>사무실 프린터의 IP 주소를 확인하려면 어떤 방법으로 확인할 수 있나요?</t>
  </si>
  <si>
    <t>프린터기의 IP 주소를 확인하는 방법은 다음과 같습니다.
프린터 설정 메뉴: 프린터의 설정 메뉴에 들어가면 IP 주소가 표시되어 있을 수 있습니다. 프린터의 모델과 제조사에 따라 설정 메뉴의 위치가 다를 수 있으니, 사용자 설명서를 참고하세요.
컴퓨터에서 확인: 컴퓨터에서 프린터를 인식하고 있다면, 프린터 드라이버의 속성 창에서 IP 주소를 확인할 수 있습니다. 프린터를 연결된 컴퓨터에서 제어판 또는 설정 메뉴를 열어 프린터 속성을 확인하세요.
프린터 공유 설정: 프린터가 네트워크에 연결되어 있고, 다른 컴퓨터에서 공유되고 있다면, 공유 설정에서 IP 주소를 확인할 수 있습니다. 컴퓨터의 네트워크 설정에서 프린터를 검색하여 IP 주소를 확인하세요.
프린터 관리 소프트웨어: 일부 프린터 제조사는 프린터 관리 소프트웨어를 제공하며, 이를 통해 프린터의 IP 주소를 확인할 수 있습니다. 소프트웨어를 설치하고 실행하여 프린터 정보를 확인하세요.
위 방법 중 하나를 선택하여 프린터의 IP 주소를 확인하실 수 있습니다.</t>
  </si>
  <si>
    <t>해당 답변이 원론적으로 맞습니다
다만 이런 질문처럼 정확하게 맞진 않아도 대답이 허용되는 수준이 있으면
회계절차 문의처럼 정확하게 맞아야 되는 질문이 있는데
그 두 종류 질문의 구분이 어렵습니다.
그러므로 관련 근거 문서가 없으면 아래처럼 답변을 제시해야할 것으로 보입니다.
관련 근거 문서가 없습니다.
기대답변 : 
OO에 대한 관련 문서가 없습니다.
자세한 사항은 관련 부서나 업무 담당자에게 문의하시기 바랍니다.</t>
  </si>
  <si>
    <t>긴급출퇴근제를 사용하기 위한 사전절차는 무엇인가요?</t>
  </si>
  <si>
    <t>긴급출퇴근제를 사용하기 위한 사전절차(링크 즐겨찾기 추가 등)와 방법에 대해 알려주세요</t>
  </si>
  <si>
    <t>긴급출퇴근제를 사용하기 위한 사전 절차는 다음과 같습니다.
정책 수립 및 승인: 회사 내에서 긴급출퇴근제 정책을 수립하고, 이를 경영진이나 관련 부서의 승인을 받아야 합니다.
직원 교육 및 안내: 긴급출퇴근제의 목적, 사용 방법, 절차 등을 직원들에게 충분히 교육하고 안내합니다.
시스템 준비: 긴급출퇴근제를 지원할 수 있는 IT 시스템이나 도구를 준비하고, 이를 직원들에게 제공하여 쉽게 사용할 수 있도록 합니다.
예외 규정 마련: 긴급출퇴근제 사용 시 발생할 수 있는 예외 상황을 대비하여 예외 규정을 마련하고, 이를 명확히 안내합니다.
모니터링 및 피드백: 긴급출퇴근제의 운영 상황을 지속적으로 모니터링하고, 직원들로부터 피드백을 받아 제도를 개선합니다.
이러한 절차를 통해 긴급출퇴근제를 효과적으로 운영할 수 있습니다.</t>
  </si>
  <si>
    <t>긴급출퇴근에 대한 매뉴얼은 없지만
AI부기 메신저에 긴급출퇴근 버튼이 적용되는 만큼 해당 답변은 제대로 나와야 할 것으로 보입니다.
기대답변 : 
웍스 메신저 '출' 버튼 또는 아래 링크로 방문해 긴급출퇴근 처리가 가능합니다.
긴급출퇴근 URL 주소 : http://99.1.2.126:48080/intro.html</t>
  </si>
  <si>
    <t>웍스 메신저 '출' 버튼 또는 아래 링크로 방문해 긴급출퇴근 처리가 가능합니다.
 긴급출퇴근 URL 주소 : http://99.1.2.126:48080/intro.html</t>
  </si>
  <si>
    <r>
      <rPr>
        <rFont val="&quot;맑은 고딕&quot;"/>
        <color rgb="FF000000"/>
        <sz val="11.0"/>
      </rPr>
      <t xml:space="preserve">8. 긴급출퇴근 링크(행정포털 오류, 인사랑 출퇴근)
 http://99.1.2.126:48080/intro.html 
------
</t>
    </r>
    <r>
      <rPr>
        <rFont val="&quot;맑은 고딕&quot;"/>
        <color rgb="FF0000FF"/>
        <sz val="11.0"/>
      </rPr>
      <t xml:space="preserve">긴급 출퇴근 관련 별도 문서를 만들었음. 
이를 참조하지 않고 간단 질문 대응으로 처리할지 논의 필요 
</t>
    </r>
    <r>
      <rPr>
        <rFont val="&quot;맑은 고딕&quot;"/>
        <color rgb="FF00FF00"/>
        <sz val="11.0"/>
      </rPr>
      <t>&gt;&gt; 별도 문서 참조로 처리 바랍니다.</t>
    </r>
  </si>
  <si>
    <t>행정포털 비밀번호 오류시 어떻게 하면 되나요?</t>
  </si>
  <si>
    <t>행정포털 로그인 비밀번호가 여러 번 틀려서 오류가 난 경우, 초기화 또는 재설정을 어떻게 진행해야 하나요?</t>
  </si>
  <si>
    <t>부산시청 행정포털 비밀번호 오류 발생 시, 비밀번호를 초기화하거나 사용자 등록을 확인하는 절차는 다음과 같습니다.
소속 기관 관리자에게 문의: 먼저, 소속 기관 관리자에게 문의하여 비밀번호 오류 문제를 해결해 달라고 요청합니다. 관리자는 사용자 계정을 확인하고 필요한 조치를 취할 수 있습니다.
온나라 2.0 바로가기 접속: 만약 소속 기관 관리자에게 문의가 필요한 경우, PC의 운영체제(윈도우 10) 버전의 문제로 인해 접속이 제대로 되지 않을 수 있습니다. 이 경우, 윈도우 10 버전을 업그레이드하거나, 온나라 2.0 바로가기를 통해 접속을 시도합니다.
사용자 등록 확인: 소속 기관 관리자가 사용자 등록을 확인한 후, 비밀번호 초기화나 사용자 등록을 진행합니다. 이 과정에서 기관 선택, ID 입력, 초기 비밀번호 입력 등의 절차를 따릅니다.
비밀번호 초기화: 만약 사용자 등록이 완료되지 않았거나, 비밀번호가 초기화되지 않은 경우, 소속 기관 관리자가 직접 비밀번호를 초기화합니다.
비밀번호 재설정: 비밀번호 초기화 후, 새로운 비밀번호를 설정합니다. 이때, 비밀번호는 보안성을 고려하여 복잡하고 예측하기 어려운 조합으로 설정하는 것이 좋습니다.
이러한 절차를 통해 부산시청 행정포털의 비밀번호 오류를 해결하고, 사용자 계정을 정상적으로 사용할 수 있게 됩니다.</t>
  </si>
  <si>
    <t>일반지출 지출집행현황은 어디서 확인하나요?</t>
  </si>
  <si>
    <t>e호조(지방재정시스템)에서 일반지출의 지출 집행 현황을 확인하기위한 방법을 단계별로 상세히 설명해주세요.</t>
  </si>
  <si>
    <t>일반지출 지출집행현황을 확인할 수 있는 위치는 부산광역시 안전관리계획 상반기 추진실적 세부 점검표(상반기)입니다.</t>
  </si>
  <si>
    <t xml:space="preserve">ㆍ2504_2024년_안전관리계획_상반기_추진실적_세부_점검표부산시-xlsx.pdf (p.1)
https://busanai.busan.go.kr/download/2504_2024년_안전관리계획_상반기_추진실적_세부_점검표부산시-xlsx.pdf </t>
  </si>
  <si>
    <t>보안usb 매체점검은 어디서 하나요?</t>
  </si>
  <si>
    <t>보안 USB(매체제어시스템)를 사용하기 전에 매체점검을 진행해야 하는데, 해당 점검은 어디에서, 어떤 절차로 수행할 수 있나요?</t>
  </si>
  <si>
    <t xml:space="preserve">부산시청에서 보안 USB 매체 점검은 전산정보담당관실에서 진행하고 있습니다.
관련 문의는 부산시청 전산정보담당관실(051-888-2385)로 연락하시면 자세한 안내를 받으실 수 있습니다. </t>
  </si>
  <si>
    <t xml:space="preserve">내용 오류입니다.
관련 문서 : 휴대용저장매체관리시스템 부서관리자 매뉴얼(정보화정책과) 29P ~
기대답변 :
보안 USB 점검은 점검일자 및 시간이 저장되기 때문에 해당 월에 진행하지 않을 경우 수정 및 추가가 불가능합니다
보안 USB 점검
 - 부서관리자는 보안 USB 에 이상 유 무를 파악하기 위한 점검을 월 1 회 진행합니다
 - 보안 USB 점검을 위해서는 사전 사용자등록이 필요합니다(3Page ~4Page)
1. 신청서 관리 선택
2. 사용자 인증 패스워드 입력(사용자 인증)
보안USB 점검은 점검일자 및 시간이 저장되기 때문에 해당 월에 진행하지 않을 경우 수정 및 추가가 불가능합니다.
3. 매체관리 &gt; 빠른실행 &gt; 매체점검 선택
 -등록된 모든 보안 USB 를 선택 후 매체점검을 선택 합니다
4. 보안 USB 에 대한 이상 유/무를 체크하여 설명에 작성
</t>
  </si>
  <si>
    <t>보안 USB 점검은 점검일자 및 시간이 저장되기 때문에 해당 월에 진행하지 않을 경우 수정 및 추가가 불가능합니다
 보안 USB 점검
  - 부서관리자는 보안 USB 에 이상 유 무를 파악하기 위한 점검을 월 1 회 진행합니다
  - 보안 USB 점검을 위해서는 사전 사용자등록이 필요합니다(3Page ~4Page)
 1. 신청서 관리 선택
 2. 사용자 인증 패스워드 입력(사용자 인증)
 보안USB 점검은 점검일자 및 시간이 저장되기 때문에 해당 월에 진행하지 않을 경우 수정 및 추가가 불가능합니다.
 3. 매체관리 &gt; 빠른실행 &gt; 매체점검 선택
  -등록된 모든 보안 USB 를 선택 후 매체점검을 선택 합니다
 4. 보안 USB 에 대한 이상 유/무를 체크하여 설명에 작성</t>
  </si>
  <si>
    <t>368_2412_정보화정책과_업무매뉴얼_채울_휴대용저장매체관리시스템_부서관리자_매뉴얼.pdf</t>
  </si>
  <si>
    <t>29, 30</t>
  </si>
  <si>
    <t>4. 보안USB 관리
 04
 보안USB 점검 기능
 보안USB 점검
 ① 신청서 관리 선택
 29
 보안USB 점검
 부서관리자는 보안USB에 이상 유/무를 파악하기 위한 점검을 월 1회 진행합니다.
 ※ 보안USB 점검을 위해서는 사전 사용자등록이 필요합니다.(3Page ~ 4Page)
 ② 사용자 인증 패스워드 입력 (사용자 인증)
 보안USB 점검은 점검일자 및 시간이 저장되기 때문에 해당 월에 진행하지 않을 경우 수정 및 추가가 불가능합니다.
 4. 보안USB 관리
 04
 보안USB 점검 기능
 보안USB 점검
 30
 ③ 매체관리 &gt; 빠른실행 &gt; 매체점검 선택
 ④ 보안USB에 대한 이상 유/무를 체크하여 설명에 작성</t>
  </si>
  <si>
    <t>보안 USB 매체 점검 방법</t>
  </si>
  <si>
    <t>신규 임용시 원활한 업무진행을 위해 행정포털, 행정전자서명 발급등 처리해야 할 사항 및 절차는 어떻게 되나요?</t>
  </si>
  <si>
    <t>신규 임용된 공무원이 원활하게 업무를 시작하기 위해, 행정포털 계정 등록, 행정전자서명 발급 등 필수 시스템 접근 권한 확보와 관련하여 처리해야 할 사항과 구체적인 절차는 무엇인가요?</t>
  </si>
  <si>
    <t>부산시청 신규 임용 시 원활한 업무 진행을 위해 행정포털 계정 및 행정전자서명 발급 등 처리해야 할 사항과 절차는 다음과 같습니다.
행정포털 계정 생성: 부산시청 내부 행정포털 시스템에 접속하여 신규 임용자의 계정을 생성합니다. 이 과정에서 필요한 정보(이름, 부서, 직급 등)를 입력하고, 시스템에서 제공하는 양식을 따라 계정을 설정합니다.
행정전자서명 발급 신청: 행정전자서명 발급을 위해 필요한 사용자 정보와 기관 정보를 등록하고, 신청서를 작성합니다. 이후 등록기관 담당자에게 공문을 발송하여 인증서 발급을 신청합니다.
인증서 발급 절차: 등록기관 담당자가 신청자의 신원을 확인하고, 기관 정보를 확인한 후 사용자 등록을 진행합니다. 사용자 등록 시 인증코드가 자동 생성되며, 등록 신청자에게 안내메시지(SMS)가 발송됩니다.
인증서 발급: 신규 임용자는 등록기관 담당자가 발송한 안내메시지(SMS)를 통해 인증서 발급 메뉴에 접속하여 인증서를 발급받습니다.
이러한 절차를 통해 신규 임용자는 부산시청의 행정포털 계정과 행정전자서명을 발급받아 업무를 원활하게 진행할 수 있습니다.</t>
  </si>
  <si>
    <t>ㆍ329_1911_정보화정책과_업무매뉴얼_행정안전부_행정전자서명_사용자_매뉴얼Ver14.pdf (p.2)
https://busanai.busan.go.kr/download/329_1911_정보화정책과_업무매뉴얼_행정안전부_행정전자서명_사용자_매뉴얼Ver14.pdf</t>
  </si>
  <si>
    <t>내용 오류입니다.
행정포털에 관한 근거없이 내용이 생성되었습니다. 행정포털에 관련된 근거문서는 제공되지 않았습니다.
제출된 자료도 근거로 활용될 수 있지만 해당 파일에는 인증서 신청 시 신청자 및 업무처리자의 처리단계도 같이 포함되어 있어서 혼란이 생길 가능성이 큽니다.
따라서 정보화정책과 행정전자서명 사용자 매뉴얼Ver1.4 을 근거로 답변을 해야 할것으로 보입니다.
해당 파일은 아직 미제출상태입니다.
기대답변 (행정전자서명 발급 갱신 이동 안내 파일 포함)
[행정전자서명 신규, 재발급, 비밀번호 분실 시]
1. 공문 신청(정보화정책과) 
＃기간제 직원 신청시 근무기간 반드시 명시
* 구군은 구군 전산팀,상수도사업본부는경영지원부 정보관리팀, 소방재난본부는 119종합 상황실로 신청
2. 문자메시지 수신 후 gpki.go.kr에 접속하여 인증서 발급
※ 행정망에서만 가능
 - 메뉴: 인증서관리/발급 (구분: 개인용, 행정기관)
 - 기관명: 부산광역시
***14일내 발급 필요, 14일 초과시 재 신청(공문 재발송 필요)***</t>
  </si>
  <si>
    <t>직원차량 등록 절차는 어떻게 되나요?</t>
  </si>
  <si>
    <t>시청 주차장에 직원차량을 등록하려면, 등록 절차와 필요 서류는 어떻게 되나요?</t>
  </si>
  <si>
    <t>부산시청 직원 차량 등록 절차는 차량 구매, 등록 신청, 차량 검사, 보험 가입, 차량 번호판 부착, 차량 등록증 발급의 순서로 진행됩니다.
관련내용은 다음과 같습니다.
차량 구매: 차량을 구매하기 위해 필요한 예산을 확보하고, 차량 구매 계획을 수립합니다.
등록 신청: 차량 구매 후, 차량 등록 신청서를 작성하여 부산시청 차량 등록 부서에 제출합니다.
차량 검사: 차량 구매 후, 일정 기간 내에 차량 검사를 받아야 합니다. 이는 차량의 안전성과 법적 요건을 충족하기 위함입니다.
보험 가입: 차량 보험에 가입하여 보험 증권 사본을 차량 등록 부서에 제출합니다.
차량 번호판 부착: 차량 번호판을 차량에 부착합니다.
차량 등록증 발급: 모든 절차가 완료되면 차량 등록증을 발급받습니다.
이 절차는 일반적인 경우를 기준으로 하며, 구체적인 절차나 필요 서류는 부산시청 차량 등록 부서의 안내를 따르는 것이 좋습니다.</t>
  </si>
  <si>
    <t>내용 오류입니다.
관련 근거 : 총무과 주요질문사항 직원주차장 이용 안내
기대답변 :
주차장 등록방법 및 이용요금, 요일제 안내
ㅇ대상: 전직원
1. 직원 정기권 등록방법?
ㅇ 직원의 차량은 승용차요일제 1일과 선택요일 1일을 포함하여 총 2일
을 지정하여 등록
ㅇ 승용차요일제 1일은 시청 교통혁신과, 구청, 행정복지센터에서 신청
ㅇ 차량 등록을 위해서는 "직원정기권 등록 신청서" 엑셀파일을 첨부한
후, 각 과에서 취합을 받아 공문으로 신청
ㅇ 차량 해지도 동일한 절차로 공문으로 신청
2. 승용차 요일제 신청방법?
ㅇ 요일제 제외 차량대상은 3가지
① 경차, 수소차, 하이브리드 전기차: 차량등록증 첨부
② 장애인, 국가유공자의 차량: 본인 차량에 한하여 신청가능, 증빙서류
를 제출
③ 유아 동승 차량:재원증명서와 주민등록등본을 제출, 해당 유아가 초등
학교에 입학하면 유아 동승 차량은 자동 해제
3. 출입구 전광판에 “기간만료일” 문구가 뜨면?
ㅇ 정기권 등록 4년 경과 된 차량은 만료일 30일 전부터 주차장 출입구
전광판에 "기간만료00전" 안내 문구가 표출됨. 이 경우, 신청 절차는
차량 등록 시와 동일하게 공문을 통해 재등록을 신청
ㅇ 미신청 시 민원인에게 부과되는 일반 요금이 부과되며, 1일 최대
8,000원 발생
4. 주차장 이용시간은?
ㅇ 매일, 24시간 운영</t>
  </si>
  <si>
    <t>주차장 등록방법 및 이용요금, 요일제 안내
 ㅇ대상: 전직원
 1. 직원 정기권 등록방법?
 ㅇ 직원의 차량은 승용차요일제 1일과 선택요일 1일을 포함하여 총 2일
 을 지정하여 등록
 ㅇ 승용차요일제 1일은 시청 교통혁신과, 구청, 행정복지센터에서 신청
 ㅇ 차량 등록을 위해서는 "직원정기권 등록 신청서" 엑셀파일을 첨부한
 후, 각 과에서 취합을 받아 공문으로 신청
 ㅇ 차량 해지도 동일한 절차로 공문으로 신청
 2. 승용차 요일제 신청방법?
 ㅇ 요일제 제외 차량대상은 3가지
 ① 경차, 수소차, 하이브리드 전기차: 차량등록증 첨부
 ② 장애인, 국가유공자의 차량: 본인 차량에 한하여 신청가능, 증빙서류
 를 제출
 ③ 유아 동승 차량:재원증명서와 주민등록등본을 제출, 해당 유아가 초등
 학교에 입학하면 유아 동승 차량은 자동 해제
 3. 출입구 전광판에 “기간만료일” 문구가 뜨면?
 ㅇ 정기권 등록 4년 경과 된 차량은 만료일 30일 전부터 주차장 출입구
 전광판에 "기간만료00전" 안내 문구가 표출됨. 이 경우, 신청 절차는
 차량 등록 시와 동일하게 공문을 통해 재등록을 신청
 ㅇ 미신청 시 민원인에게 부과되는 일반 요금이 부과되며, 1일 최대
 8,000원 발생
 4. 주차장 이용시간은?
 ㅇ 매일, 24시간 운영</t>
  </si>
  <si>
    <t>총무과 주차장 등록방법 및 이용요금, 요일제 안내
 ㅇ대상: 전직원
 1. 직원 정기권 등록방법?
 ㅇ 직원의 차량은 승용차요일제 1일과 선택요일 1일을 포함하여 총 2일
 을 지정하여 등록
 ㅇ 승용차요일제 1일은 시청 교통혁신과, 구청, 행정복지센터에서 신청
 ㅇ 차량 등록을 위해서는 "직원정기권 등록 신청서" 엑셀파일을 첨부한
 후, 각 과에서 취합을 받아 공문으로 신청
 ㅇ 차량 해지도 동일한 절차로 공문으로 신청
 2. 승용차 요일제 신청방법?
 ㅇ 요일제 제외 차량대상은 3가지
 ① 경차, 수소차, 하이브리드 전기차: 차량등록증 첨부
 ② 장애인, 국가유공자의 차량: 본인 차량에 한하여 신청가능, 증빙서류
 를 제출
 ③ 유아 동승 차량:재원증명서와 주민등록등본을 제출, 해당 유아가 초등
 학교에 입학하면 유아 동승 차량은 자동 해제
 3. 출입구 전광판에 “기간만료일” 문구가 뜨면?
 ㅇ 정기권 등록 4년 경과 된 차량은 만료일 30일 전부터 주차장 출입구
 전광판에 "기간만료00전" 안내 문구가 표출됨. 이 경우, 신청 절차는
 차량 등록 시와 동일하게 공문을 통해 재등록을 신청
 ㅇ 미신청 시 민원인에게 부과되는 일반 요금이 부과되며, 1일 최대
 8,000원 발생
 4. 주차장 이용시간은?
 ㅇ 매일, 24시간 운영</t>
  </si>
  <si>
    <t>SQG011</t>
  </si>
  <si>
    <t>계좌이체로 지출시(소액) 필요한 서류는 어떻게 되나요?</t>
  </si>
  <si>
    <t>계좌이체 방식으로 소액 지출을 처리할 때, 지출 신청부터 승인·집행까지 필요한 서류를 알려주세요</t>
  </si>
  <si>
    <t>부산시청에서 계좌이체로 소액 지출 시 필요한 서류는 내부결재 문서, 납입고지서, 물품검수조서입니다.
관련내용은 다음과 같습니다.
내부결재 문서: 소액의 물품 구매인 경우 내부결재 문서로 대체 가능합니다.
납입고지서: 지출결의서 금액과 납입고지서 금액이 일치하는 경우 납입고지서로 대체 가능합니다.
물품검수조서: 지출결의서의 금액과 계약서 및 검수조서의 금액이 일치되어야 하며, 검사자가 서명(직인) · 날인한 검수조서가 필요합니다.
이러한 서류들을 통해 지출의 적정성과 투명성을 확보할 수 있습니다.</t>
  </si>
  <si>
    <t>ㆍ46_2404_공공하수인프라과_업무매뉴얼_환경부_유기성폐자원_통합_바이오가스화시설_설치사업의_예산편성_및_집행관리_지침2차_개정.pdf (p.34)
https://busanai.busan.go.kr/download/46_2404_공공하수인프라과_업무매뉴얼_환경부_유기성폐자원_통합_바이오가스화시설_설치사업의_예산편성_및_집행관리_지침2차_개정.pdf</t>
  </si>
  <si>
    <t>내용, 첨부파일 오류입니다.
계좌이체 관련 근거 문서가 없습니다.
기대답변 : 
OO에 대한 관련 문서가 없습니다.
자세한 사항은 관련 부서나 업무 담당자에게 문의하시기 바랍니다.</t>
  </si>
  <si>
    <t>조례 개정 절차는 어떻게 되나요?</t>
  </si>
  <si>
    <t>지방자치단체에서 조례를 개정할 때 전체 절차와 각 단계별 담당 부서, 소요 기한 및 제출서류는 어떻게 되나요?</t>
  </si>
  <si>
    <t>부산광역시 조례 개정 절차는 입법예고, 의견제출, 조례안 작성, 조례안 심사, 조례안 공포, 시행입니다.
관련내용은 다음과 같습니다.
입법예고: 조례 개정안을 부산광역시 홈페이지에 공고하여 시민들에게 알립니다.
의견제출: 조례 개정안에 대해 의견이 있는 단체나 개인은 2021년 9월 28일까지 의견을 제출할 수 있습니다. 의견 제출 시에는 찬성·반대 여부 및 그 사유, 성명(단체의 경우 단체명과 대표자 성명), 주소 및 전화번호를 기재해야 합니다.
조례안 작성: 의견 수렴 후 조례안을 작성합니다.
조례안 심사: 조례안을 부산광역시의회 상임위원회에서 심사합니다.
조례안 공포: 상임위원회 심사를 통과한 조례안은 부산광역시장이 공포합니다.
시행: 공포한 날부터 조례가 시행됩니다.</t>
  </si>
  <si>
    <t>ㆍ76433_입법예고2021-82부산광역시립미술관_및_부산광역시현대미술관_운영_조례_일부개정조례안-hwp.pdf (p.2)
https://busanai.busan.go.kr/download/76433_입법예고2021-82부산광역시립미술관_및_부산광역시현대미술관_운영_조례_일부개정조례안-hwp.pdf</t>
  </si>
  <si>
    <r>
      <rPr>
        <rFont val="Malgun Gothic"/>
        <color theme="1"/>
        <sz val="11.0"/>
      </rPr>
      <t xml:space="preserve">관련내용, 근거문서 오류입니다.
근거문서 : 자치법규 입법절차 등(법무담당관) 1P
기대답변 : 
□ 조례 입법절차
○ 시장 발의 </t>
    </r>
    <r>
      <rPr>
        <rFont val="Segoe UI Symbol"/>
        <color theme="1"/>
        <sz val="11.0"/>
      </rPr>
      <t>▸</t>
    </r>
    <r>
      <rPr>
        <rFont val="맑은 고딕"/>
        <color theme="1"/>
        <sz val="11.0"/>
      </rPr>
      <t>「지방자치법」제32조</t>
    </r>
    <r>
      <rPr>
        <rFont val="Tahoma"/>
        <color theme="1"/>
        <sz val="11.0"/>
      </rPr>
      <t>․</t>
    </r>
    <r>
      <rPr>
        <rFont val="맑은 고딕"/>
        <color theme="1"/>
        <sz val="11.0"/>
      </rPr>
      <t>제35조, 「지방자치법시행령」제28조, 「부산광역시법제업무운영규칙」
1. 자치법규 입안 (주관부서)
 · 방침결재 : 제정·폐지(시장), 개정(부시장)
2. 사전승인, 부패영향평가, 성별영향평가, 규제영향 분석(규제 포함시)
 · 부패영향평가(감사담당관)
 · 성별영향평가(여성가족과)
3. 입법예고(20일 이상, 시보, 시 인터넷 홈페이지)
 · 규제영향분석서 함께 공표
4. 규제개혁위원회 심의 (규제심사 - 신설·강화)
5. 법제심사 의뢰(주관부서→법무담당관)
· 입법이유서, 입법안, 입법예고결과요약서, 비용추계서등 첨부심사 의뢰
6. 조례규칙심의회심의</t>
    </r>
    <r>
      <rPr>
        <rFont val="Tahoma"/>
        <color theme="1"/>
        <sz val="11.0"/>
      </rPr>
      <t>․</t>
    </r>
    <r>
      <rPr>
        <rFont val="맑은 고딕"/>
        <color theme="1"/>
        <sz val="11.0"/>
      </rPr>
      <t>의결(재적위원 과반수 찬성)
 · 위원장 시장
 · 위원 31명(부시장, 실·국장)
7. 시의회 제출(회기 10일전)
8. 시의회 심의</t>
    </r>
    <r>
      <rPr>
        <rFont val="Tahoma"/>
        <color theme="1"/>
        <sz val="11.0"/>
      </rPr>
      <t>․</t>
    </r>
    <r>
      <rPr>
        <rFont val="맑은 고딕"/>
        <color theme="1"/>
        <sz val="11.0"/>
      </rPr>
      <t xml:space="preserve">의결(상임위 및 본회의)
9. 조례안 이송(의결 후 5일 이내)
10. 조례안 사전보고(이송후5일이내, 행안부)
11. 조례규칙심의회(시의회 수정가결時)
12. 조례안 공포(이송 후 20일 이내)
○ 의원 발의 </t>
    </r>
    <r>
      <rPr>
        <rFont val="Segoe UI Symbol"/>
        <color theme="1"/>
        <sz val="11.0"/>
      </rPr>
      <t>▸</t>
    </r>
    <r>
      <rPr>
        <rFont val="맑은 고딕"/>
        <color theme="1"/>
        <sz val="11.0"/>
      </rPr>
      <t>「지방자치법」제32조</t>
    </r>
    <r>
      <rPr>
        <rFont val="Tahoma"/>
        <color theme="1"/>
        <sz val="11.0"/>
      </rPr>
      <t>․</t>
    </r>
    <r>
      <rPr>
        <rFont val="맑은 고딕"/>
        <color theme="1"/>
        <sz val="11.0"/>
      </rPr>
      <t>제35조, 「지방자치법시행령」제28조, 「부산광역시법제업무운영규칙」
1. 조례안 입안(입법정책담당관 지원) 
2. 조례안 발의(재적의원 1/5 또는10명이상) 
3. 소관 상임위 배부
4. 상임위 조례안 심의(입법예고 5일 이상)
5. 본회의 심의</t>
    </r>
    <r>
      <rPr>
        <rFont val="Tahoma"/>
        <color theme="1"/>
        <sz val="11.0"/>
      </rPr>
      <t>․</t>
    </r>
    <r>
      <rPr>
        <rFont val="맑은 고딕"/>
        <color theme="1"/>
        <sz val="11.0"/>
      </rPr>
      <t xml:space="preserve">의결(재적의원 과반수 출석, 출석의원 과반수 찬성)
6. 조례안 이송(의결 후 5일 이내)
7. 조례안 사전보고(이송 후 5일 이내, 행안부)
8. 조례규칙심의회(재의여부 심의)
9. 조례안 공포(이송 후 20일 이내)
□ 규칙 입법절차
</t>
    </r>
    <r>
      <rPr>
        <rFont val="Segoe UI Symbol"/>
        <color theme="1"/>
        <sz val="11.0"/>
      </rPr>
      <t>▸</t>
    </r>
    <r>
      <rPr>
        <rFont val="맑은 고딕"/>
        <color theme="1"/>
        <sz val="11.0"/>
      </rPr>
      <t>「지방자치법」제32조</t>
    </r>
    <r>
      <rPr>
        <rFont val="Tahoma"/>
        <color theme="1"/>
        <sz val="11.0"/>
      </rPr>
      <t>․</t>
    </r>
    <r>
      <rPr>
        <rFont val="맑은 고딕"/>
        <color theme="1"/>
        <sz val="11.0"/>
      </rPr>
      <t>제35조, 「지방자치법시행령」제28조, 「부산광역시법제업무운영규칙① 자치법규 입안
1. 자치법규 입안(주관부서)
2. 사전승인, 규제심사, 부패영향평가(감사담당관) 성별영향평가(여성가족과)
3. 입법예고(20일 이상, 시보, 시 인터넷 홈페이지)
4. 법제심사 의뢰
5. 규칙안 확정보고(부시장) / 법무담당관 협의
6. 조례규칙심의회 상정의뢰
7. 조례규칙심의회 심의</t>
    </r>
    <r>
      <rPr>
        <rFont val="Tahoma"/>
        <color theme="1"/>
        <sz val="11.0"/>
      </rPr>
      <t>․</t>
    </r>
    <r>
      <rPr>
        <rFont val="맑은 고딕"/>
        <color theme="1"/>
        <sz val="11.0"/>
      </rPr>
      <t>의결
8. 사전보고[행안부](공포예정일 15일전)
9. 규칙안 공포</t>
    </r>
  </si>
  <si>
    <r>
      <rPr>
        <rFont val="Malgun Gothic"/>
        <color theme="1"/>
        <sz val="11.0"/>
      </rPr>
      <t xml:space="preserve">조례 입법 절차, 조례 제정 절차, 조례 개정 절차, 조례 제정 개정 행정 절차 가이드라인, 조례 제정 기한, 조례 제정 관련 의회 제출 전 법무담당관 협의 내용
</t>
    </r>
    <r>
      <rPr>
        <rFont val="Malgun Gothic"/>
        <color rgb="FFFF0000"/>
        <sz val="11.0"/>
      </rPr>
      <t>질문 변경시 검색됨 =&gt; 조례 개정 입법 절차는 어떻게 되나요?</t>
    </r>
  </si>
  <si>
    <t>상품권 구매 및 관리를 위한 구체적인 기준을 알려줘</t>
  </si>
  <si>
    <t>상품권을 구매하고 관리할 때, 구매 한도, 사용 대상, 보관·관리 방법, 회계 처리 절차 등 구체적인 기준과 관련 규정은 무엇인가요?</t>
  </si>
  <si>
    <t>부산시청에서 상품권 구매 및 관리를 위한 구체적인 기준은 구매 절차 및 방법, 사용 범위 및 예산과목, 상품권 사용, 상품권 관리 운영 지침이 있습니다.
관련내용은 다음과 같습니다.
구매 절차 및 방법
연간 수요량을 파악하여 분기별, 연간 등 시기별로 집계하여 통합 구매하는 것을 원칙으로 합니다. 다만, 통합 구매의 실익이 없는 경우 또는 할인율이 다른 경우에는 건별로 구매할 수 있습니다.
명절, 생일 등 정기적으로 지급되어 구매 수량이 예측 가능한 경우, 연간 계획에 따라 상품권을 지급하는 경우 등이 해당됩니다.
사용 범위 및 예산과목
기념일 지원, 체육행사 비용 등 관련 복리후생비
각종 행사 및 교육훈련 관련 경품(시상품) 행사비 및 교육훈련비
업무 관계 유공자 등 내·외부인에 대한 포상비
사회복지시설 등에 대한 사회공헌활동 및 행사지원 기부금
기타 상품권 사용이 예산에 반영된 경우의 해당 예산과목
상품권 사용
소속 직원 생일 등 기념일 범위 내
사회서비스원의 발전 또는 사업 추진에 공헌한 내·외부인 포상 범위 내
재난·사고가 발생에 따른 이재민 및 소외계층에 대한 지원 범위 내
기타 원장이 지정한 범위 내
상품권 관리 운영 지침
부적절한 상품권 사용 방지를 위하여 배부 대장을 작성하고 배부 일자, 수량, 수령인 등을 정확히 기재하여 관리하여야 합니다.
상품권 배부 대장에 수령자가 아닌 전달자가 일괄 서명하는 것은 금지됩니다.
상품권 배부 대장에 일부 사실과 맞지 않게 기재하는 것도 금지됩니다.
상품권 배부 대장에 기재하지 않고 배부하는 것도 금지됩니다.
이러한 기준을 통해 부산시청에서는 상품권의 구매, 사용, 관리를 체계적으로 관리하고 있습니다.</t>
  </si>
  <si>
    <t>ㆍ1122_압축최종부산시사회서비스원_규정집250226.pdf (p.505)
https://busanai.busan.go.kr/download/1122_압축최종부산시사회서비스원_규정집250226.pdf
ㆍ83982_2022년_서울본부_정기종합감사_결과.pdf (p.4)
https://busanai.busan.go.kr/download/83982_2022년_서울본부_정기종합감사_결과.pdf</t>
  </si>
  <si>
    <t>관련자료, 내용 오류입니다.
지역화폐의 예전 조례 제목이(21년) 상품권 구매 관련 조례여서 해당 질의는
지역화폐에 관한 질의로 해석됩니다.
관련 문서 : 부산광역시 지역화폐 이용 활성화에 관한 조례
기대답변 : 
지역화폐(상품권)의 발행 규모, 형태, 유통방법 및 환전 절차 등은 시장이 정하도록 규정하고 있으며, 구매·보관·회수·폐기·정산·환전 등 관리에 필요한 사항 또한 시장이 정하도록 되어 있습니다.
구체적인 기준은 관련 부서나 업무 담당자에게 문의해 주시기 바랍니다.</t>
  </si>
  <si>
    <t xml:space="preserve">357_페이지36_문서7_162648_부산광역시_지역화폐_이용_활성화에_관한_조례.pdf[]
-----
[상품권 구매 및 관리를 위한 기준 정보는 조례 내용에 없음. 어떤 자료를 참고하여 답변을 해야 하는지 확인 필요] </t>
  </si>
  <si>
    <t>일시적인 강연, 자문, 고문료에 따른 원천세 신고 코드 종류와 지급명세서 종류를 알려줘</t>
  </si>
  <si>
    <t>일시적인 강연, 자문, 고문료 지급 시, 적용해야 하는 원천세 신고 코드와 종류, 해당 지급에 따른 지급명세서 유형, 작성 및 제출 절차, 유의사항을 알려주세요</t>
  </si>
  <si>
    <t>일시적인 강연, 자문, 고문료 지급 시 원천세 신고 코드와 지급명세서 종류는 다음과 같습니다.
일시적인 강연료 지급 시
원천세 신고 코드: 11 (강연료)
지급명세서 종류: 일용근로소득 지급명세서
일시적인 자문료 지급 시
원천세 신고 코드: 20 (자문료)
지급명세서 종류: 일용근로소득 지급명세서
일시적인 고문료 지급 시
원천세 신고 코드: 21 (고문료)
지급명세서 종류: 일용근로소득 지급명세서
각 지급 형태에 따라 원천세 신고 코드와 지급명세서 종류를 구분하여 신고 및 제출해야 합니다.</t>
  </si>
  <si>
    <t>내용, 첨부파일 오류입니다.
코드는 국세청 홈페이지 내에 있으므로 관련 근거 문서가 없습니다.
지급명세서 종류는 소득세법 시행규칙에 있는데 해당 자료도 미제출입니다.
기대답변 : 
OO에 대한 관련 문서가 없습니다.
자세한 사항은 관련 부서나 업무 담당자에게 문의하시기 바랍니다.</t>
  </si>
  <si>
    <t>보통예금계좌 점검 주기 및 방법을 알려줘</t>
  </si>
  <si>
    <t>보통예금계좌를 점검할 때, 점검 주기와 점검 방법, 점검 시 확인해야 하는 항목은 무엇인가요?</t>
  </si>
  <si>
    <t>부산시청 보통예금계좌 점검 주기는 7주이며, 점검 방법은 일상경비 검사와 연계하여 일상경비 검사기간 중 실시됩니다.
관련내용은 다음과 같습니다.
점검 주기: 7주
점검 방법: 일상경비 검사와 연계하여 일상경비 검사기간 중 실시
이러한 점검을 통해 보통예금계좌의 목적 외 사용 여부, 계좌 개설 시 회계부서 승인 여부, 불필요한 계좌 해지 및 통폐합 등 관리 여부, 기타 입출금 보통예금 통장 운영 관리 적정 여부 등을 확인합니다.</t>
  </si>
  <si>
    <t>ㆍ68506_20220930_회계재산담당관_보도자료부산시_공금_보통예금계좌_특별_관리한다-hwp.pdf (p.2)
https://busanai.busan.go.kr/download/68506_20220930_회계재산담당관_보도자료부산시_공금_보통예금계좌_특별_관리한다-hwp.pdf</t>
  </si>
  <si>
    <r>
      <rPr>
        <rFont val="Malgun Gothic"/>
        <color theme="1"/>
        <sz val="11.0"/>
      </rPr>
      <t>관련근거 오류, 내용 오류입니다.
보도자료에 관련 근거 법령이 나오긴 하지만 보도자료를 행정 매뉴얼로 활용하기엔 좀 어려울 것 같습니다.
그리고 내용에 7주라는 내용도 오류입니다. 보도자료를 활용한다고 하더라도 7주는 해당 특별 기간동안의 점검 기간이고
질의문은 평소 계좌 점검 주기와 방법에 대한 문의를 하고 있는것으로 보입니다.
근거 자료 해당 페이지에는 훈련 내용만 설명되어 있어서 해당 내용을 그대로 기대답변으로 작성했습니다.
근거 : 지방자치단체 회계관리에 관한 훈령(회계재산담당관) 131~132P
기대답변 : 
1. 운영점검 : 자치단체는 계좌가 목적대로 운영되고 있는지 확인을 위해 주기적으로 계좌현황, 거래내역, 잔액 등 점검을 실시해야 한다.
○ 사업부서장은 분기별 1회 이상 해당 부서 보통예금계좌를 점검하고 그 결과 계좌가불필요하거나 유사사업 등으로 통</t>
    </r>
    <r>
      <rPr>
        <rFont val="Tahoma"/>
        <color theme="1"/>
        <sz val="11.0"/>
      </rPr>
      <t>‧</t>
    </r>
    <r>
      <rPr>
        <rFont val="맑은 고딕"/>
        <color theme="1"/>
        <sz val="11.0"/>
      </rPr>
      <t>폐합이 필요한 경우 즉시 계좌를 해지하거나 통</t>
    </r>
    <r>
      <rPr>
        <rFont val="Tahoma"/>
        <color theme="1"/>
        <sz val="11.0"/>
      </rPr>
      <t>‧</t>
    </r>
    <r>
      <rPr>
        <rFont val="맑은 고딕"/>
        <color theme="1"/>
        <sz val="11.0"/>
      </rPr>
      <t>폐합 한 후 회계부서장에게 통보해야 한다.
○ 회계부서장은 반기별 1회 이상 자치단체 보통예금계좌를 점검해야 한다. 이때, 자치단체 보통예금계좌 용도에 따라 예산</t>
    </r>
    <r>
      <rPr>
        <rFont val="Tahoma"/>
        <color theme="1"/>
        <sz val="11.0"/>
      </rPr>
      <t>‧</t>
    </r>
    <r>
      <rPr>
        <rFont val="맑은 고딕"/>
        <color theme="1"/>
        <sz val="11.0"/>
      </rPr>
      <t>세정 등 관련성이 높은 부서의 장이 점검하도록 할 수 있다.
※ (예시) 자치단체 기금 중간수납용 보통예금계좌 → 예산업무담당부서장이 점검, 자치단체 수입금 중간수납용 보통예금계좌 → 세입업무담당부서장이 점검
2. 외부점검 : 회계책임관은 감사부서에 요청하여 연 1회 이상 계좌 운영현황에 대하여 전수조사를 실시한다.
※ 감사부서장은 사업부서, 금고 등에서 계좌현황 등을 제출받아 대조·점검 등 실시</t>
    </r>
  </si>
  <si>
    <t>1. 운영점검 : 자치단체는 계좌가 목적대로 운영되고 있는지 확인을 위해 주기적으로 계좌현황, 거래내역, 잔액 등 점검을 실시해야 한다.
 ○ 사업부서장은 분기별 1회 이상 해당 부서 보통예금계좌를 점검하고 그 결과 계좌가불필요하거나 유사사업 등으로 통‧폐합이 필요한 경우 즉시 계좌를 해지하거나 통‧폐합 한 후 회계부서장에게 통보해야 한다.
 ○ 회계부서장은 반기별 1회 이상 자치단체 보통예금계좌를 점검해야 한다. 이때, 자치단체 보통예금계좌 용도에 따라 예산‧세정 등 관련성이 높은 부서의 장이 점검하도록 할 수 있다.
 ※ (예시) 자치단체 기금 중간수납용 보통예금계좌 → 예산업무담당부서장이 점검, 자치단체 수입금 중간수납용 보통예금계좌 → 세입업무담당부서장이 점검
 2. 외부점검 : 회계책임관은 감사부서에 요청하여 연 1회 이상 계좌 운영현황에 대하여 전수조사를 실시한다.
 ※ 감사부서장은 사업부서, 금고 등에서 계좌현황 등을 제출받아 대조·점검 등 실시</t>
  </si>
  <si>
    <t>469_2406_회계재산담당관_법령_행정안전부_지방자치단체_회계관리에_관한_훈령_00.pdf</t>
  </si>
  <si>
    <t>131, 132</t>
  </si>
  <si>
    <t>[131p]
 2. 계좌 운영･관리
 2-1. (계좌운영) 개설된 계좌는 해당 목적대로만 운영하여야 하며, 목적에 맞지 않는
 다른 계좌와 혼용하지 않도록 주의한다.
 ○ 계좌명에 용도(결제대금, 수입금 중간수납, 세입세출외현금 등)를 기재
 ○ 결제대금, 수입금, 세입세출외현금은 구분하되 유사한 용도인 경우* 1개 계좌를 통합
 하여 사용하고, 세부내역은 별도 구분‧관리한다.
 * (예시)�신용카드 결제대금 �공공요금 이체 �임차료 등 → 결제대금계좌 1개 활용
 (예시) 계좌 운영 용도
 &lt; 구매카드 결제계좌 &gt;
 § (신용카드 결제계좌) 일상경비출납계좌에서 카드사용대금만 입금받고, 그 금액
 만큼 해당 신용카드사 계좌로 이체하는 용도로만 사용
 § (제로페이 결제계좌) 일상경비출납계좌(또는 모계좌)와 제로페이 사용대금의
 입·출금 용도로만 사용
 &lt; 수입금 및 세입세출외현금 중간 수납계좌 &gt;
 § 수입금 및 세입세출외현금을 중간 수납계좌로 납입받은 경우 즉시 최종계좌에
 이체하고, 다른 계좌로 출금 불가
 2-2. (계좌보관) 실물통장, 통장직인(도장)은 지출원 또는 출납원의 책임으로 관리·
 보관(비밀금고 등 안전한 장소)하되, 계좌 비밀번호는 주기적(연 1회 이상)
 변경한다.
 2-3. (운영점검) 자치단체는 계좌가 목적대로 운영되고 있는지 확인을 위해 주기적
 으로 계좌현황, 거래내역, 잔액 등 점검을 실시해야 한다.
 ○ 사업부서장은 분기별 1회 이상 해당 부서 보통예금계좌를 점검하고 그 결과 계좌가
 [132p]
 불필요하거나 유사사업 등으로 통‧폐합이 필요한 경우 즉시 계좌를 해지하거나 통‧폐합
 한 후 회계부서장에게 통보해야 한다.
 ○ 회계부서장은 반기별 1회 이상 자치단체 보통예금계좌를 점검해야 한다. 이때, 자치
 단체 보통예금계좌 용도에 따라 예산‧세정 등 관련성이 높은 부서의 장이 점검하도록
 할 수 있다.
 ※ (예시) 자치단체 기금 중간수납용 보통예금계좌 → 예산업무담당부서장이 점검, 자치단체 수입금
 중간수납용 보통예금계좌 → 세입업무담당부서장이 점검
 2-4. (외부점검) 회계책임관은 감사부서에 요청하여 연 1회 이상 계좌 운영현황에
 대하여 전수조사를 실시한다.
 ※ 감사부서장은 사업부서, 금고 등에서 계좌현황 등을 제출받아 대조·점검 등 실시
 2-5. (계좌관리) 회계책임관은 금고와 협의 등을 통해 해당 자치단체에 적합한 계좌
 관리에 대한 다양한 방안을 마련･운영한다.
 (예시) 계좌 관리 방안
 § 계좌(기금계좌 등 포함)에서 1회 입･출금되는 금액이 일정액(1천만원) 이상일 경우
 사업부서장과 회계부서장 및 예산업무담당부서장(기금관리부서)에게 알림(문자)
 서비스가 활용될 수 있도록 금고와 협의
 * 알림(문자)서비스 금액은 자치단체마다 달리 적용 가능
 § 기금 부담금 등 수입금을 중간수납 계좌에서 최종계좌로 이체 시 금고와 협의하여
 자치단체가 지정한 금고 영업점에서만 이체(출금)되도록 제한 조치
 § 인터넷･모바일을 통해 출금이 가능한 인터넷뱅킹･모바일뱅킹 서비스 사용금지
 (※ 필요 시 회계책임관이 엄격하게 승인)
 § 계좌 입･출금 한도금액을 상향 조정할 경우 사업부서는 회계부서 승인을 받아
 회계부서 승인공문을 첨부하여 공문으로 금고에 제출 등
 2-6. (지방재정관리시스템 등록‧활용) 회계책임관은 금고와 협의하여 지방재정관리
 시스템(e호조+)으로 자치단체 보통예금계좌를 관리해야 한다.</t>
  </si>
  <si>
    <t>보통예금계좌 점검 주기 및 방법 안내</t>
  </si>
  <si>
    <t>국민신문고 민원 처리 절차를 알려줘</t>
  </si>
  <si>
    <t>국민신문고를 통해 접수된 민원을 처리할 때, 접수부터 처리 완료까지의 단계별 절차, 담당 부서, 처리 기준 및 기한은 어떻게 되나요?</t>
  </si>
  <si>
    <t>국민신문고를 통해 접수된 민원의 처리 절차는 신청, 접수, 처리, 결과 통보의 단계로 진행됩니다.
관련내용은 다음과 같습니다.
신청: 민원인은 국민신문고를 통해 민원을 신청합니다. 이때 온라인, 앱, 우편/팩스, 전화를 통해 접수할 수 있으며, 온라인이 99%의 비중을 차지합니다.
접수: 국민신문고는 접수된 민원을 테이블 형태로 구성하여 관리하며, 주요 필드는 신청일자, 접수일자, 처리유형, 민원종류, 처리기관, 업무분야, 담당부서, 민원제목, 민원내용, 처리결과, 처리기간 등입니다.
처리: 민원은 담당 부서에 배정되어 처리되며, 처리 과정에서 연장, 추가답변, 만족도 관련 필드가 존재합니다. 국민신문고 내에는 위경도 좌표를 포함한 데이터가 있어 세부 지역 연계 분석이 가능하며, 구체적인 민원을 담고 있어 상세한 민원 파악이 가능합니다.
결과 통보: 처리 결과는 민원인에게 통지되며, 만족도 조사도 함께 이루어집니다. 국민신문고는 민원 신청 경로별로 발생 현황을 분석하며, 온라인 신청이 가장 높은 비중을 차지합니다.</t>
  </si>
  <si>
    <t>ㆍ166_2502_빅데이터과_정책연구용역보고서_부산광역시_부산시정_업무_맞춤형_통합민원_분석_요약보고서.pdf (p.10, 11)
https://busanai.busan.go.kr/download/166_2502_빅데이터과_정책연구용역보고서_부산광역시_부산시정_업무_맞춤형_통합민원_분석_요약보고서.pdf</t>
  </si>
  <si>
    <t>근거문서가 애매합니다. 
분석 관련 요약보고서라서 가이드라인, 매뉴얼이 필요한 질의에 대한 근거문서로 활용하기는 어려울 것 같습니다.
근거문서 : 미제출 문서 중 국민신문고 사용자지침서 민원.pdf 파일을 참고했습니다.
기대답변 : 
국민신문고 민원 처리 절차 요약
1. 민원 검토 및 처리 : 민원 내용 검토, 사실관계 확인
 - 민원 처리 기한 원칙적으로 14일 이내
 - 부득이하게 연장할 경우, 처리기한 연장 사유와 연장일을 민원인에게 통보
2. 답변 작성 및 검토 : 답변문 작성, 내부 결재(검토 → 결재 → 승인)
 - 결재 완료 후 국민신문고 시스템을 통해 민원인 회신
3. 종결 및 평가 : 민원인에게 회신 후 ‘종결’ 처리
4. 민원인 만족도 평가 및 재신청(이의신청) 가능
5. 흐름도 요약
 - 접수 → 이첩/이송(필요 시) → 검토 및 처리 → 결재 및 회신 → 종결 및 평가</t>
  </si>
  <si>
    <t>다시 확인해보니 국민신문고 사용자지침서 민원 파일에 기대답변을 작성할 만한 내용이 없는거 같습니다.
 다른 매뉴얼이 있긴 하나 전체가 다 이미지라 활용 불가능하므로 미답변 처리 바랍니다.</t>
  </si>
  <si>
    <r>
      <rPr>
        <rFont val="맑은 고딕"/>
        <b/>
        <color theme="1"/>
        <sz val="11.0"/>
      </rPr>
      <t>1234_국민신문고_사용자지침서_민원_v17.pdf[15, 16]</t>
    </r>
    <r>
      <rPr>
        <rFont val="맑은 고딕"/>
        <color theme="1"/>
        <sz val="11.0"/>
      </rPr>
      <t xml:space="preserve">
-----
01 민원업무 개요
1.1. 민원업무 개요
① 국민신문고 또는 기관홈페이지 등을 통해 민원인이 민원을 신청한다.
12
② 민원인은 반드시 처리를 원하는 기관을 지정하여 민원을 신청해야 한다. 기관 선택
방법은 시스템에서 추천하는 처리기관을 선택하거나, 민원인이 직접 희망하는 기관을 입력, 검색하여 선택하는 두가지 방식이 제공된다. ③ 신청된 민원이 우리 기관 소관사항일 경우 민원을 접수</t>
    </r>
    <r>
      <rPr>
        <rFont val="MS UI Gothic"/>
        <color theme="1"/>
        <sz val="11.0"/>
      </rPr>
      <t>․</t>
    </r>
    <r>
      <rPr>
        <rFont val="맑은 고딕"/>
        <color theme="1"/>
        <sz val="11.0"/>
      </rPr>
      <t>처리하고, 소관사항이
아니거나 다수기관에서 처리해야 될 민원이라고 판단되면 이송, 다부처지정 또는 총괄기관(권익위)로 조정요청을 한다. ④ 처리기관의 분류담당자는 처리부서를 단계적으로 지정한다. 부서 자동분류 기능을 활용하면 신청단계에서 처리부서를 자동으로 배정하며, 접수단계에서는
처리부서 추천정보를 제공한다. ⑤ 해당민원이 협조처리민원 대상민원이라고 판단될 경우 협조기관 또는 협조부서를 지정하여 협조처리민원으로 지정한다. ⑥ 접수된 민원이 해당부서에서 처리할 민원이면 처리할 담당자를 지정하고, 소관사항이 아니면 부서재지정을 요청한다. ⑦ 해당민원이 처리담당자가 처리할 민원이면 해당민원을 처리하고, 소관사항이 아니면 담당자재지정을 요청한다. ⑧ 민원인에게 처리결과를 통보한다. ⑨ 민원인이 신청한 민원에 대해 처리결과를 확인하고 만족도조사를 한다.</t>
    </r>
  </si>
  <si>
    <t>장기재직휴가 기준 및 사용 방법을 알려줘</t>
  </si>
  <si>
    <t>장기재직휴가는 몇 년차부터 부여되며, 근속년수별 휴가 일수는 어떻게 되나요? 장기재직휴가 신청과 승인, 사용 절차는 무엇인가요?</t>
  </si>
  <si>
    <t>부산광역시 공무원의 장기재직휴가 기준은 재직기간에 따라 사용일수가 정해져 있으며, 사용 방법은 휴양시설 이용 시 숙박료 지원이 가능합니다.
관련내용은 다음과 같습니다.
재직기간별 장기재직휴가 사용일수
5년 이상 9년 이하: 5일
10년 이상 19년 이하: 15일
20년 이상 29년 이하: 25일
30년 이상: 25일
사용 방법
장기재직휴가 기간 동안 휴양시설을 이용해야 하며, 국내외 숙박업소로 등록된 모든 시설(호텔, 리조트, 펜션 등)에서 숙박료를 지원받을 수 있습니다.
지원 금액은 최대 200,000원이며, 이용 금액이 200,000원 미만일 경우 실제 이용 금액만 지원됩니다.
장기재직휴가 기간 내 숙박료 합산 신청이 가능합니다.
휴가 전, 후, 중간에 토, 일요일 및 공휴일이 포함될 수 있습니다.
이러한 기준과 사용 방법을 통해 부산광역시 공무원들은 장기재직휴가를 보다 효과적으로 활용할 수 있습니다.</t>
  </si>
  <si>
    <t>해당 답변 중 휴양시설을 이용해야 하며가 오류입니다 &gt; 무조건 이용해야한다는 내용으로 판단될 수 있습니다. 
장기재직휴가 지원 계획 문서로는 사용 방법에 대한 내용이 안나와 있어서
미 제출한 장기재직휴가 시행지침 개정전문을 기준으로 기대답변을 작성하였습니다.
해당 질의에 대한 답변 문서는 [붙임 1]장기재직휴가 시행지침 개정전문인데 학습자료 미제출자료입니다.
 - 2 세부 시행지침 내용 참고
기대답변(미제출자료 포함해서 답변 생성)
1. 장기재직 사용방법
  가. 복무시스템 승인 및 실시(휴가 희망직원 ⇒ 부서장)
    - 차세대인사랑(복무관리시스템) 상 결재를 득한 후 휴가 실시
       * 휴가신청 시 차세대인사랑 등록방법 
         √ 휴가구분 : 연가외휴가관리 - 특별휴가 - ‘장기재직휴가’로 등록
         √ 휴가사유 : [예시] ‘(금회) 20년차 1회 5일, (잔여일수) 20일
    - 부서장은 휴가 기간 중 업무대행자 지정 등 확인 후 승인
       * 주요 현안 등 업무 공백이 우려될 경우 휴가 조정 등
  나. 업무에 지장이 없는 범위 내에서 부서장* 책임 하 실시
     - 휴가 시작일 기준 1주일 전 승인(차세대인사랑 복무 승인) 후 실시
  다. 재직기간 별 해당 기간 내 반드시 사용
  라. 휴가 기간은 2일 이상 분할사용 가능
    - 최소 2일 이상 사용
  마. 부서 현원의 1/3 이내로 휴가대상자 선정
  바. 장기간 휴가사용을 위해 연가 연계사용 권장
2. 장기재직휴가 대상 : 재직기간 5년 이상인 공무원부터
3. 재직기간별 휴가 일수
 - 5년~9년 : 5일
 - 10년~19년 : 10일
 - 20년~29년 : 25일
 - 30년 이상 : 25일</t>
  </si>
  <si>
    <t>공무원증 신청 및 승인처리 방법을 알려줘</t>
  </si>
  <si>
    <t>공무원증 신청은 어떤 절차로 진행되며, 신청 후 승인 처리 과정과 소요 기간, 필요한 서류는 어떻게 되나요?</t>
  </si>
  <si>
    <t>부산광역시 공무원증 신청 및 승인 처리 방법은 다음과 같습니다.
신청서 작성: 부산광역시 공무원증 신청서를 작성합니다. 신청서는 부산광역시 홈페이지에서 다운로드하거나 부산광역시 총무과에 방문하여 수령할 수 있습니다.
제출 서류 준비: 신분증, 사진, 기타 필요한 서류(예: 재직증명서, 경력증명서 등)를 준비합니다.
신청서 제출: 준비한 서류와 함께 신청서를 부산광역시 총무과에 제출합니다.
승인 및 발급: 신청서 검토 후 승인되면 공무원증이 발급됩니다. 발급까지는 보통 2~3주 정도 소요됩니다.
수령: 발급된 공무원증을 지정된 장소에서 수령합니다.
부산광역시 공무원증 신청 및 발급과 관련된 자세한 사항은 부산광역시 총무과에 문의하시면 보다 정확한 정보를 얻을 수 있습니다.</t>
  </si>
  <si>
    <t>내용 오류입니다.
근거문서 : 인사과 자주찾는 질문 7P
기대답변 
1. 실물 공무원증(플라스틱 카드) 신청 절차
 - 차세대 인사랑시스템(인사마당탭-공무원증신청 메뉴)에서 발급 신청을
합니다.
 - 신청구분은 ‘실물공무원증'을 체크합니다.
 - 부서장 결재 등 내부 승인 절차를 거칩니다.
 - 증명사진을 함께 제출하거나 인사정보에 등록된 사진으로 신청할 수
있습니다.
2. 모바일 공무원증 신청 절차
 - 차세대 인사랑시스템(인사마당탭-공무원증신청 메뉴)에서 발급 신청을
합니다.
 - 신청구분은 ‘모바일 공무원증'을 체크합니다.
 - 부서장 결재 등 내부 승인 절차를 거칩니다.
 - 신청이 완료되면 SMS로 발급 준비 완료 안내가 오고, 안내된 설치
 - URL을 통해 모바일 공무원증 앱을 설치합니다.
 - 앱에서 본인 확인 및 비밀번호 설정 후 사용이 가능합니다.
 - 모바일 공무원증으로 청사출입은 현재 불가능합니다.
3. 소요 기간
 - 실물 및 모바일 공무원증 모두 신청 후 수령까지 약 3~4주가 소요됩니다.
 - 실제로는 기관 사정에 따라 3주보다 더 오래 걸릴 수 있습니다.</t>
  </si>
  <si>
    <t>1. 실물 공무원증(플라스틱 카드) 신청 절차
  - 차세대 인사랑시스템(인사마당탭-공무원증신청 메뉴)에서 발급 신청을
 합니다.
  - 신청구분은 ‘실물공무원증'을 체크합니다.
  - 부서장 결재 등 내부 승인 절차를 거칩니다.
  - 증명사진을 함께 제출하거나 인사정보에 등록된 사진으로 신청할 수
 있습니다.
 2. 모바일 공무원증 신청 절차
  - 차세대 인사랑시스템(인사마당탭-공무원증신청 메뉴)에서 발급 신청을
 합니다.
  - 신청구분은 ‘모바일 공무원증'을 체크합니다.
  - 부서장 결재 등 내부 승인 절차를 거칩니다.
  - 신청이 완료되면 SMS로 발급 준비 완료 안내가 오고, 안내된 설치
  - URL을 통해 모바일 공무원증 앱을 설치합니다.
  - 앱에서 본인 확인 및 비밀번호 설정 후 사용이 가능합니다.
  - 모바일 공무원증으로 청사출입은 현재 불가능합니다.
 3. 소요 기간
  - 실물 및 모바일 공무원증 모두 신청 후 수령까지 약 3~4주가 소요됩니다.
  - 실제로는 기관 사정에 따라 3주보다 더 오래 걸릴 수 있습니다.</t>
  </si>
  <si>
    <t>직원후생복지지원시스템 사용 방법을 알려줘</t>
  </si>
  <si>
    <t>직원후생복지지원시스템은 어떤 절차와 방법으로 사용하는지 알려주세요</t>
  </si>
  <si>
    <t>부산광역시 직원후생복지지원시스템 사용 방법은 다음과 같습니다.
부산광역시 직원후생복지지원시스템에 접속합니다.
로그인 화면에서 사용자 ID와 비밀번호를 입력하여 로그인합니다.
로그인 후, 메인 화면에서 다양한 복지 혜택 메뉴를 확인할 수 있습니다.
복지 혜택 메뉴에서는 건강검진, 문화생활, 여행, 교육 등 다양한 복지 혜택을 신청할 수 있습니다.
각 메뉴에서 원하는 혜택을 선택하고, 필요한 정보를 입력하여 신청합니다.
신청한 혜택은 승인 처리 후 사용할 수 있으며, 사용 내역은 시스템에서 확인할 수 있습니다.
사용자 ID와 비밀번호는 부산광역시 내부 시스템에서 관리하는 정보이므로, 해당 정보를 알고 있어야 합니다. 또한, 시스템 사용에 대한 자세한 안내나 문의사항이 있을 경우 부산광역시 내부 IT 지원팀이나 관련 부서에 문의하시면 도움을 받을 수 있습니다.</t>
  </si>
  <si>
    <t>① 행정포털 하단 개인서비스→ ’직원복지지원’ 클릭
 ② 복지지원 프로그램 배너 → 프로그램 조회 → ‘신청’ 클릭
 ③ 상세지원 내역(유의사항) 및 첨부파일 확인 후 ‘신청’ 클릭
 ④ 해당서식 작성 및 첨부파일 업로드 후 등록 클릭
 ⑤ 신청처리 현황 목록에서 진행상태 확인
 파견, 휴직자, 시의원 등 행정포털 미사용자(공무원)는 각 부서관리자(서무)가 신청</t>
  </si>
  <si>
    <r>
      <rPr>
        <rFont val="&quot;맑은 고딕&quot;"/>
        <color rgb="FF000000"/>
        <sz val="11.0"/>
      </rPr>
      <t xml:space="preserve">이미지 제외 본문 텍스트 활용으로
왼쪽 기대답변대로 생성되면 됩니다. 
-------
</t>
    </r>
    <r>
      <rPr>
        <rFont val="&quot;맑은 고딕&quot;"/>
        <color rgb="FF0000FF"/>
        <sz val="11.0"/>
      </rPr>
      <t xml:space="preserve">[Top5내로 검색될 수 있도록 페이지 정리 논의 필요]
</t>
    </r>
    <r>
      <rPr>
        <rFont val="&quot;맑은 고딕&quot;"/>
        <color rgb="FF00FF00"/>
        <sz val="11.0"/>
      </rPr>
      <t>&gt;&gt; 간단한 질문 FAQ에 정리 요청</t>
    </r>
  </si>
  <si>
    <r>
      <rPr>
        <rFont val="맑은 고딕"/>
        <b/>
        <color theme="1"/>
        <sz val="11.0"/>
      </rPr>
      <t>300_2502_인사과_업무매뉴얼_인사과_직원복지지원시스템_사용방법_안내장례비.pdf [1-5]</t>
    </r>
    <r>
      <rPr>
        <rFont val="맑은 고딕"/>
        <color theme="1"/>
        <sz val="11.0"/>
      </rPr>
      <t xml:space="preserve">
-----
</t>
    </r>
    <r>
      <rPr>
        <rFont val="맑은 고딕"/>
        <color rgb="FFFF0000"/>
        <sz val="11.0"/>
      </rPr>
      <t xml:space="preserve">[문서 페이지가 다 나눠져 있음.]
</t>
    </r>
    <r>
      <rPr>
        <rFont val="맑은 고딕"/>
        <color theme="1"/>
        <sz val="11.0"/>
      </rPr>
      <t xml:space="preserve">후생복지 프로그램 신청방법 안내□ 유의사항
- 파견, 휴직자, 시의원 등 행정포털 미사용자(공무원)는 각 부서관리자(서무)가 신청□ 진행 절차
① 행정포털 하단 개인서비스→ ’직원복지지원’ 클릭
② 복지지원 프로그램 배너 → 프로그램 조회 → ‘신청’ 클릭
③ 상세지원 내역(유의사항) 및 첨부파일 확인 후 ‘신청’ 클릭
④ 해당서식 작성 및 첨부파일 업로드 후 등록 클릭
⑤ 신청처리 현황 목록에서 진행상태 확인
</t>
    </r>
  </si>
  <si>
    <r>
      <rPr>
        <rFont val="맑은 고딕"/>
        <b/>
        <color theme="1"/>
        <sz val="11.0"/>
      </rPr>
      <t xml:space="preserve">301_2502_인사과_업무매뉴얼_인사과_직원복지지원시스템_신청방법휴양시설_이용_지원.pdf[1-5]
</t>
    </r>
    <r>
      <rPr>
        <rFont val="맑은 고딕"/>
        <color theme="1"/>
        <sz val="11.0"/>
      </rPr>
      <t xml:space="preserve">-----
</t>
    </r>
    <r>
      <rPr>
        <rFont val="맑은 고딕"/>
        <color rgb="FFFF0000"/>
        <sz val="11.0"/>
      </rPr>
      <t xml:space="preserve">[문서 페이지가 다 나눠져 있음]
</t>
    </r>
    <r>
      <rPr>
        <rFont val="맑은 고딕"/>
        <color theme="1"/>
        <sz val="11.0"/>
      </rPr>
      <t xml:space="preserve">
후생복지 프로그램 신청방법 안내(공무원)
□ 유의사항
- 청원경찰(행정포털 미사용자) : [붙임파일1] 휴양시설 이용 지원 신청서(공문제출)
□ 진행 절차(공무원)
① 행정포털 하단 개인서비스→ ’직원복지지원’ 클릭
② 복지지원 프로그램 배너 → 프로그램 조회 → ‘신청’ 클릭
③ 상세지원 내역(유의사항) 및 첨부파일 확인 후 ‘신청’ 클릭
④ 해당서식 작성 및 첨부파일 업로드 후 등록 클릭
※ 1. 직무, 연락처, 지급계좌, 배우자 공무원 여부 선택 등 작성
2. 이용기간, 휴양시설명, 첨부파일 내역은 당첨 후 지원금신청시 작성
⑤ 신청처리 현황 목록에서 진행상태 확인
⑥ 지원 대상자 선정·공문통보 : ’25. 3. 31.(월)한
</t>
    </r>
  </si>
  <si>
    <t>비밀문서 접수 시 처리 절차를 알려줘</t>
  </si>
  <si>
    <t>비밀문서를 접수할 때 적용되는 처리 절차와 관련 규정에 대해 알려주세요</t>
  </si>
  <si>
    <t>부산광역시 직원후생복지지원시스템에서 비밀문서 접수 시 처리 절차는 다음과 같습니다.
비밀문서 접수
비밀문서를 작성하고, 비밀등급을 분류합니다.
비밀문서를 시스템에 등록합니다.
비밀문서 접수 확인 및 등록 완료 여부를 확인합니다.
비밀문서 분류
비밀문서의 내용을 검토하여 비밀등급을 분류합니다.
비밀등급에 따라 적절한 보안 조치를 취합니다.
비밀문서 보관
비밀문서를 지정된 비밀 보관함에 보관합니다.
비밀문서의 보관 상태를 정기적으로 점검합니다.
비밀문서 열람
비밀문서를 열람할 권한이 있는 사람만 열람할 수 있도록 합니다.
열람 시에는 비밀유지 의무를 준수해야 합니다.
비밀문서 파기
비밀문서의 보관 기간이 만료되거나 보안이 불필요한 경우, 비밀문서를 파기합니다.
파기 시에는 비밀문서를 완전히 삭제하고, 파기 확인서를 작성합니다.
이러한 절차를 통해 비밀문서의 보안과 관리에 철저를 기할 수 있습니다.</t>
  </si>
  <si>
    <t>앞 질문과 섞여서 내용 오류가 생깁니다.
근거문서 : 부산시 보안업무규정 조례 제27조(비밀의 접수)
기대답변 :
① 접수된 비밀은 문서접수·발송담당부서의 접수담당자가 접수·발송대장에 기록하고 내용에 따라 주관부서의 비밀취급담당자에게 직접 넘겨주어야 하며 접수·발송대장의 수령자란에 서명 또는 날인을 받아야합니다.
② 비밀을 인수한 부서는 비밀관리기록부에 기록하고 관리번호를 부여해야합니다
③ 잘못 발송된 비밀은 발송기관에 반송하되 봉함을 개봉하였을 때에는 개봉자가 날인 후 다시 봉함해야 합니다</t>
  </si>
  <si>
    <t>① 접수된 비밀은 문서접수·발송담당부서의 접수담당자가 접수·발송대장에 기록하고 내용에 따라 주관부서의 비밀취급담당자에게 직접 넘겨주어야 하며 접수·발송대장의 수령자란에 서명 또는 날인을 받아야합니다.
 ② 비밀을 인수한 부서는 비밀관리기록부에 기록하고 관리번호를 부여해야합니다
 ③ 잘못 발송된 비밀은 발송기관에 반송하되 봉함을 개봉하였을 때에는 개봉자가 날인 후 다시 봉함해야 합니다</t>
  </si>
  <si>
    <t>776_페이지78_문서6_163407_부산광역시_보안업무규정.pdf</t>
  </si>
  <si>
    <t>제20조(대외비) ① 규정 제4조에 따른 비밀 외에 「공공기관의 정보공개에 관한 법률」 제9조제1항제3호부터 제8호까지의 비공개 대
 상 정보 중 직무수행상 특별히 보호가 필요한 사항은 이를 “대외비”로 한다.
 ② 대외비는 그 문서의 표면 중앙 상단에 다음과 같은 예고문을 붉은색으로 기재해야 한다.
 ③ 보호기간이 만료된 대외비는 일반문서로 재분류한다. 이 경우 대외비에서 일반문서로 재분류된 기록물의 관리 등에 관하여는
 「공공기록물 관리에 관한 법률」에 따른다.
 ④ 대외비는 생산기관(부서)에서 보유 중인 대외비의 말미에 별도로 배부처를 첨부하고, 일련번호(비밀의 사본번호 개념)를 부여하
 여 이력을 추적할 수 있도록 조치해야 한다.
 제21조(재분류검토 및 비밀소유현황 조사) ① 비밀 재분류 검토를 비롯하여 비밀소유현황조사는 매월 세 번째 수요일(사이버·보안
 진단의 날)을 기하여 월례적으로 실시한다.
 ② 비밀소유현황은 규칙 별지 제18호서식, 비밀취급인가자현황은 규칙 별지 제18호의2서식에 따라 작성하여 행정안전부에서 정한
 기일까지 행정안전부장관에게 보고해야 한다.
 ③ 규칙 제52조에 따른 비밀소유현황 조사시에는 업무상 조정·감독을 받는 비밀취급인가 특례 기관·업체, 보안시설, 소속기관의 소
 유현황을 모두 조사하여 보고해야 한다.
 ④ 조사 및 보고된 비밀소유현황은 규정 제31조에 따라 공개하지 않는다.
 제22조(비밀의 표시) 비밀의 표시는 규칙 제23조부터 제30조까지에 따른다.
 제23조(비밀 원본의 이관) ① 비밀의 원본은 예고문의 보호기간이 만료된 경우에도 파기하여서는 아니 되며, 「공공기록물 관리에
 관한 법률」에 따라 소관 기록물관리기관으로 이관해야 한다.
 ② 제1항에 따른 이관대상 비밀은 이관 시까지 별도의 비밀보관함에 보관해야 한다. 이 때 활용중인 비밀과 함께 보관할 경우에는
 보관위치를 구분해야 한다.
 제24조(비밀의 파기) ① 비밀사본을 파기할 경우에는 파쇄, 용해 또는 그 밖의 방법으로 비밀을 완전히 소멸시켜야 한다.
 ② 비밀사본의 파기는 보관책임자 또는 그가 정하는 비밀취급인가자가 참여한 가운데 그 비밀의 처리담당자가 행해야 한다.
 ③ 비밀사본을 파기한 때에는 비밀관리기록부의 비밀등급란부터 사본번호란까지 2개의 적색 취소선을 그어서 삭제하고 파기일자
 와 파기자, 파기확인자 및 파기근거를 명시해야 한다.
 ④ 비밀사본을 파기할 경우에는 비밀열람기록전을 비밀에서 분리하여 관리번호, 건명, 예고문, 비밀등급 및 열람자 기재사항 등을
 재확인하고 파기자, 파기확인자, 파기년월일 및 파기근거를 기재한 후 규칙 제70조에 따라 5년간 보관해야 한다.
 ⑤ 비밀의 재분류검토 결과 규정 제15조제2항제3호에 따라 소유한 비밀을 파기하고자 할 때에는 해당 비밀취급 인가권자의 사전승
 인을 얻어야 한다.
 제25조(비밀의 인계) ① 비밀을 보관하고 있는 기관(부서)이 해체되는 때에는 그 기관(부서)이 보유한 비밀을 해당 업무를 인수한 기
 관(부서)에 인계해야 한다.
 ② 제1항에도 불구하고 비밀의 인수기관(부서)이 없거나 불분명한 때에는 다른 기관(부서)이 생산한 비밀은 생산기관(부서)에 반납
 하고, 자체 생산한 비밀은 「공공기록물 관리에 관한 법률」에 따라 소관 기록물관리기관으로 이관해야 한다.
 제2절 비밀의 접수·발송
 제26조(비밀의 접수·발송원칙) ① 비밀의 접수와 발송은 규정 제17조와 규칙 제31조 및 제32조에 따르되, 각급기관의 문서접수·발송
 담당부서를 통해야 한다. 다만, 기관 내부에서 직접 접촉이 가능한 경우에는 비밀관리기록부에 의하여 담당자가 직접 접수·발송하도
 록 한다.
 ② 각급기관의 문서접수·발송담당부서는 비밀을 접수·발송한 경우 접수·발송대장에 기록한다.
 제27조(비밀의 접수) ① 접수된 비밀은 문서접수·발송담당부서의 접수담당자가 접수·발송대장에 기록하고 내용에 따라 주관부서의
 비밀취급담당자에게 직접 넘겨주어야 하며 접수·발송대장의 수령자란에 서명 또는 날인을 받는다.
 ② 비밀을 인수한 부서는 비밀관리기록부에 기록하고 관리번호를 부여한다.
 ③ 잘못 발송된 비밀은 발송기관에 반송하되 봉함을 개봉하였을 때에는 개봉자가 날인 후 다시 봉함해야 한다.
 제28조(비밀의 발송) ① 비밀은 다음 각 호의 절차에 따라 발송한다</t>
  </si>
  <si>
    <t>비밀문서 접수 시 처리 절차 안내</t>
  </si>
  <si>
    <t>공인 보관 방법을 알려줘</t>
  </si>
  <si>
    <t>공공기관에서 사용하는 공인 도장(직인)의 보관·관리 기준과 안전하게 사용하는 방법은 무엇인가요?</t>
  </si>
  <si>
    <t xml:space="preserve">공인 보관 방법은 견고한 용기에 보관, 직무 이외의 시간과 집무를 요하지 아니하는 시간에는 봉인입니다.
관련내용은 다음과 같습니다.
1. 견고한 용기에 보관: 공인은 항상 견고한 용기에 보관하여야 합니다.
2. 직무 이외의 시간과 집무를 요하지 아니하는 시간에는 봉인: 직무를 수행하지 않는 시간과 집무를 필요로 하지 않는 시간에는 공인을 봉인해 두어야 합니다. </t>
  </si>
  <si>
    <t>부산광역시 공인 조례가 있긴 하나 보관방법에 대해 따로 나와있는것은 없습니다.
기대답변 : 
OO에 대한 관련 문서가 없습니다.
자세한 사항은 관련 부서나 업무 담당자에게 문의하시기 바랍니다.</t>
  </si>
  <si>
    <t>사용할 수 없는 불용물품을 처리하는 절차는 어떻게 되나요?</t>
  </si>
  <si>
    <t>사용이 종료되어 더 이상 사용할 수 없는 불용물품을 처리하는 절차와 관련 규정은 무엇인가요?</t>
  </si>
  <si>
    <t>사용 불가능한 불용물품을 처리하는 절차는 불용물품의 분류, 이관, 매각 또는 처리 방안 마련, 규정 개정 검토입니다.
관련내용은 다음과 같습니다.
불용물품의 분류: 먼저, 불용물품으로 분류된 집기류 등을 확인합니다. 이는 이미 재단법인 부산문화회관의 의견에 따르면, 유휴공간 내 불용물품 대부분이 2017년 재단법인 추진 시 부산시 사업소에 이관된 100% 불용물품으로 분류된 집기류임을 알 수 있습니다.
이관: 불용물품은 이미 부산시 사업소에 이관된 상태이므로, 추가적인 이관 절차는 필요하지 않습니다.
매각 또는 처리 방안 마련: 현재 불용물품의 수량이 많아 직접 폐기 시 견적 금액이 2천만 원을 상회하기 때문에, 구 영빈관 리모델링 시 처리할 계획이라고 합니다. 따라서, 매각 또는 처리 방안을 마련하는 단계가 필요합니다.
규정 개정 검토: 소모품 품종 구분 기준의 모호함으로 인해 물품으로 등재하여 자산으로 관리해야 할 물품이 소모품으로 분류될 수 있는 문제를 해결하기 위해, "물품관리규정"의 소모품 품종 구분 기준에 대한 개정 여부를 면밀히 검토해야 합니다.
이러한 절차를 통해 사용 불가능한 불용물품을 체계적으로 처리할 수 있습니다.</t>
  </si>
  <si>
    <t>ㆍ84042_2023년_상반기_출연기관_종합감사_결과보고서공개용.pdf (p.217)
https://busanai.busan.go.kr/download/84042_2023년_상반기_출연기관_종합감사_결과보고서공개용.pdf</t>
  </si>
  <si>
    <t>내용, 근거문서 오류입니다.
물품 계약이나 물품 관리시스템에 대한 매뉴얼은 나와있지만
불용물품, 폐기 관련 내용은 없습니다.
기대답변 : 
OO에 대한 관련 문서가 없습니다.
자세한 사항은 관련 부서나 업무 담당자에게 문의하시기 바랍니다.</t>
  </si>
  <si>
    <t>정보공개 접수시 처리하는 절차는 어떻게 되나요?</t>
  </si>
  <si>
    <t>정보공개 청구가 접수되었을 때, 접수부터 처리, 통지까지의 구체적인 절차와 담당 부서 역할은 어떻게 되나요?</t>
  </si>
  <si>
    <t>정보공개 접수 시 처리 절차는 청구서 접수, 접수증 발급, 소관 부서 분류, 소관 기관 이송, 처리 상황 기록입니다.
관련내용은 다음과 같습니다.
청구서 접수: 정보공개 청구서를 접수하면 정보공개 처리대장에 기록하고 청구인에게 접수증을 발급합니다. 즉시 또는 말로 처리가 가능한 정보공개 청구서는 접수증을 교부하지 않을 수 있습니다.
소관 부서 분류: 접수된 청구서는 지체 없이 해당 정보를 보유·관리하는 부서로 분류합니다. 여러 부서에 관련되어 있는 경우, 업무 관련성이 큰 부서, 청구 처리건이 많은 부서, 청구서상에 우선순위로 요구된 정보를 처리하는 부서 등이 주관부서가 되어 신속하게 처리합니다.
소관 기관 이송: 접수 기관에서 보유·관리하지 않는 정보를 청구한 경우, 다른 공공 기관이 보유·관리하는 정보의 공개 청구를 받은 경우, 접수 기관에서 보유·관리하였으나 관련 절차에 따라 다른 기관으로 관련 자료를 모두 이관한 경우에는 소관 기관으로 이송합니다. 이송한 후에는 지체 없이 소관 기관 및 이송 사유 등을 분명히 밝혀 청구인에게 문서로 통지합니다.
처리 상황 기록: 담당부서는 정보공개 청구에 대한 처리 상황을 정보공개처리대장에 기록합니다.</t>
  </si>
  <si>
    <t>ㆍ424_2108_통합민원과_업무매뉴얼_행정안전부_정보공개운영안내서.pdf (p.69, 227)
https://busanai.busan.go.kr/download/424_2108_통합민원과_업무매뉴얼_행정안전부_정보공개운영안내서.pdf
ㆍ694_압축정보공개사무관리지침20211222.pdf (p.2)
https://busanai.busan.go.kr/download/694_압축정보공개사무관리지침20211222.pdf</t>
  </si>
  <si>
    <r>
      <rPr>
        <rFont val="Malgun Gothic"/>
        <color theme="1"/>
        <sz val="11.0"/>
      </rPr>
      <t xml:space="preserve">첫번째 근거 문서로 답변을 생성하면 됩니다.
질의문은 정보공개 접수를 받은 처리담당자가 실제로 정보공개업무 절차 수행 절차를 어떻게 하는지에 대한 질의로 보이는데
답변은 정보공개 총괄 담당자를 기준으로 하는 답변 생성내역으로 보입니다.
기대답변 :
1. 정보공개(부분공개) 결정) : 청구한 정보의 내용에 따라 공개, 부분공개를 결정하여 입력(법 제11조, 제14조
 1) 수수료가 있는 경우 정보공개(부분공개) 입력
   ∙ ‘결정’ 버튼을 누른 후 ‘정보공개 수수료 있음’ 선택 
   ∙ ‘공개’ 또는 ‘부분공개’ 결정통지서를 선택한 후 공개내용을 입력하고 공개형태, 공개일시, 수수료 정보를 입력한 후 저장 → 결재 → 통지
   ∙ 통지 후 수수료 납부 처리가 완료되면 ‘공개자료(첨부문서)등록’ 버튼을 눌러 공개 자료(5개 이내)를 첨부한 후 저장 → ‘청구인에게 공개’ 버튼을 클릭하여 완료
 2) 수수료가 없는 경우 정보공개(부분공개) 입력(화면 2)
   ∙ ‘결정’ 버튼을 누른 후 ‘정보공개 수수료 없음’ 선택
   ∙ ‘공개’ 또는 ‘부분공개’ 결정통지서를 선택한 후 공개내용(첨부파일 포함), 공개형태, 공개일시를 입력한 후 저장 → 결재 → 통지
2. 정보 비공개 결정 : 청구한 정보가 비공개대상 정보에 해당되는지 판단하여 비공개 결정 입력(법 제9조 제1항 각 호에 해당하는 정보)
 1) 정보공개(비공개) 입력
   ∙ ‘결정’ 버튼을 누른 후 ‘정보공개 수수료 없음’ 선택(‘정보공개 수수료 있음’을 선택할 경우 비공개 결정 버튼이 활성화 되지 않음)
   ∙ ‘비공개’ 결정통지서를 선택한 후 법 제9조 제1항 각 호의 비공개 근거를 선택하고 내용을 입력한 후 저장 → 결재 → 통지
3. 즉시처리 가능한 정보의 공개 : 공개여부를 별도로 판단할 필요가 없어 청구인에게 즉시 정보를 공개하는 업무(법 제16조)
 1) 즉시공개서 입력 후 저장 → 통지 버튼을 눌러야 결정통지 완료
   ∙ 기 공개되어 있는 정보의 구체적인 위치 및 책자 소재 등을 안내
 2) 즉시처리 대상 및 방법의 세부 내용은 안내서 79쪽 참조
4. 정보공개 결재 및 통지 : 공개·비공개 결정 입력 후 전자문서시스템과 연계하여 결재(자동/수동)를 처리하는 업무
 1) 자동결재
   ∙ ‘공개/비공개 결정입력’ 완료 후 ‘자동결재’ 선택
   ∙ ‘자동결재’ 선택 시 처리자가 작성한 문서(결정통지서, 정보공개심의회, 3자 의견서)가 처리자의 소속기관 전자문서시스템으로 전송됨
   ∙ 처리자는 </t>
    </r>
    <r>
      <rPr>
        <rFont val="MS Mincho"/>
        <color theme="1"/>
        <sz val="11.0"/>
      </rPr>
      <t>｢</t>
    </r>
    <r>
      <rPr>
        <rFont val="맑은 고딕"/>
        <color theme="1"/>
        <sz val="11.0"/>
      </rPr>
      <t>연계기안함(예시 : 온나라시스템)</t>
    </r>
    <r>
      <rPr>
        <rFont val="MS Mincho"/>
        <color theme="1"/>
        <sz val="11.0"/>
      </rPr>
      <t>｣</t>
    </r>
    <r>
      <rPr>
        <rFont val="맑은 고딕"/>
        <color theme="1"/>
        <sz val="11.0"/>
      </rPr>
      <t>으로 전송된 붙임문서를 이용하여 기안문을 작성하고 내부 결재
   ∙ 자동결재 완료 시 전자문서시스템은 결재정보(결재일자, 기안자, 검토자, 결재자, 문서번호)를 정보공개시스템으로 전송하며, 수신된 결재정보를 확인 후 ‘통지’ 처리
 2) 수동결재
   ∙ ‘공개/비공개 결정통지’ 입력 완료 후 ‘수동결재’ 선택
   ∙ 전자문서시스템과 연계가 안 되는 기관은 수동결재로 처리
   ∙ 전자문서시스템으로 내부결재를 받은 후 결재 정보(기안자, 결재자, 문서번호 등)를 입력 후 ‘통지’ 처리
 3) 정보공개 통지
   ∙ 결재 완료 후 [통지] 버튼을 클릭해야 결정통지 처리가 완료
   ∙ 청구인이 청구서 작성 시 선택했던 안내메시지 수령방법(핸드폰, 전자우편, 전체)에 따라 결정통지 안내메시지가 발송됨
 4) 기 타
   ∙ 통지 이후에는 결정통지서 수정이 불가능하므로 공개정보, 수수료 등 수정사항이 없도록 확인 후 처리
   ∙ 자동결재 버튼을 클릭하면 ‘결재중’으로 나타나며, 정상적으로 결재가 안 될 경우, 별도 조치 없이 수동결재로 처리 할 수 있음
5. 제3자 통지 및 의견 등록 : 제3자와 관련된 정보공개 청구의 경우, 제3자에게 청구사실을 통지하고 의견을  등록하여 관리하는 업무(법 제11조 제3항, 시행령 제8조)
 1) 제3자 통보
   ∙ 공개 청구된 공개 대상 정보가 제3자와 관련이 있다고 인정할 때에는 그 사실을 제3자에게 지체 없이 통지
 2) 제3자 의견 청취
   ∙ 문서로 통지하여야 하며, 제3자가 원하는 경우 구술로 할 수 있으나 담당 공무원이 기록하고 본인의 확인을 받아야 함
 3) 제3자 의견 등록
   ∙ 결정통지서 입력 이전에 등록, 제3자 의견은 여러 건 등록·수정·삭제 가능
6. 정보공개심의회 의견 등록 : 이의신청 또는 정보공개 결정이 곤란하여 정보공개심의회를 개최한 경우 심의 내용을 등록·관리하는 업무(법 제12조, 시행령 제11조)
 1) 결정통지서 입력 전에 등록 
 2) 정보공개심의회 운영·심의 기준 등 세부내용은 40~42쪽 참조  
7. 정보공개 실시 정지 : 제3자의 비공개 의견에도 불구하고 기관에서 공개결정시, 제3자로부터 행정심판 또는 행정소송이 제기되어 일시적으로 공개된 정보를 청구인이 열람할 수 없도록 정보공개를 정지하는 업무
 1) 실시정지
   ∙ 제3자가 행정심판/소송을 제기하면서 정보공개 정지를 요청하여 받아들여졌을 경우에 ‘실시정지’(화면 1) 버튼을 클릭하면 청구인이 열람할 수 없음
 2) 정보공개 실시정지 사유(화면 2)를 입력하고 저장
8. 기간연장 처리 : 부득이한 사유로 10일 이내에 공개여부를 결정할 수 없을 때 공개여부 결정기간을 연장 처리하는 업무(법 제11조 제2항)
 1) 기간연장 입력 및 처리
   ∙ 공개여부 결정기간 연장사유를 입력하고(화면 1) 기간연장상세 화면을 눌러(화면 2) 결재를 득한 후(화면 3) 연장통지(화면 4)까지 완료해야 기간연장 통지가 처리되며, 청구인이 청구서 작성 시 선택했던 안내 메시지 수령방법에 따라 안내 메시지가 발송됨
 2) 결재절차는 정보공개 결정통지서 자동·수동결재 처리절차와 동일
 3) 청구 결정기간 연장은 10일이며, 이의신청 결정기간 연장은 7일임. 반드시 ‘결재’ 후 ‘통지’ 버튼을 클릭해야만 처리기간이 연장됨(청구인에게는 문서로 통보)</t>
    </r>
  </si>
  <si>
    <t>1. 정보공개(부분공개) 결정) : 청구한 정보의 내용에 따라 공개, 부분공개를 결정하여 입력(법 제11조, 제14조
  1) 수수료가 있는 경우 정보공개(부분공개) 입력
  ∙ ‘결정’ 버튼을 누른 후 ‘정보공개 수수료 있음’ 선택 
  ∙ ‘공개’ 또는 ‘부분공개’ 결정통지서를 선택한 후 공개내용을 입력하고 공개형태, 공개일시, 수수료 정보를 입력한 후 저장 → 결재 → 통지
  ∙ 통지 후 수수료 납부 처리가 완료되면 ‘공개자료(첨부문서)등록’ 버튼을 눌러 공개 자료(5개 이내)를 첨부한 후 저장 → ‘청구인에게 공개’ 버튼을 클릭하여 완료
  2) 수수료가 없는 경우 정보공개(부분공개) 입력(화면 2)
  ∙ ‘결정’ 버튼을 누른 후 ‘정보공개 수수료 없음’ 선택
  ∙ ‘공개’ 또는 ‘부분공개’ 결정통지서를 선택한 후 공개내용(첨부파일 포함), 공개형태, 공개일시를 입력한 후 저장 → 결재 → 통지
 2. 정보 비공개 결정 : 청구한 정보가 비공개대상 정보에 해당되는지 판단하여 비공개 결정 입력(법 제9조 제1항 각 호에 해당하는 정보)
  1) 정보공개(비공개) 입력
  ∙ ‘결정’ 버튼을 누른 후 ‘정보공개 수수료 없음’ 선택(‘정보공개 수수료 있음’을 선택할 경우 비공개 결정 버튼이 활성화 되지 않음)
  ∙ ‘비공개’ 결정통지서를 선택한 후 법 제9조 제1항 각 호의 비공개 근거를 선택하고 내용을 입력한 후 저장 → 결재 → 통지
 3. 즉시처리 가능한 정보의 공개 : 공개여부를 별도로 판단할 필요가 없어 청구인에게 즉시 정보를 공개하는 업무(법 제16조)
  1) 즉시공개서 입력 후 저장 → 통지 버튼을 눌러야 결정통지 완료
  ∙ 기 공개되어 있는 정보의 구체적인 위치 및 책자 소재 등을 안내
  2) 즉시처리 대상 및 방법의 세부 내용은 안내서 79쪽 참조
 4. 정보공개 결재 및 통지 : 공개·비공개 결정 입력 후 전자문서시스템과 연계하여 결재(자동/수동)를 처리하는 업무
  1) 자동결재
  ∙ ‘공개/비공개 결정입력’ 완료 후 ‘자동결재’ 선택
  ∙ ‘자동결재’ 선택 시 처리자가 작성한 문서(결정통지서, 정보공개심의회, 3자 의견서)가 처리자의 소속기관 전자문서시스템으로 전송됨
  ∙ 처리자는 ｢연계기안함(예시 : 온나라시스템)｣으로 전송된 붙임문서를 이용하여 기안문을 작성하고 내부 결재
  ∙ 자동결재 완료 시 전자문서시스템은 결재정보(결재일자, 기안자, 검토자, 결재자, 문서번호)를 정보공개시스템으로 전송하며, 수신된 결재정보를 확인 후 ‘통지’ 처리
  2) 수동결재
  ∙ ‘공개/비공개 결정통지’ 입력 완료 후 ‘수동결재’ 선택
  ∙ 전자문서시스템과 연계가 안 되는 기관은 수동결재로 처리
  ∙ 전자문서시스템으로 내부결재를 받은 후 결재 정보(기안자, 결재자, 문서번호 등)를 입력 후 ‘통지’ 처리
  3) 정보공개 통지
  ∙ 결재 완료 후 [통지] 버튼을 클릭해야 결정통지 처리가 완료
  ∙ 청구인이 청구서 작성 시 선택했던 안내메시지 수령방법(핸드폰, 전자우편, 전체)에 따라 결정통지 안내메시지가 발송됨
  4) 기 타
  ∙ 통지 이후에는 결정통지서 수정이 불가능하므로 공개정보, 수수료 등 수정사항이 없도록 확인 후 처리
  ∙ 자동결재 버튼을 클릭하면 ‘결재중’으로 나타나며, 정상적으로 결재가 안 될 경우, 별도 조치 없이 수동결재로 처리 할 수 있음
 5. 제3자 통지 및 의견 등록 : 제3자와 관련된 정보공개 청구의 경우, 제3자에게 청구사실을 통지하고 의견을 등록하여 관리하는 업무(법 제11조 제3항, 시행령 제8조)
  1) 제3자 통보
  ∙ 공개 청구된 공개 대상 정보가 제3자와 관련이 있다고 인정할 때에는 그 사실을 제3자에게 지체 없이 통지
  2) 제3자 의견 청취
  ∙ 문서로 통지하여야 하며, 제3자가 원하는 경우 구술로 할 수 있으나 담당 공무원이 기록하고 본인의 확인을 받아야 함
  3) 제3자 의견 등록
  ∙ 결정통지서 입력 이전에 등록, 제3자 의견은 여러 건 등록·수정·삭제 가능
 6. 정보공개심의회 의견 등록 : 이의신청 또는 정보공개 결정이 곤란하여 정보공개심의회를 개최한 경우 심의 내용을 등록·관리하는 업무(법 제12조, 시행령 제11조)
  1) 결정통지서 입력 전에 등록 
  2) 정보공개심의회 운영·심의 기준 등 세부내용은 40~42쪽 참조 
 7. 정보공개 실시 정지 : 제3자의 비공개 의견에도 불구하고 기관에서 공개결정시, 제3자로부터 행정심판 또는 행정소송이 제기되어 일시적으로 공개된 정보를 청구인이 열람할 수 없도록 정보공개를 정지하는 업무
  1) 실시정지
  ∙ 제3자가 행정심판/소송을 제기하면서 정보공개 정지를 요청하여 받아들여졌을 경우에 ‘실시정지’(화면 1) 버튼을 클릭하면 청구인이 열람할 수 없음
  2) 정보공개 실시정지 사유(화면 2)를 입력하고 저장
 8. 기간연장 처리 : 부득이한 사유로 10일 이내에 공개여부를 결정할 수 없을 때 공개여부 결정기간을 연장 처리하는 업무(법 제11조 제2항)
  1) 기간연장 입력 및 처리
  ∙ 공개여부 결정기간 연장사유를 입력하고(화면 1) 기간연장상세 화면을 눌러(화면 2) 결재를 득한 후(화면 3) 연장통지(화면 4)까지 완료해야 기간연장 통지가 처리되며, 청구인이 청구서 작성 시 선택했던 안내 메시지 수령방법에 따라 안내 메시지가 발송됨
  2) 결재절차는 정보공개 결정통지서 자동·수동결재 처리절차와 동일
  3) 청구 결정기간 연장은 10일이며, 이의신청 결정기간 연장은 7일임. 반드시 ‘결재’ 후 ‘통지’ 버튼을 클릭해야만 처리기간이 연장됨(청구인에게는 문서로 통보)</t>
  </si>
  <si>
    <r>
      <rPr>
        <rFont val="Malgun Gothic"/>
        <color rgb="FF000000"/>
        <sz val="11.0"/>
      </rPr>
      <t xml:space="preserve">본문내용 일체
 - Q 숫자로 되어 있는 질문 답변은 제외
 &gt; 의견 : Q001~Q128 의 경우 질의응답용으로 활용하기에
좋을거 같은데 혹시 해당 내역만 처리 가능할지 확인바랍니다 
----------
</t>
    </r>
    <r>
      <rPr>
        <rFont val="맑은 고딕"/>
        <color rgb="FF0432FF"/>
        <sz val="11.0"/>
      </rPr>
      <t xml:space="preserve">[Top5에 문서가 들어올 수 있도록 수량 조정 필요] </t>
    </r>
    <r>
      <rPr>
        <rFont val="맑은 고딕"/>
        <color rgb="FF000000"/>
        <sz val="11.0"/>
      </rPr>
      <t xml:space="preserve">
</t>
    </r>
    <r>
      <rPr>
        <rFont val="맑은 고딕"/>
        <color rgb="FF00B050"/>
        <sz val="11.0"/>
      </rPr>
      <t>&gt;&gt; 57P 정보공개업무 처리 절차도(이미지 파일)
해당 페이지만 제공하는게 가능하다면 다음 내용으로만 생성해주세요.
&gt;&gt; 정보공개 청구 처리 절차 요약되어 있는 매뉴얼이 따로 없는거 같습니다. 
&gt;&gt; 아니면 목록 2P, 3P의 정보공개 처리, 정보공개 처리에 대해 간단하게 알려주고 자세한 내용은 해당 페이지를 참조하라고 나올 수 있는지도 확인 바랍니다.</t>
    </r>
  </si>
  <si>
    <t>2page - 정보공개 접수 처리 절차 안내
3page - 정보공개 접수 처리 절차 안내, 국민신문고 정보공개 처리 기준 및 답변 예시</t>
  </si>
  <si>
    <r>
      <rPr>
        <rFont val="맑은 고딕"/>
        <b/>
        <color rgb="FF000000"/>
        <sz val="11.0"/>
      </rPr>
      <t>424_2108_통합민원과_업무매뉴얼_행정안전부_정보공개운영안내서.pdf (p.69)</t>
    </r>
    <r>
      <rPr>
        <rFont val="맑은 고딕"/>
        <color rgb="FF000000"/>
        <sz val="11.0"/>
      </rPr>
      <t xml:space="preserve">
------
</t>
    </r>
    <r>
      <rPr>
        <rFont val="맑은 고딕"/>
        <color rgb="FFFF0000"/>
        <sz val="11.0"/>
      </rPr>
      <t>[기대답변을 생성하기에는 데이터가 부족함]</t>
    </r>
    <r>
      <rPr>
        <rFont val="맑은 고딕"/>
        <color rgb="FF000000"/>
        <sz val="11.0"/>
      </rPr>
      <t xml:space="preserve">
5. 정보공개청구서의 접수 및 이송
∙ 정보공개 청구서를 접수하면 정보공개 처리대장에 기록하고 청구인에게 접수증을 발급 (시행령 제6조 제2항)
∙ 다른 공공기관이 보유·관리하는 정보의 공개 청구를 받았을 때에는 지체 없이 이를 소관 기관으로 이송하여야 하며, 이송한 후에는 지체 없이 소관 기관 및 이송 사유 등을 분명히 밝혀 청구인에게 문서로 통지(법 제11조 제4항)
정보공개 청구서 접수증 발급 생략(시행령 제6조 제2항)
 즉시 또는 말로써 처리가 가능한 정보공개 청구
 우편·팩스 또는 정보통신망을 통한 정보공개 청구
※ 단, 청구인의 요청이 있는 경우에는 교부하여야 함
소관부서 분류
 접수된 청구서는 지체 없이 해당 정보를 보유·관리하는 부서로 분류
 공개청구 내용이 여러 부서에 관련되어 있는 경우에는 기관의 사정에 따라 업무 관련성이 큰 부서, 청구 처리건이 많은 부서, 청구서상에 우선순위로 요구된 정보를 처리하는 부서 등이 주관부서가 되어 신속하게 처리하되 청구정보별 소관부서, 담당자 및 연락처를 반드시 기재
소관 기관 이송25)(법 제11조 제4항)
 접수 기관에서 보유·관리하지 않는 정보를 청구한 경우로서, 다른 공공 기관이 보유·관리하는 정보의 공개 청구를 받은 경우
※ 접수 기관에서 보유</t>
    </r>
    <r>
      <rPr>
        <rFont val="Noto Sans KR"/>
        <color rgb="FF000000"/>
        <sz val="11.0"/>
      </rPr>
      <t>‧</t>
    </r>
    <r>
      <rPr>
        <rFont val="맑은 고딕"/>
        <color rgb="FF000000"/>
        <sz val="11.0"/>
      </rPr>
      <t>관리(생산</t>
    </r>
    <r>
      <rPr>
        <rFont val="Noto Sans KR"/>
        <color rgb="FF000000"/>
        <sz val="11.0"/>
      </rPr>
      <t>‧</t>
    </r>
    <r>
      <rPr>
        <rFont val="맑은 고딕"/>
        <color rgb="FF000000"/>
        <sz val="11.0"/>
      </rPr>
      <t>접수 등)하였으나, 관련 절차에 따라 다른 기관으로 관련 자료를 모두 이관한 경우에는 보유</t>
    </r>
    <r>
      <rPr>
        <rFont val="Noto Sans KR"/>
        <color rgb="FF000000"/>
        <sz val="11.0"/>
      </rPr>
      <t>‧</t>
    </r>
    <r>
      <rPr>
        <rFont val="맑은 고딕"/>
        <color rgb="FF000000"/>
        <sz val="11.0"/>
      </rPr>
      <t>관리하지 않는 정보에 해당 
 이송한 후에는 지체 없이 소관 기관 및 이송 사유, 이송 일시 등을 분명히 밝혀 청구인에게 문서로 통지(정보공개시스템을 통해 신청한 경우에는 시스템을 통한 통지 가능)
※ 별지 제3호의2 서식 
※ 청구를 받기 전에 소관 기관을 알려 줄 수 있는 경우(직접 방문에 의한 청구 등)에는 미리 소관 기관을 안내하여 불필요한 이송을 방지
25) 접수·경유·협의 및 처리하는 기관이 각각 상당히 떨어져 있는 경우 문서의 이송에 소요되는 기간은 처리기간에 미산입(행정절차법 시행령 제11조)</t>
    </r>
  </si>
  <si>
    <r>
      <rPr>
        <rFont val="Malgun Gothic"/>
        <color rgb="FF000000"/>
        <sz val="11.0"/>
      </rPr>
      <t xml:space="preserve">424_2108_통합민원과_업무매뉴얼_행정안전부_정보공개운영안내서.pdf (p.227)
------
</t>
    </r>
    <r>
      <rPr>
        <rFont val="맑은 고딕"/>
        <color rgb="FFFF0000"/>
        <sz val="11.0"/>
      </rPr>
      <t>[정보공개 청구 접수에 대한 절차만 있음]</t>
    </r>
    <r>
      <rPr>
        <rFont val="맑은 고딕"/>
        <color rgb="FF000000"/>
        <sz val="11.0"/>
      </rPr>
      <t xml:space="preserve">
2. 정보공개 청구 접수
기관에 청구된 모든 청구(온라인, 오프라인)를 확인하여 접수하는 업무
담당자 : 정보공개관리자
메 뉴 : 청구관리 &gt; 전체청구관리
청구서 조회화면
처리 절차
1) 청구서 접수
∙ 정보공개 관리자만 전체청구관리 메뉴에 접근할 수 있음∙ 처리상태가 ‘접수대기중’인 것을 확인한 후 제목을 클릭하면 청구내용을
상세조회 할 수 있으며, 처리상태는 접수완료로 변경됨(화면 </t>
    </r>
    <r>
      <rPr>
        <rFont val="Segoe UI Symbol"/>
        <color rgb="FF000000"/>
        <sz val="11.0"/>
      </rPr>
      <t>➊</t>
    </r>
    <r>
      <rPr>
        <rFont val="맑은 고딕"/>
        <color rgb="FF000000"/>
        <sz val="11.0"/>
      </rPr>
      <t>)
 ※ 접수번호 : 처리내용을 확인하고 추적하기 위하여 부여된 번호
2) 청구취하 방법(통지완료 후에는 취하 불가) ∙ 오프라인(직접방문·우편·FAX) 청구 : 정보공개접수자
∙ 온라인(정보공개시스템) 청구 : 청구인</t>
    </r>
  </si>
  <si>
    <t>미등록기록물 등록 방법은 어떻게 되나요?</t>
  </si>
  <si>
    <t>미등록 기록물을 기록관리시스템에 등록하려면 어떤 절차를 거쳐야 하며, 담당 부서와 필요한 서류는 무엇인가요?</t>
  </si>
  <si>
    <t>미등록기록물 등록 절차는 기록물철 등록, 기록물건 등록, 등록완료, 검수 및 인수, 철표지 및 색인목록 출력의 단계로 이루어집니다.
관련내용은 다음과 같습니다.
기록물철 등록: 기록물 인수 &gt; 등록 인수 &gt; 기록물 등록 메뉴를 통해 기록물철명, 생산기관, 단위과제(단위업무), 생산 년도-종료 년도, 기록유형, 보존기간, 보존기간 책정 사유, 열람조건, 등록자 정보 등 필수 등록사항을 입력합니다.
기록물건 등록: 기록물철 등록 팝업창에서 등록 버튼을 클릭하여 시청각기록물철을 등록합니다.
등록완료: 등록 절차를 완료합니다.
검수 및 인수: 처리과 기록물관리책임자가 검수 및 인수 절차를 진행합니다.
철표지 및 색인목록 출력: 기록물 보존 &gt; 기록 정리 &gt; 비전자 편철 메뉴를 통해 철 표지 및 색인 목록을 출력합니다.</t>
  </si>
  <si>
    <t>ㆍ432_2412_통합민원과_업무메뉴얼_국가기록원_25년_기록물관리_지침.pdf (p.72)
https://busanai.busan.go.kr/download/432_2412_통합민원과_업무메뉴얼_국가기록원_25년_기록물관리_지침.pdf
ㆍ438_2502_통합민원과_업무메뉴얼_통합민원과_기록관리_업무편람기정너.pdf (p.19)
https://busanai.busan.go.kr/download/438_2502_통합민원과_업무메뉴얼_통합민원과_기록관리_업무편람기정너.pdf
ㆍ434_2412_통합민원과_업무메뉴얼_국가기록원_시청각기록물_관리_지침.pdf (p.22)
https://busanai.busan.go.kr/download/434_2412_통합민원과_업무메뉴얼_국가기록원_시청각기록물_관리_지침.pdf</t>
  </si>
  <si>
    <t>관련 근거 문서는 연관이 있는 문서로 보입니다. 
기대답변 내용은 근거문서 2번을 대상으로 생성한 내용입니다.
기대답변 :
미등록(온나라시스템)기록물 추가 등록 → 기록관리시스템
1. 기록관리시스템 로그인 : 행정포털을 통한 자동로그인
 - 행정포털 홈 &gt; 행정서비스 &gt; 기록관
 - 기록관리시스템 홈화면
2. 미등록기록물 추가 등록절차
 - 대상 : 당해 연도 내 등록하지 못한 비전자기록물
 - 절차 : 기록물철 등록 → 기록물건 등록 → 등록완료 → 검수 및 인수 → 철표지ㆍ색인목록 출력
3. 기록물철 등록
 - 기록물인수 &gt; 등록인수 &gt; 등록 버튼 클릭
 - 등록화면 : 등록정보 입력 &gt; 등록 버튼 클릭
  ▷ 기록물철명 : 과제카드명 입력
  ▷ 생산기관 : 등록 대상 기록물의 생산 당시 부서명 입력
	  생산기관 검색하기 : 돋보기 클릭 &gt; 부서명 입력 &gt; 조회 &gt; 부서 선택 &gt; 선택 클릭
  ▷ 위과제 : 기록물철(과제카드)이 속한 단위과제 입력
	  단위과제	검색하기 : 돋보기 클릭	&gt; 부서명 입력 &gt; 조회 &gt; 부서 선택 &gt; 선택 클릭
【온나라시스템 단위과제 확인방법】
▶ 온나라 &gt; 과제관리 &gt; 부서과제 : 단위과제 &gt; 카드명 검색
 - 생산연도 : 기록물 생산 또는 접수연도 4자리 입력
 - 기록유형 : 일반문서, 도면류, 사진필름류, 녹음동영상류, 카드류 중 선택
 - 보존기간 : 단위과제 선택 시 보존기간 자동 부여
 - 등록자 직위(직급) : 등록자의 직급 자동 부여
  ▷ 필요 시 수정 또는 삭제가능 → 인수 전 까지만 가능, 인수 후 불가
       기록물 인수&gt; 등록인수 &gt; 등록한 기록물 조회 &gt; 수정/삭제 버튼 클릭 후 처리
4. 기록물건 등록
 - 기록물철 등록결과 조회 &gt; 건등록 버튼 클릭
 - 등록화면 : 등록정보 입력 &gt; 저장 버튼 클릭
5. 등록완료
 - 기록물철ㆍ건 등록결과 조회 &gt; 해당 기록물 선택 &gt; 등록완료 버튼 클릭
6. 검수 및 인수 → 처리과 기록물관리책임자만 권한 있음
 - 등록인수 &gt; 기록물 등록 &gt; 검수 &gt; 조회 버튼 클릭 &gt; 해당 기록물철 선택 &gt; 정상검수 버튼 클릭
 - 해당 기록물철 선택 &gt; 인수 버튼 클릭
7. 기록물철 표지ㆍ색인목록 출력 → 처리과 기록물관리책임자만 권한 있음
 - 기록물보존 &gt; 기록정리 &gt; 비전자편철 &gt; 철제목 등 정보입력 &gt; 조회 버튼 클릭 &gt; 해당 기록물철 선택 &gt; 표지/목록 인쇄 버튼 클릭</t>
  </si>
  <si>
    <t>미등록(온나라시스템)기록물 추가 등록 → 기록관리시스템
 1. 기록관리시스템 로그인 : 행정포털을 통한 자동로그인
  - 행정포털 홈 &gt; 행정서비스 &gt; 기록관
  - 기록관리시스템 홈화면
 2. 미등록기록물 추가 등록절차
  - 대상 : 당해 연도 내 등록하지 못한 비전자기록물
  - 절차 : 기록물철 등록 → 기록물건 등록 → 등록완료 → 검수 및 인수 → 철표지ㆍ색인목록 출력
 3. 기록물철 등록
  - 기록물인수 &gt; 등록인수 &gt; 등록 버튼 클릭
  - 등록화면 : 등록정보 입력 &gt; 등록 버튼 클릭
  ▷ 기록물철명 : 과제카드명 입력
  ▷ 생산기관 : 등록 대상 기록물의 생산 당시 부서명 입력
  생산기관 검색하기 : 돋보기 클릭 &gt; 부서명 입력 &gt; 조회 &gt; 부서 선택 &gt; 선택 클릭
  ▷ 위과제 : 기록물철(과제카드)이 속한 단위과제 입력
  단위과제 검색하기 : 돋보기 클릭 &gt; 부서명 입력 &gt; 조회 &gt; 부서 선택 &gt; 선택 클릭
 【온나라시스템 단위과제 확인방법】
 ▶ 온나라 &gt; 과제관리 &gt; 부서과제 : 단위과제 &gt; 카드명 검색
  - 생산연도 : 기록물 생산 또는 접수연도 4자리 입력
  - 기록유형 : 일반문서, 도면류, 사진필름류, 녹음동영상류, 카드류 중 선택
  - 보존기간 : 단위과제 선택 시 보존기간 자동 부여
  - 등록자 직위(직급) : 등록자의 직급 자동 부여
  ▷ 필요 시 수정 또는 삭제가능 → 인수 전 까지만 가능, 인수 후 불가
  기록물 인수&gt; 등록인수 &gt; 등록한 기록물 조회 &gt; 수정/삭제 버튼 클릭 후 처리
 4. 기록물건 등록
  - 기록물철 등록결과 조회 &gt; 건등록 버튼 클릭
  - 등록화면 : 등록정보 입력 &gt; 저장 버튼 클릭
 5. 등록완료
  - 기록물철ㆍ건 등록결과 조회 &gt; 해당 기록물 선택 &gt; 등록완료 버튼 클릭
 6. 검수 및 인수 → 처리과 기록물관리책임자만 권한 있음
  - 등록인수 &gt; 기록물 등록 &gt; 검수 &gt; 조회 버튼 클릭 &gt; 해당 기록물철 선택 &gt; 정상검수 버튼 클릭
  - 해당 기록물철 선택 &gt; 인수 버튼 클릭
 7. 기록물철 표지ㆍ색인목록 출력 → 처리과 기록물관리책임자만 권한 있음
  - 기록물보존 &gt; 기록정리 &gt; 비전자편철 &gt; 철제목 등 정보입력 &gt; 조회 버튼 클릭 &gt; 해당 기록물철 선택 &gt; 표지/목록 인쇄 버튼 클릭</t>
  </si>
  <si>
    <t>19, 20, 21, 22, 23, 24</t>
  </si>
  <si>
    <t>[19p]
 7. 미등록(온나라시스템)기록물 추가 등록 → 기록관리시스템
 ➊ 기록관리시스템 로그인 : 행정포털을 통한 자동로그인
 행정포털 홈 &gt; 행정서비스 &gt; 기록관
 기록관리시스템 홈화면
 ➋ 미등록기록물 추가 등록절차
 대상 : 당해 연도 내 등록하지 못한 비전자기록물
 절차 : ① 기록물철 등록 → ② 기록물건 등록 → ③ 등록완료 → ④ 검수 및 인수 → ⑤ 철표지ㆍ색인목록 출력
 [20p]
 ➌ 기록물철 등록
 ① 기록물인수 &gt; 등록인수 &gt; 등록 버튼 클릭
 ② 등록화면 : 등록정보 입력 &gt; 등록 버튼 클릭
 [21p]
 ㉠ 기록물철명 : 과제카드명 입력
 ㉡ 생산기관 : 등록 대상 기록물의 생산 당시 부서명 입력
 •생산기관 검색하기 : 돋보기 클릭 &gt; 부서명 입력 &gt; 조회 &gt; 부서 선택 &gt; 선택 클릭
 ㉢ 위과제 : 기록물철(과제카드)이 속한 단위과제 입력
 •단위과제 검색하기 : 돋보기 클릭 &gt; 부서명 입력 &gt; 조회 &gt; 부서 선택 &gt; 선택 클릭
 [22p]
 【온나라시스템 단위과제 확인방법】
 ▶ 온나라 &gt; 과제관리 &gt; 부서과제 : 단위과제 &gt; 카드명 검색
 ㉣ 생산연도 : 기록물 생산 또는 접수연도 4자리 입력
 ㉤ 기록유형 : 일반문서, 도면류, 사진필름류, 녹음동영상류, 카드류 중 선택
 ㉥ 보존기간 : 단위과제 선택 시 보존기간 자동 부여
 ㉦ 등록자 직위(직급) : 등록자의 직급 자동 부여
  필요 시 수정 또는 삭제가능 → 인수 전 까지만 가능, 인수 후 불가
 •기록물 인수 &gt; 등록인수 &gt; 등록한 기록물 조회 &gt; 수정/삭제 버튼 클릭 후 처리
 ➍ 기록물건 등록
 ① 기록물철 등록결과 조회 &gt; 건등록 버튼 클릭
 [23p]
 ② 등록화면 : 등록정보 입력 &gt; 저장 버튼 클릭
 ➎ 등록완료
  기록물철ㆍ건 등록결과 조회 &gt; 해당 기록물 선택 &gt; 등록완료 버튼 클릭
 → 기록물 생산 또는 접수일자(YYYYMMDD) 입력
 → 공문 제목과 동일한 제목 입력
 → 필요 시 입력(특이사항 등)
 당시 담당자명 입력 / 모를 경우 ‘담당자’로 입력
 [24p]
 ➏ 검수 및 인수 → 처리과 기록물관리책임자만 권한 있음
 ① 등록인수 &gt; 기록물 등록 &gt; 검수 &gt; 조회 버튼 클릭 &gt; 해당 기록물철 선택 &gt; 정상검수 버튼 클릭
 ② 해당 기록물철 선택 &gt; 인수 버튼 클릭
 ➐ 기록물철 표지ㆍ색인목록 출력 → 처리과 기록물관리책임자만 권한 있음
  기록물보존 &gt; 기록정리 &gt; 비전자편철 &gt; 철제목 등 정보입력 &gt; 조회 버튼 클릭 &gt; 해당 기록물철 선택 &gt; 표지/목록
 인쇄 버튼 클릭</t>
  </si>
  <si>
    <t>미등록 기록물 등록 방법, 미등록 기록물 추가 등록</t>
  </si>
  <si>
    <t>[문서가 Top5 수량을 넘음. 제공 방법 검토 필요]</t>
  </si>
  <si>
    <t>공무원, 공무직, 기간제가 각각 이수해야 하는 법정의무교육 리스트와 이수방법은 어떻게 되나요?</t>
  </si>
  <si>
    <t>공무원, 공무직, 기간제 직원이 반드시 이수해야 하는 법정 의무교육 목록과 각각의 교육 이수 방법(온라인, 집합, 외부교육 등)은 무엇인가요?</t>
  </si>
  <si>
    <t>공무원, 공무직, 기간제 근로자가 이수해야 하는 법정의무교육은 산업재해 예방교육, 중대재해처벌법 교육, 안전보건교육 등이 있습니다.
각 교육의 이수 방법은 다음과 같습니다.
산업재해 예방교육
대상: 공무원, 공무직, 기간제 근로자
이수 시간: 산업재해 예방을 위한 안전 의무조치 이행사항에 따라 정기 및 특별교육 이수
이수 방법: 산업재해 예방을 위한 안전 의무조치 이행사항에 따라 정기 및 특별교육 이수
중대재해처벌법 교육
대상: 공무원, 공무직, 기간제 근로자
이수 시간: 중대재해처벌법 교육 이수
이수 방법: 중대재해처벌법 교육 이수
안전보건교육
대상: 공무원, 공무직, 기간제 근로자
이수 시간: 산업안전보건법에 따라 정기적으로 실시되는 교육 이수
이수 방법: 산업안전보건법에 따라 정기적으로 실시되는 교육 이수
각 교육은 산업안전보건법 및 관련 법령에 따라 이수해야 하며, 교육 내용, 이수 시간, 이수 방법은 해당 법령 및 지침에 따라 다를 수 있습니다.</t>
  </si>
  <si>
    <t>ㆍ54557_안전보건관리_추진체계_및_경영방침게시용-hwp.pdf (p.6)
https://busanai.busan.go.kr/download/54557_안전보건관리_추진체계_및_경영방침게시용-hwp.pdf</t>
  </si>
  <si>
    <t>기대답변 : 
OO에 대한 관련 문서가 없습니다.
자세한 사항은 관련 부서나 업무 담당자에게 문의하시기 바랍니다.</t>
  </si>
  <si>
    <t>예산 편성 절차와 관련하여 사업비별 사전 이행절차는 무엇인가요?</t>
  </si>
  <si>
    <t>예산 편성 시 사업비별로 거쳐야 하는 사전 이행 절차에는 어떤 것들이 있으며, 해당 절차 이행 여부는 어떻게 확인할 수 있나요?</t>
  </si>
  <si>
    <t>예산 편성 절차와 관련하여, 사업비별 사전 이행 절차는 예산 요구, 조정, 예산안의 확정에 이르는 모든 과정을 포함합니다.
관련내용은 다음과 같습니다.
예산 요구: 각 부서나 기관에서 다음 회계연도에 필요한 사업 계획을 수립하고, 이에 대한 예산을 요구합니다.
예산 조정: 요구된 예산을 각 부서나 기관의 우선순위와 필요성에 따라 조정합니다. 이 과정에서 사업의 타당성, 필요성 등이 검토됩니다.
예산안 확정: 조정된 예산을 바탕으로 최종 예산안을 확정합니다. 이 과정에서 정치적 성격을 띠며, 국가의 정책 목표와 관련하여 합리적인 배분이 요청됩니다.
이러한 절차는 예산 편성 과정에서 가장 전형적으로 정치적 성격을 띠며, 실제로는 예산 구조에 참여하는 사람들 간의 권력관계나 동원된 정치 권력, 영향력에 의해 크게 좌우됩니다.</t>
  </si>
  <si>
    <t>ㆍ208_2107_예산담당관_업무매뉴얼_행정안전부_2022년도_지방자치단체_예산편성_운영기준_및_기금운용계획_수립기준.pdf (p.377)
https://busanai.busan.go.kr/download/208_2107_예산담당관_업무매뉴얼_행정안전부_2022년도_지방자치단체_예산편성_운영기준_및_기금운용계획_수립기준.pdf</t>
  </si>
  <si>
    <r>
      <rPr>
        <rFont val="Malgun Gothic"/>
        <color theme="1"/>
        <sz val="11.0"/>
      </rPr>
      <t>질문 의도는 예산 편성을 할때 사업비 별로 사전에 이행해야할 절차가 있는데
사업비가 얼마면 어떠한 절차를 수행해야한다. 이런 내용을 요구하는것으로 보입니다.
관련근거 : 2025년 예산편성계획 (예산담당관 제출)
기대답변은 36P의 3. 세출예산 절차별 이행사항 &gt; 미 이행시 편성 불가
표 내용을 써주시면 됩니다. 표로 표현 불가능하면 그냥 내용으로 표현
예)
1. 신규사업 사전심사 총사업비 관리제
 ∙ 신규사업 : 시비 1억원 초과 신규사업(월 1회, 수시)
   ※ 신규 센터 설치시 금액불문 사전심사 이행 필요
 ∙ 총사업비관리 : 총사업비 50억원이상, 사업기간 2년이상 건설</t>
    </r>
    <r>
      <rPr>
        <rFont val="Tahoma"/>
        <color theme="1"/>
        <sz val="11.0"/>
      </rPr>
      <t>․</t>
    </r>
    <r>
      <rPr>
        <rFont val="맑은 고딕"/>
        <color theme="1"/>
        <sz val="11.0"/>
      </rPr>
      <t>정보화사업</t>
    </r>
  </si>
  <si>
    <t>기대답변 : 
 세출예산 절차별 이행사항 &gt; 미 이행시 편성 불가
  - 신규사업 사전심사 총사업비 관리제
  ∙ 신규사업 : 시비 3억원 이상 신규사업(월 1회, 수시)
  ※ 신규 센터 설치시 금액불문 사전심사 이행 필요
  ∙ 총사업비관리 : 총사업비 50억원이상, 사업기간 2년이상 건설․정보화사업
  - 지방재정영향평가(지방재정법 제27조의6)
  ∙ 심사대상 : 총사업비 30억원이상 경기대회, 공연・축제 등 행사성 사업, 총사업비 100억원 이상, 지방비 50억원 이상인 신규공모사업
  ∙ 심사시기 : 정기(2, 5, 8, 10월), 수시(필요시)
  - 중기지방재정계획(지방재정법제33조)
  ∙ 대 상 : 일반회계, 특별회계, 기금
  ∙ 심사시기 : 10월중(확정 10월말)
  ∙ 제출기한 : 예산요구서 제출시
  - 중기공유재산관리계획(공유재산 및 물품관리법 제10조)
  ∙ 대 상 : 공유재산관리계획 총괄계획(취득, 처분, 사용료 감면, 수입금 지출)
  ∙ 심사시기 : 10월(공유재산심의회)
  ∙ 제출기한 : 예산요구서 제출시
  - 예비타당성 조사(국가재정법 제38조), 타당성 조사(지방재정법 제37조)
  ∙ 대 상 : 총사업비 500억원 이상(예타 : 국비 300억원 이상) 건설사업, 정보화사업, 국가연구개발사업
  ∙ 심사시기 : 분기 1회
  ∙ 제출시기 : 매년 4회
  - 투자심사(지방재정법 제37조)
  ∙ 심사대상 : 40억이상 신규사업, 60억이상 구․군사업, 3억이상 행사성, 5억이상 홍보관 사업
  ∙ 심사시기 : 정기(3, 6, 9월), 수시(필요시)
  - 공유재산관리계획(공유재산 및 물품관리법 제10조2)
  ∙ 대상사업 : 예정가격 기준 1건당 취득(20억원), 처분(10억원) 이상 면적기준 1건당 취득(6,000㎡), 처분(5,000㎡) 이상
  ∙ 요청시기 : 예산편성 전 단계
  ∙ 제출기한 : 8월중
  - 정책연구용역심사(부산시 정책연구용역 관리 조례)
  ∙ 심사대상 : 건당 10백만원 초과
  ∙ 심사시기 : 9월 중순(예산편성 전) 
  ∙ 제출기한 : 8월중(기획담당관)
  - 기술용역 사전심의(부산시 기술용역 관리 조례)
  ∙ 심사대상 : 건당 100백만원 이상
  ∙ 심사시기 : 9월 중순(예산편성 전)
  ∙ 제출기한 : 8월중(기술심사과)
  - 정보화사업 예산타당성 검토(부산시 정보시스템 도입·운영 규정)
  ∙ 검토대상 : 정보화사업(단순 유지보수‧운영사업, 국비지원사업등은 제외)
  ∙ 검토시기 : 9월 중순(예산편성 전)
  ∙ 제출기한 : 8월중(정보화정책과)
  - 지방보조금사업 신규 행사‧축제사업
  ∙ 지방보조금 : 민간경상사업보조 등 15개 과목 ※ 26페이지 과목 참고
  ∙ 신규 행사‧축제사업 : 행사운영비 등 3개 과목 ※ 26페이지 과목 참고
  ▷ 사전심의 : 지방보조금심의위원회
  ▷ 제출기한 : 8월중(재정협력담당관)
  ※ 3억 이상 신규심사/3억 이상 행사축제, 40억 이상 투자심사 별도필요
  - 정수물품 취득승인(공유재산및물품관리법시행령 제58조)
  ∙ 대상물품 : 행정안전부 장관이 정하는 정수물품
  ∙ 책정시기 : 8월말
  ∙ 제출기한 : 8월중
  - 출자․출연금 승인(지방재정법 제18조, 지방출자출연법)
  ∙ 출자·출연금 신규사업은 예산편성 전 지원 근거 마련
  ∙ 시 재정지원 모든 출자·출연금 시의회 사전승인
  - 민간위탁, 공기관위탁대행 동의(부산시 민간위탁 조례, 부산시 공공기관 위탁대행 조례)
  ∙ 민간위탁 : 신규, 3억원 초과 재위탁·재계약 사무 시의회 사전 동의
  ∙ 공기관위탁 : 3억원 초과 신규·재위탁 사업 시의회 사전 동의</t>
  </si>
  <si>
    <t>예산안 편성 항목 전까지 활용 &gt; 예산 편성 절차와 관련하여 사전 이행절차에 대한 문의이므로 예산안 편성 전까지만 활용
 구분이 어려우면 예산안 편성 ~ 예산 의결내용 고시까지 나와도 무방
 3 세출예산 절차별 이행사항 미 이행시 편성 불가
 신규사업 사전심사
 총사업비 관리제 ∙신규사업 : 시비 1억원 초과 신규사업(월 1회, 수시)
  ※ 신규 센터 설치시 금액불문 사전심사 이행 필요
 ∙총사업비관리 : 총사업비 50억원이상, 사업기간 2년이상 건설․정보화사업지방재정영향평가
 (지방재정법 제27조의6) ∙심사대상 : 총사업비 30억원이상 경기대회, 공연・축제 등 행사성 사업,
  총사업비 100억원 이상, 지방비 50억원 이상인 신규공모사업∙심사시기 : 정기(2, 5, 8, 10월), 수시(필요시)
 중기지방재정계획
 (지방재정법제33조) ∙대 상 : 일반회계, 특별회계, 기금 ∙심사시기 : 10월중(확정 10월말), ∙제출기한 : 예산요구서 제출시중기공유재산관리계획
 (공유재산 및 물품관리법 제10조) ∙대 상 : 공유재산관리계획 총괄계획(취득, 처분, 사용료 감면, 수입금 지출) ∙심사시기 : 10월(공유재산심의회) ∙제출기한 : 예산요구서 제출시예비타당성 조사
 (국가재정법 제38조)
 타당성 조사
 (지방재정법 제37조) ∙대 상 : 총사업비 500억원 이상(예타 : 국비 300억원 이상) 건설사업,
  정보화사업, 국가연구개발사업
 ∙심사시기 : 분기 1회 ∙제출시기 : 매년 4회
 투자심사
 (지방재정법 제37조) ∙심사대상 : 40억이상 신규사업, 60억이상 구․군사업, 3억이상 행사성,
  5억이상 홍보관 사업
 ∙심사시기 : 정기(3, 6, 9월), 수시(필요시)
 공유재산관리계획
 (공유재산 및 물품관리법 제10조2) ∙대상사업 : 예정가격 기준 1건당 취득(20억원), 처분(10억원) 이상 면적기준 1건당 취득(6,000㎡), 처분(5,000㎡) 이상∙요청시기 : 예산편성 전 단계 ∙제출기한 : 8월 중순
 정책연구용역심사
 (부산시 정책연구용역 관리 조례) ∙심사대상 : 건당 10백만원 초과
 ∙심사시기 : 9월 중순(예산편성 전) ∙제출기한 : 8월 중순(기획담당관)
 기술용역 사전심의
 (부산시 기술용역 관리 조례) ∙심사대상 : 건당 100백만원 이상
 ∙심사시기 : 9월 중순(예산편성 전) ∙제출기한 : 8월중(기술심사과)
 정보화사업 예산타당성 검토
 (부산시 정보시스템 도입·운영 규정) ∙검토대상 : 정보화사업(단순 유지보수‧운영사업, 국비지원사업등은 제외) ∙검토시기 : 9월 중순(예산편성 전)∙제출기한 : 8월말(정보화정책과)
 지방보조금사업
 신규 행사‧축제사업 ∙지방보조금 : 민간경상사업보조 등 15개 과목 ※ 28페이지 과목 참고∙신규 행사‧축제사업 : 행사운영비 등 3개 과목 ※ 28페이지 과목 참고▷ 사전심의 : 지방보조금심의위원회
 ▷ 제출기한 : 8월 중순(재정협력담당관)
 ※ 1억초과 신규심사/3억 이상 행사축제, 40억 이상 투자심사 별도필요정수물품 취득승인
 (공유재산및물품관리법시행령 제58조) ∙대상물품 : 행정안전부 장관이 정하는 정수물품
 ∙책정시기 : 8월말 ∙ 제출기한 : 8월 중순
 출자․출연금 승인
 (지방재정법 제18조, 지방출자출연법) ∙출자·출연금 신규사업은 예산편성 전 지원 근거 마련
 ∙시 재정지원 모든 출자·출연금 시의회 사전승인
 민간위탁, 공기관위탁대행 동의
 (부산시 민간위탁 조례, 부산시 공공기관 위탁대행 조례) ∙민간위탁 : 신규, 3억원 초과 재위탁·재계약 사무 시의회 사전 동의∙공기관위탁 : 3억원 초과 신규·재위탁 사업 시의회 사전 동의
 예산안 편성 ∙예산편성계획 시달(8.5.) ∙예산요구서 작성 제출(8.16.한) ∙심사․조정(9～10월) ∙예산안 결재(10월말)
 ⇩ 예산안 심의․의결
 (회계연도 개시 15일전까지) ∙예산안 시의회 제출 : 11월 11일(법정기한) ∙상임위 및 예결특위 심의․의결(11월~12월초) → 본회의 의결(12월 중순)
 ⇩ 예산 의결결과 이송 ∙시의회가 의결한 예산을 자치단체장에게 이송(의결된 날부터 3일 이내)
 ⇩ 예산 의결내용 고시 ∙즉시 고시</t>
  </si>
  <si>
    <t>SQG010</t>
  </si>
  <si>
    <t>성인지예산서와 성별영향평가서 차이점은 무엇인가요?</t>
  </si>
  <si>
    <t>지방자치단체에서 작성하는 성인지예산서와 성별영향평가서의 작성내용, 제출시기, 관련 법령 등 차이점을 알려주세요</t>
  </si>
  <si>
    <t>성인지예산서와 성별영향평가서는 모두 성 평등을 목표로 하지만, 그 목적과 방법, 결과 활용에서 차이가 있습니다.
관련내용은 다음과 같습니다.
목적
성인지예산서: 지방자치단체의 예산 편성 및 집행 과정에서 성 평등을 실현하기 위해 작성되는 문서로, 예산의 배분과 집행이 성별에 미치는 영향을 평가하고, 이를 바탕으로 성별에 따른 불균형을 해소하고자 합니다.
성별영향평가서: 성별영향평가법에 따라 정책이 여성과 남성에게 미치는 영향을 평가하여, 성별에 따른 차별을 없애고 성 평등을 실현하기 위한 목적으로 작성됩니다.
방법
성인지예산서: 지방자치단체가 자체적으로 수립한 성평등 목표를 바탕으로 대상 사업을 선정하고, 이를 예산에 반영하여 작성됩니다.
성별영향평가서: 성별영향평가법에 따라 중앙행정기관 및 지방자치단체가 수행하는 정책이나 사업에 대해 성별에 따른 영향을 평가하고, 그 결과를 여성가족부에 제출하는 문서입니다.
결과 활용
성인지예산서: 예산 편성 및 집행 과정에서 성 평등을 고려한 예산 배분과 집행을 가능하게 하며, 지방자치단체의 성평등 목표 달성에 기여합니다.
성별영향평가서: 평가 결과를 바탕으로 정책이나 사업의 개선 방안을 마련하고, 성별에 따른 차별을 해소하기 위한 조치를 취하는 데 활용됩니다.
이러한 차이점을 통해 성인지예산서와 성별영향평가서는 각각의 목적과 방법에 따라 성 평등을 실현하기 위한 중요한 도구로 활용됩니다.</t>
  </si>
  <si>
    <t>ㆍ210_2307_예산담당관_업무매뉴얼_행정안전부_2024년도_지방자치단체_예산편성_운영기준_및_기금운용계획_수립기준.pdf (p.202)
https://busanai.busan.go.kr/download/210_2307_예산담당관_업무매뉴얼_행정안전부_2024년도_지방자치단체_예산편성_운영기준_및_기금운용계획_수립기준.pdf
ㆍ208_2107_예산담당관_업무매뉴얼_행정안전부_2022년도_지방자치단체_예산편성_운영기준_및_기금운용계획_수립기준.pdf (p.183)
https://busanai.busan.go.kr/download/208_2107_예산담당관_업무매뉴얼_행정안전부_2022년도_지방자치단체_예산편성_운영기준_및_기금운용계획_수립기준.pdf
ㆍ207_2007_예산담당관_업무매뉴얼_행정안전부_2021년도_지방자치단체_예산편성_운영기준_및_기금운용계획_수립기준.pdf (p.188)
https://busanai.busan.go.kr/download/207_2007_예산담당관_업무매뉴얼_행정안전부_2021년도_지방자치단체_예산편성_운영기준_및_기금운용계획_수립기준.pdf</t>
  </si>
  <si>
    <t>첨부파일은 최근 2025년도 수립기준 파일만 참고하시면 됩니다.
성별영향평가서의 경우 여성가족과가 담당 부서인데
해당 부서의 매뉴얼을 받지 않아
관련 자료가 부족합니다.
해당 근거 자료에는 성인지예산서에 관련된 내용이 다수고
성별영향평가서의 경우 간적접인 내용만 포함됩니다.
기대답변 : 
1. 성인지예산서
 - 출처: 「Ⅲ. 지방자치단체 성인지예산서 작성 기준」(179~194쪽 등)
 - 정의: 예산이 여성과 남성에게 미칠 영향을 미리 분석하여 이를 예산편성에 반영함으로써, 여성과 남성이 동등하게 예산의 수혜를 받도록 하는 제도
 - 작성 시점: 예산편성 과정(매년 7월~11월, 예산안 첨부서류로 지방의회 제출)
 - 작성 주체: 지방자치단체 예산부서가 총괄하며, 여성정책담당부서와 협조
2. 성별영향평가서 
 - 성과목표 산출 시 “전년도 성별영향평가 및 전전년도 성인지결산서의 평가결과를 참조</t>
  </si>
  <si>
    <t>범정부 클로바 GOV로 참조내용과 질문으로 답변 생성한 기대답변입니다.
 기대답변 :
 성인지예산서 vs 성별영향평가서의 차이
 1. 성인지예산서
  - 목적: 예산 편성에 성평등 영향을 미리 분석
  - 내용: 성평등 기대효과, 성과목표, 성별 수혜분석 등 포함
  - 법적 근거: 지방재정법 제36조의2
  - 대상 사업: 양성평등정책 기본계획 추진사업, 성별영향평가사업, 자치단체 특화사업 등
  - 특징: 예산 분야에서 성별 영향이 발생하지 않도록 사전 작성한 보고서
 2. 성별영향평가서
  - 목적: 정책 전반에 대한 성별 영향 평가
  - 내용: 정책의 성별 영향 분석 결과 및 정책 반영 내용
  - 법적 근거: 성별영향평가법 제9조
  - 주요 제출처: 여성가족부 (평가 결과 + 영향 반영 정책 내용 포함)
  - 특징: 재정 집행이 수반되는 정책에 한하여 성인지예산서와 연동
 3. 핵심 차이
  - 성인지예산서 = 예산 편성에 초점을 맞춘 보고서
  - 성별영향평가서 = 정책 전체의 성별 영향 평가 보고서
  - 연계 관계: 성별영향평가서 결과는 다음 해 성인지예산서 반영</t>
  </si>
  <si>
    <r>
      <rPr>
        <rFont val="&quot;Malgun Gothic&quot;"/>
        <color rgb="FF000000"/>
        <sz val="11.0"/>
      </rPr>
      <t xml:space="preserve">전직원 골든셋 추가자료 중 2026년도 예산편성계획
</t>
    </r>
    <r>
      <rPr>
        <rFont val="&quot;Malgun Gothic&quot;"/>
        <color rgb="FFFF0000"/>
        <sz val="11.0"/>
      </rPr>
      <t>&gt;&gt; 12월 3일자까지 추가학습 문서에는 해당 파일 없음
1258_2507_예산담당관_업무매뉴얼_행정안전부_2026년도_지방자치단체_예산편성_운영기준_및_기금운용계획_수립기준최종.pdf
위 파일의 199페이지부터 유사한 내용이 있으나 다름</t>
    </r>
  </si>
  <si>
    <t>85, 86</t>
  </si>
  <si>
    <t>� 성인지예산제도의 개념
 1. 성인지예산제도(gender-responsive budgeting)
 ❍ 예산이 여성과 남성에게 미칠 영향을 미리 분석하여 이를 예산편성에
 반영함으로써 여성과 남성이 동등하게 예산의 수혜를 받도록 하는 제도
 2. 성인지예산서
 ❍ 예산이 여성과 남성에게 미칠 영향을 미리 분석한 보고서로 성평등
 기대효과, 성과목표, 성별 수혜분석 등을 포함하고 있음
 � 법적 근거
 ❍ 지방재정법 제36조의 2 및 동법 시행령 제40조의 2
 □ 지방재정법
 제36조의2(성인지 예산서의 작성·제출) ① 지방자치단체의 장은 예산이 여성과 남성에게 미칠
 영향을 미리 분석한 보고서[이하 "성인지 예산서"(性認知 豫算書)라 한다]를 작성하여야 한다.
 ② ｢지방자치법｣ 제142조에 따른 예산안에는 성인지 예산서가 첨부되어야 한다.
 ③ 그 밖에 성인지 예산서의 작성에 관한 구체적인 사항은 대통령령으로 정한다.
 □ 지방재정법 시행령
 제40조의2(성인지 예산서의 내용 및 작성기준) ① 법 제36조의2에 따른 성인지 예산서[이하 "
 성인지 예산서"(性認知 豫算書)라 한다]에는 다음 각 호의 내용이 포함되어야 한다.
 1. 성인지 예산의 개요 및 규모
 2. 성인지 예산의 성평등 기대효과, 성과목표 및 성별 수혜분석
 3. 그 밖에 행정안전부장관이 정하는 사항
 ② 성인지 예산서는 행정안전부장관이 여성가족부장관과 협의하여 정하는 작성기준 및 방식
 등에 따라 작성한다.
 �「2026년도 성인지예산서」작성개요
 1. 대상사업 선정기준
 □ 대상회계 : 일반회계, 기타특별회계, 기금회계
 □ 성인지예산서 작성 대상사업 : 세부사업을 기준으로 작성
 대상사업
  - 양성평등정책 기본계획 추진사업
  ✧ 제3차 양성평등정책 기본계획 (’23∼’27)에 따른 연도별 지방자치단체 시행계획 추진사업
  ※ 양성평등정책 기본계획은 양성평등기본법(§7)에따라 여성가족부장관이 5년마다 수립
  ✧ 자치단체에서 자체적으로 수립한 양성평등정책관련 기본계획 에 포함된 사업, 그 밖에 여성을 주대상으로 하며 여성의 사회 참여확대 및 권익증진 등을 도모하거나 여성의 돌봄부담 등 가족내 성불평등을 개선할 수 있는 사업
  - 성별영향평가사업
  ✧ 「성별영향평가법」에 따른 2025년 성별영향평가 대상 예산사업
  - 자치단체가 별도로 추진하는 사업
  ✧자치단체 특화사업: 자치단체장 공약 사업 및 주력사업
  ✧기타 사업: 이전 성별영향평가사업, 양성평등, 성별, 특화사업에 해당하지 않지만 재원배분을 통해 양성평등 실현에 기여하거나 기여할 것으로 기대되는 사업
 성별영향평가법 시행령 제6조(성별영향평가결과의 제출) 중앙행정기관의 장 및 지방자치단체의 장은 법 제9조제
 1항에 따라 전년도 성별영향평가의 결과 및 그 성별영향평가를 정책에 반영한 결과를 매년 2월 말일까지 여성가족
 부장관에게 제출하여야 한다. 이 경우 재정 집행이 수반되는 대상 정책에 관하여는 해당 회계연도의 성인지(性認知)
 예산서를 첨부하여야 한다.</t>
  </si>
  <si>
    <r>
      <rPr>
        <rFont val="맑은 고딕"/>
        <b/>
        <color theme="1"/>
        <sz val="11.0"/>
      </rPr>
      <t>212_2407_예산담당관_업무매뉴얼_행정안전부_2025년도_지방자치단체_예산편성_운영기준_및_기금운용계획_수립기준.pdf[185]</t>
    </r>
    <r>
      <rPr>
        <rFont val="맑은 고딕"/>
        <color theme="1"/>
        <sz val="11.0"/>
      </rPr>
      <t xml:space="preserve">
-----
</t>
    </r>
    <r>
      <rPr>
        <rFont val="맑은 고딕"/>
        <color rgb="FFFF0000"/>
        <sz val="11.0"/>
      </rPr>
      <t>[성인지예산제도에 대한 내용은 있으나 성별영향평가서와의 차이점 등 관련 자료가 없어 답변이 되지 않을 수 있음]</t>
    </r>
  </si>
  <si>
    <t>병가와 휴직에 대한 각종 수당 지급 여부는 무엇인가요?</t>
  </si>
  <si>
    <t>공무원이 병가 또는 휴직을 사용할 경우, 급여와 수당, 연가 등 각종 지급 여부는 어떻게 되나요?</t>
  </si>
  <si>
    <t>공무원 병가와 휴직 시 각종 수당 지급 여부는 다음과 같습니다.
병가
병가 기간 동안에는 기본급과 각종 수당이 지급됩니다.
30일 이상 연속된 병가의 경우, 업무대행수당이 지급될 수 있습니다.
육아휴직
육아휴직 기간 동안에는 기본급의 80%가 지급됩니다.
육아휴직 기간 동안에는 각종 수당이 지급될 수 있습니다.
출산휴가
출산휴가 기간 동안에는 기본급의 100%가 지급됩니다.
출산휴가 기간 동안에는 각종 수당이 지급될 수 있습니다.
사산휴가 및 유산휴가
사산휴가 및 유산휴가 기간 동안에는 기본급의 100%가 지급됩니다.
사산휴가 및 유산휴가 기간 동안에는 각종 수당이 지급될 수 있습니다.
공무상 질병휴직
공무상 질병휴직 기간 동안에는 기본급과 각종 수당이 전액 지급됩니다.
각 수당의 지급 여부와 금액은 해당 공무원의 직급, 호봉, 그리고 휴직의 종류에 따라 다를 수 있으므로, 구체적인 사항은 관련 규정을 확인해야 합니다.</t>
  </si>
  <si>
    <t>ㆍ1133_압축2_재단법인_부산문화회관_규정집25417.pdf (p.112)
https://busanai.busan.go.kr/download/1133_압축2_재단법인_부산문화회관_규정집25417.pdf</t>
  </si>
  <si>
    <t xml:space="preserve">내용, 첨부파일 오류입니다.
관련근거 : 급여 및 수당 관련 FAQ(예산담당관), 
미제출된 법령 중 지방공무원 보수규정
기대답변 
병가 1개월 이내 : 봉급(전액) 수당(일부, 봉급 연동)
병가 1~3개월 : 봉급(1/2)	수당(일부, 봉급 연동)
병가 3개월 초과	: 봉급(무급) 수당(미지급)
공무상 질병휴직 : 봉급(전액) 수당(전액)
육아휴직	 : 봉급(무급, 수당 별도) 수당(육아휴직수당)
간병·연수·징계휴직 봉급(무급), 수당(미지급) 
</t>
  </si>
  <si>
    <t>미답변 처리
 해당 사항에 대해 정리된 내용을 찾기전까진
 미답변 처리 바랍니다.</t>
  </si>
  <si>
    <r>
      <rPr>
        <rFont val="맑은 고딕"/>
        <b/>
        <color theme="1"/>
        <sz val="11.0"/>
      </rPr>
      <t>215_2501_예산담당관_업무매뉴얼_예산담당관_2025급여_및_수당_관련_FAQ.pdf[1]</t>
    </r>
    <r>
      <rPr>
        <rFont val="맑은 고딕"/>
        <color theme="1"/>
        <sz val="11.0"/>
      </rPr>
      <t xml:space="preserve">
-----
</t>
    </r>
    <r>
      <rPr>
        <rFont val="맑은 고딕"/>
        <color rgb="FFFF0000"/>
        <sz val="11.0"/>
      </rPr>
      <t xml:space="preserve">[육아휴직과 관련된 내용이 다수이고 병가 관련 사항 및 질병휴직에 대한 내용이 없음]
</t>
    </r>
    <r>
      <rPr>
        <rFont val="맑은 고딕"/>
        <color theme="1"/>
        <sz val="11.0"/>
      </rPr>
      <t>급여 및 수당 관련 FAQ1. 육아휴직수당 개선
일반 육아휴직 순차육아휴직 한부모 육아휴직
지급액
[1~3월]
월봉금액의 100%
(최대 250만원)
[1~6월]
월봉금액의 100%
(최대 250~450만원)
[1~3월]
월봉금액의 100%
(최대 300만원)
[4~6월]
월봉금액의 100%
(최대 200만원)
[4~6월]
월봉금액의 100%
(최대 200만원)
[7~12월]
월봉금액의 80%
(최대 160만원)
[7~12월]
월봉금액의 80%
(최대 160만원)
[7~12월]
월봉금액의 80%
(최대 160만원)
지급기간
(개별기간
합산)
최대 18월
- 같은 자녀에 대해
부모 모두 각각
3월 이상 육아휴직
사용한 부 또는 모
- 한부모 중 부 또는 모
- 장애아동의 부 또는 모
최대 18월
- 같은 자녀에 대해
부모 모두 각각
3월 이상 육아휴직
사용한 부 또는 모
- 한부모 중 부 또는 모
- 장애아동의 부 또는 모
최대 18월
- 같은 자녀에 대해
부모 모두 각각
3월 이상 육아휴직
사용한 부 또는 모
- 한부모 중 부 또는 모- 장애아동의 부 또는 모그 외 최대 1년 그 외 최대 1년 그 외 최대 1년
공제액 없음(첫째 자녀 수당의 15% 공제 폐지)
2. 정근수당 인상
- 근무연수 2년 미만 : 월봉금액의 10% / 근무연수 5년 미만 : 월봉금액의 20%
3. 가족수당(자녀) 인상
- 첫째 자녀 : 5만원 / 둘째 자녀 : 8만원 / 셋째 이후 자녀 : 12만원
4. 민원수당 가산금(특수직무수당-가목) 신설
- 민원의 종류와 특성 등을 고려하여 지급대상자의 30% 범위에서 3만원 가산
* 대상자 별도 선정 예정
5. 사서수당(특수직무수당-나목) 인상
- 5급 이상 : 4만원 / 6급 이하 : 3만원
6. 병급 가능한 특수업무수당 추가
- 중요직무급 수당(특수직무수당-차목)과 재난안전관리수당(특수직무수당-카목) 병급 가능</t>
    </r>
  </si>
  <si>
    <r>
      <rPr>
        <rFont val="맑은 고딕"/>
        <b/>
        <color theme="1"/>
        <sz val="11.0"/>
      </rPr>
      <t>1248_지방공무원_보수규정대통령령제35183호20250103.pdf</t>
    </r>
    <r>
      <rPr>
        <rFont val="맑은 고딕"/>
        <color theme="1"/>
        <sz val="11.0"/>
      </rPr>
      <t xml:space="preserve">
-----
</t>
    </r>
    <r>
      <rPr>
        <rFont val="맑은 고딕"/>
        <color rgb="FFFF0000"/>
        <sz val="11.0"/>
      </rPr>
      <t>[휴직 수당에 대한 내용의 상세한 부분은 포함되어 있지 않음]</t>
    </r>
  </si>
  <si>
    <t>입찰시 지역제한이 불가할 때 이행해야할 절차와 검토항목에는 무엇이 있나요?</t>
  </si>
  <si>
    <t>입찰에서 지역제한을 설정할 수 없는 경우, 어떤 절차를 거쳐야 하며 지역제한 불가 여부를 판단하기 위해 검토해야 할 사항은 무엇인가요?</t>
  </si>
  <si>
    <r>
      <rPr>
        <rFont val="Malgun Gothic"/>
        <color theme="1"/>
        <sz val="11.0"/>
      </rPr>
      <t>입찰 시 지역 제한이 불가할 경우, 부산광역시가 이행해야 할 절차와 검토 항목은 다음과 같습니다.
입찰공고일 전일까지 검사가 완료된 최근 10년 이내 실적으로 제한
중소기업자 제한
지역 제한, 실적 제한, 중소기업자 이외의 제한 기준일은 입찰참가신청서류 접수 마감일(입찰참가등록마감일)을 기준으로 하며, 입찰참가자는 입찰서 제출마감일까지 해당 입찰참가자격을 계속 유지해야 함
제한입찰의 참가자격 통지
사전 컨설팅감사 요청 사유 검토
공기압축기 개조 정비건 지역제한 입찰 해제 검토
발주 전 나라장터, 관련협회 통계자료 등을 통해 관내 입찰자 수를 정확하게 파악
지역 제한 입찰 시 해당 지역에 사업이행에 필요한 자격을 갖춘 자가 10인 이상인 경우에도 인접 시</t>
    </r>
    <r>
      <rPr>
        <rFont val="Yu Gothic"/>
        <color theme="1"/>
        <sz val="11.0"/>
      </rPr>
      <t>・</t>
    </r>
    <r>
      <rPr>
        <rFont val="맑은 고딕"/>
        <color theme="1"/>
        <sz val="11.0"/>
      </rPr>
      <t>도까지 제한을 하여 민원이 발생하는 경우가 있으므로 발주 전 관내 입찰자 수를 정확하게 파악한 후 지역 제한을 해야 할 것임
이러한 절차를 통해 부산광역시는 입찰의 공정성과 투명성을 확보할 수 있습니다.</t>
    </r>
  </si>
  <si>
    <t>ㆍ471_2411_회계재산담당관_업무매뉴얼_한국지방재정공제회_2024년_개정판_공사계약_길라잡이한국지방재정공제회.pdf (p.138, 139)
https://busanai.busan.go.kr/download/471_2411_회계재산담당관_업무매뉴얼_한국지방재정공제회_2024년_개정판_공사계약_길라잡이한국지방재정공제회.pdf</t>
  </si>
  <si>
    <t>근거자료 내용 오류입니다.
근거자료 : 2025년 계약업무 통합운영 매뉴얼(회계재산담당관) 13p
기대답변 : 
지역제한입찰 불가 시, 조치사항은?
- (원칙) 추정가격이 지역제한 대상 금액 미만일 경우 부산지역업체만 입찰 가능
- (예외) 입찰참가자격을 갖춘 부산지역업체가 없어 2개사 이상의 경쟁입찰이
불가능할 경우 등 지방계약법이 명시하고 있을 때에는 회계재산담당관으로 지
역제한 미적용 사전검토 의뢰하며, 그 외의 사유로 지역제한이 불가할 경우에
는 발주부서가 청렴담당관으로 사전감사컨설팅 신청</t>
  </si>
  <si>
    <t>지역제한입찰 불가 시, 조치사항은?
 - (원칙) 추정가격이 지역제한 대상 금액 미만일 경우 부산지역업체만 입찰 가능
 - (예외) 입찰참가자격을 갖춘 부산지역업체가 없어 2개사 이상의 경쟁입찰이
 불가능할 경우 등 지방계약법이 명시하고 있을 때에는 회계재산담당관으로 지
 역제한 미적용 사전검토 의뢰하며, 그 외의 사유로 지역제한이 불가할 경우에
 는 발주부서가 청렴담당관으로 사전감사컨설팅 신청</t>
  </si>
  <si>
    <t>475_2501_회계재산담당관_업무매뉴얼_회계재산담당관_2025년_계약업무_통합운영_매뉴얼2511_회계재산담당관_계약지원팀.pdf</t>
  </si>
  <si>
    <t>붙임3 통합계약 관련 계약지원팀 사무분장표
 q 계약 일반
 1. 통합계약 대상 사업(금액) 및 그 근거조항은?
 - 부산광역시 회계관리에 관한 규칙 제2조
 제2조(회계관계공무원의 관직지정) ② 제1항에도 불구하고 소방재난본부, 제1관서, 그 밖의 관서의 다
 음 각 호의 계약업무는 본청의 재무관이 행한다. 다만, 「조달사업에 관한 법률」에 따라 조달청에
 의뢰하는 계약 및 행정안전부장관의 수의계약 한도액 한시적 증액 특례고시에는 그러하지 아니하
 다.&lt;개정 2021. 7. 7., 2023. 11. 22.&gt;
 1. 추정가격이 종합공사의 경우에는 4억원, 전문공사의 경우에는 2억원, 그 밖의 공사의 경우에는 1억
 6천만원을 초과하는 공사의 입찰
 2. 추정가격이 1억원을 초과하는 물품의 제조·구매 및 용역의 입찰
 2. 계약체결까지 소요 기간은?
 : 일반적인 경우 계약의뢰 공문 접수 시점으로부터 평균 1개월 내 계약체결까지
 이루어지나, 아래의 경우 기간이 더 소요될수 있습니다.
 - 발주계획(입찰참가자격, 설계내역 등) 오기 등으로 인한 취소공고 및 새로공고
 - 유찰(무응찰 또는 단독입찰)로 인한 재공고
 - 국제입찰(공고 게시기간 최소 10일 이상)로 진행하는 경우
 - 입찰참가자격, 실적 및 신인도평가 등 확인을 위한 기간 소요
 - 선순위 낙찰자의 적격심사 포기, 적격심사 서류 보완, 부적격자의 이의신청
 및 재심사 요청 등으로 인한 낙찰자 결정 지연
 3. 최초 경쟁입찰로 진행한 입찰 건의 수의계약 가능여부
 - 재공고 유찰 또는 특례기간 중 1개사 단독입찰로 인한 유찰 시, 발주부서에
 서 수의계약 체결 가능
 4. 지역제한입찰 불가 시, 조치사항은?
 - (원칙) 추정가격이 지역제한 대상 금액 미만일 경우 부산지역업체만 입찰 가능
 - (예외) 입찰참가자격을 갖춘 부산지역업체가 없어 2개사 이상의 경쟁입찰이
 불가능할 경우 등 지방계약법이 명시하고 있을 때에는 회계재산담당관으로 지
 역제한 미적용 사전검토 의뢰하며, 그 외의 사유로 지역제한이 불가할 경우에
 는 발주부서가 청렴담당관으로 사전감사컨설팅 신청
 5. 사업담당자와 계약담당자와 사전협의가 필요한 이유는?
 - 매년 일상적으로 진행하는 사업의 경우에도 지방계약법령(예규)와 개별법령의
 개정 등으로, 입찰참가자격 및 낙찰자 결정 등 변경사항이 발생할 수 있으므로,
 사업담당자는 발주계획 작성 전 계약담당자와 사전협의가 필요함</t>
  </si>
  <si>
    <t>지역 제한 불가 시 입찰 절차 및 검토 항목 안내</t>
  </si>
  <si>
    <t>반복특이(악성) 민원 응대 매뉴얼 및 민원처리 담당자의 보호지원에는 어떤 것이 있나요?</t>
  </si>
  <si>
    <t>반복적·악성 민원(반복특이 민원) 발생 시, 공무원이 따라야 하는 대응 매뉴얼은 무엇이며, 민원처리 담당자를 보호하기 위한 지원 제도에는 어떤 것들이 있나요?</t>
  </si>
  <si>
    <r>
      <rPr>
        <rFont val="Malgun Gothic"/>
        <color theme="1"/>
        <sz val="11.0"/>
      </rPr>
      <t>반복적이고 특이적인(악성) 민원 응대 매뉴얼과 민원처리 담당자를 보호하기 위한 지원 방안에는 안전하고 행복한 근무환경 조성, 민원인 위법행위 대비 대응력 강화, 민원 처리 담당자 신체적·정신적 피해 지원이 있습니다.
관련내용은 다음과 같습니다.
안전하고 행복한 근무환경 조성
민원실 안전시설 및 장비 확충: CCTV 설치, 비상벨 설치, 전담대응팀 및 비상대응팀 구성</t>
    </r>
    <r>
      <rPr>
        <rFont val="Tahoma"/>
        <color theme="1"/>
        <sz val="11.0"/>
      </rPr>
      <t>‧</t>
    </r>
    <r>
      <rPr>
        <rFont val="맑은 고딕"/>
        <color theme="1"/>
        <sz val="11.0"/>
      </rPr>
      <t>운영, 녹음전화 설치, 민원창구 투명 가림막 설치, 휴대용 영상</t>
    </r>
    <r>
      <rPr>
        <rFont val="Tahoma"/>
        <color theme="1"/>
        <sz val="11.0"/>
      </rPr>
      <t>‧</t>
    </r>
    <r>
      <rPr>
        <rFont val="맑은 고딕"/>
        <color theme="1"/>
        <sz val="11.0"/>
      </rPr>
      <t>음성기록 장비, 안전요원 배치, 차단시설 설치 등
직무교육 및 인사상 우대: 신규 공무원 배치 시 사전 직무교육 실시, 인사고충 상담창구 정례화, 인사가점 부여 등
휴식 및 심신 치유 기회 제공: 적절한 휴식 부여, 포상, 교육연수
민원인 위법행위 대비 대응력 강화
민원응대 매뉴얼 제작 및 배부: 특이민원 대응 역량강화 교육, 비상대응팀 구성 및 운영, 특이민원 발생보고서 작성 및 보고
민원 처리 담당자 신체적·정신적 피해 지원
심리상담 지원: 심리상담 지원
의료비 지원: 의료비 지원
적절한 휴식 부여: 적절한 휴식 부여
법률상담 및 법적대응 지원: 법률상담 및 법적대응 지원
인사상 조치: 인사상 조치</t>
    </r>
  </si>
  <si>
    <t>ㆍ70287_20230627_통합민원과_보도자료부산시_민원_처리_담당자_보호_및_지원_실행계획_수립시행-hwp.pdf (p.3)
https://busanai.busan.go.kr/download/70287_20230627_통합민원과_보도자료부산시_민원_처리_담당자_보호_및_지원_실행계획_수립시행-hwp.pdf
ㆍ431_2410_통합민원과_업무매뉴얼_행정안전부_민원인의_위법행위_및_반복민원_대응방안지침.pdf (p.19, 44)
https://busanai.busan.go.kr/download/431_2410_통합민원과_업무매뉴얼_행정안전부_민원인의_위법행위_및_반복민원_대응방안지침.pdf</t>
  </si>
  <si>
    <r>
      <rPr>
        <rFont val="Malgun Gothic"/>
        <color theme="1"/>
        <sz val="11.0"/>
      </rPr>
      <t>근거 문서는 2번째 파일로 하면 됩니다.
아래 답변은 대제목, 소제목 위주로 그냥 복사해놓긴 했는데
AI 요약이 잘되면 더 간단하게라도 가능할거 같습니다.
기대답변 : 
1. 특이민원 예방</t>
    </r>
    <r>
      <rPr>
        <rFont val="Tahoma"/>
        <color theme="1"/>
        <sz val="11.0"/>
      </rPr>
      <t>‧</t>
    </r>
    <r>
      <rPr>
        <rFont val="맑은 고딕"/>
        <color theme="1"/>
        <sz val="11.0"/>
      </rPr>
      <t>차단 조치
 - 민원 통화, 면담 등 전체 녹음
  ▷ 민원 통화 전체 녹음
  ▷ 통화 연결음 보급  
  ▷ 방문 민원상담 내용 전체 녹음</t>
    </r>
    <r>
      <rPr>
        <rFont val="Tahoma"/>
        <color theme="1"/>
        <sz val="11.0"/>
      </rPr>
      <t>․</t>
    </r>
    <r>
      <rPr>
        <rFont val="맑은 고딕"/>
        <color theme="1"/>
        <sz val="11.0"/>
      </rPr>
      <t>녹화
  ▷ 전화</t>
    </r>
    <r>
      <rPr>
        <rFont val="Tahoma"/>
        <color theme="1"/>
        <sz val="11.0"/>
      </rPr>
      <t>‧</t>
    </r>
    <r>
      <rPr>
        <rFont val="맑은 고딕"/>
        <color theme="1"/>
        <sz val="11.0"/>
      </rPr>
      <t>구술은 기타 민원에 한해 가능
 - 민원 상담 종료 및 제한 조치
  ▷ 장시간</t>
    </r>
    <r>
      <rPr>
        <rFont val="Tahoma"/>
        <color theme="1"/>
        <sz val="11.0"/>
      </rPr>
      <t>‧</t>
    </r>
    <r>
      <rPr>
        <rFont val="맑은 고딕"/>
        <color theme="1"/>
        <sz val="11.0"/>
      </rPr>
      <t>반복</t>
    </r>
    <r>
      <rPr>
        <rFont val="Noto Sans KR"/>
        <color theme="1"/>
        <sz val="11.0"/>
      </rPr>
      <t>‧</t>
    </r>
    <r>
      <rPr>
        <rFont val="맑은 고딕"/>
        <color theme="1"/>
        <sz val="11.0"/>
      </rPr>
      <t>폭언 민원 상담 시 종료
  ▷ 출입 제한</t>
    </r>
    <r>
      <rPr>
        <rFont val="Tahoma"/>
        <color theme="1"/>
        <sz val="11.0"/>
      </rPr>
      <t>‧</t>
    </r>
    <r>
      <rPr>
        <rFont val="맑은 고딕"/>
        <color theme="1"/>
        <sz val="11.0"/>
      </rPr>
      <t>퇴거 조치
  ▷ 전자민원창구를 통한 공무방해 행위 시 제한
2. 안전한 민원환경 구축
 - 안전시설 확충 및 안전인력 확보
  ▷ (안전시설 확충) 민원인 면담 등을 위한 안전한 공간 운영
  ▷ (안전요원 등) 민원실 등에 안전요원 의무 배치
 - 비상대응체계 구축
  ▷ (비상대응체계 구축) 민원실</t>
    </r>
    <r>
      <rPr>
        <rFont val="Tahoma"/>
        <color theme="1"/>
        <sz val="11.0"/>
      </rPr>
      <t>‧</t>
    </r>
    <r>
      <rPr>
        <rFont val="맑은 고딕"/>
        <color theme="1"/>
        <sz val="11.0"/>
      </rPr>
      <t>주민센터 등은 폭언</t>
    </r>
    <r>
      <rPr>
        <rFont val="Tahoma"/>
        <color theme="1"/>
        <sz val="11.0"/>
      </rPr>
      <t>․</t>
    </r>
    <r>
      <rPr>
        <rFont val="맑은 고딕"/>
        <color theme="1"/>
        <sz val="11.0"/>
      </rPr>
      <t>폭행 등 상황 대비 직원별 역할을 부여한 비상대응팀(반) 구성</t>
    </r>
    <r>
      <rPr>
        <rFont val="Tahoma"/>
        <color theme="1"/>
        <sz val="11.0"/>
      </rPr>
      <t>․</t>
    </r>
    <r>
      <rPr>
        <rFont val="맑은 고딕"/>
        <color theme="1"/>
        <sz val="11.0"/>
      </rPr>
      <t>운영
  ▷ (경찰 협조체계 강화) 비상 상황 발생 시 즉시 경찰이 출동할 수 있도록 ‘지자체 민원실-경찰’ 연락망을 강화
3. 민원담당자 근무여건 개선
 - 민원 대응역량 강화
  ▷ 인력 적정 배치
  ▷ 기관별 민원업무 처리절차 개선
  ▷ 민원 담당자 교육 강화
 - 민원담당자 처우 개선
  ▷ (인사</t>
    </r>
    <r>
      <rPr>
        <rFont val="Tahoma"/>
        <color theme="1"/>
        <sz val="11.0"/>
      </rPr>
      <t>‧</t>
    </r>
    <r>
      <rPr>
        <rFont val="맑은 고딕"/>
        <color theme="1"/>
        <sz val="11.0"/>
      </rPr>
      <t>보직 배려) 인사고충 상담을 정례화하고, 민원업무 순환 보직, 민원담당자 인사가점 부여, 희망보직 배려 등 인사 배려
  ▷ (휴식공간</t>
    </r>
    <r>
      <rPr>
        <rFont val="Tahoma"/>
        <color theme="1"/>
        <sz val="11.0"/>
      </rPr>
      <t>‧</t>
    </r>
    <r>
      <rPr>
        <rFont val="맑은 고딕"/>
        <color theme="1"/>
        <sz val="11.0"/>
      </rPr>
      <t>시간) 민원실(부서)과 분리된 장소에 휴식공간을 마련하고, 폭언</t>
    </r>
    <r>
      <rPr>
        <rFont val="Tahoma"/>
        <color theme="1"/>
        <sz val="11.0"/>
      </rPr>
      <t>‧</t>
    </r>
    <r>
      <rPr>
        <rFont val="맑은 고딕"/>
        <color theme="1"/>
        <sz val="11.0"/>
      </rPr>
      <t>폭행 등 피해 발생 시 담당자 분리 및휴게시간의무 부여
  ▷ (심리상담) 자체 심리상담센터*를 운영하거나 마음건강센터(인사혁신처) 활용을 권장하고, ‘온라인 마음건강 자가진단’ 등 실시
 - 상호 존중의 민원문화 조성
  ▷ (민원실) 민원실 포스터, 배너 등을 통해 상호존중 필요성, 악성민원에 대한 경각심 고취 등 메시지* 확산
  ▷ (SNS 콘텐츠) 악성민원 대응 콘텐츠를 유튜브 등에 게시하여(우수 콘텐츠 인센티브 제공) 일반국민과 공감대 형성
 - 민원담당자 권익보호 조례 제정
  ▷ 민원담당자 권익보호를 위해 필요한 사항에 대한조례 제정ㆍ운영</t>
    </r>
  </si>
  <si>
    <t>1. 특이민원 예방‧차단 조치
  - 민원 통화, 면담 등 전체 녹음
  ▷ 민원 통화 전체 녹음
  ▷ 통화 연결음 보급 
  ▷ 방문 민원상담 내용 전체 녹음․녹화
  ▷ 전화‧구술은 기타 민원에 한해 가능
  - 민원 상담 종료 및 제한 조치
  ▷ 장시간‧반복‧폭언 민원 상담 시 종료
  ▷ 출입 제한‧퇴거 조치
  ▷ 전자민원창구를 통한 공무방해 행위 시 제한
 2. 안전한 민원환경 구축
  - 안전시설 확충 및 안전인력 확보
  ▷ (안전시설 확충) 민원인 면담 등을 위한 안전한 공간 운영
  ▷ (안전요원 등) 민원실 등에 안전요원 의무 배치
  - 비상대응체계 구축
  ▷ (비상대응체계 구축) 민원실‧주민센터 등은 폭언․폭행 등 상황 대비 직원별 역할을 부여한 비상대응팀(반) 구성․운영
  ▷ (경찰 협조체계 강화) 비상 상황 발생 시 즉시 경찰이 출동할 수 있도록 ‘지자체 민원실-경찰’ 연락망을 강화
 3. 민원담당자 근무여건 개선
  - 민원 대응역량 강화
  ▷ 인력 적정 배치
  ▷ 기관별 민원업무 처리절차 개선
  ▷ 민원 담당자 교육 강화
  - 민원담당자 처우 개선
  ▷ (인사‧보직 배려) 인사고충 상담을 정례화하고, 민원업무 순환 보직, 민원담당자 인사가점 부여, 희망보직 배려 등 인사 배려
  ▷ (휴식공간‧시간) 민원실(부서)과 분리된 장소에 휴식공간을 마련하고, 폭언‧폭행 등 피해 발생 시 담당자 분리 및휴게시간의무 부여
  ▷ (심리상담) 자체 심리상담센터*를 운영하거나 마음건강센터(인사혁신처) 활용을 권장하고, ‘온라인 마음건강 자가진단’ 등 실시
  - 상호 존중의 민원문화 조성
  ▷ (민원실) 민원실 포스터, 배너 등을 통해 상호존중 필요성, 악성민원에 대한 경각심 고취 등 메시지* 확산
  ▷ (SNS 콘텐츠) 악성민원 대응 콘텐츠를 유튜브 등에 게시하여(우수 콘텐츠 인센티브 제공) 일반국민과 공감대 형성
  - 민원담당자 권익보호 조례 제정
  ▷ 민원담당자 권익보호를 위해 필요한 사항에 대한조례 제정ㆍ운영</t>
  </si>
  <si>
    <t>19, 44</t>
  </si>
  <si>
    <t>[p.19]
 민원담당자 권익보호를 위해 필요한 사항에 대한 조례 제정ㆍ운영 &lt; 주요 내용 &gt;
 ▪(기관장의 책무) 민원담당자 보호를 위한 지원시책을 마련하여 적극 시행 ▪(지원사항) 민원인의 위법행위로 인한 신체적‧정신적 피해의 예방이나 치유에 대한 지원
 ※ 심리상담, 의료비, 휴식시간‧공간, 법적대응 지원, 교육‧연수, 업무조정, 전보 등 인사조치 ▪(안전한 근무환경 마련 등) 안전시설‧장비 등의 확충1), 근무여건 개선2) 방안 마련
 1) CCTV‧비상벨‧자동녹음 전화, 전담대응팀‧비상대응팀 구성‧운영, 투명가림막 (안전유리), 보호조치 음성안내, 안전요원, 휴대용 영상‧음성기록장비 등
 2) 민원실내 행정경험이 풍부한 직원의 적정 배치, 신규공무원 배치 시 사전교육 실시, 인사고충상담창구정례화,인사가점부여등인사우대,휴식공간마련,포상,교육연수
 ▪(위법행위에 대한 법적대응 등) 기관장은 민원인의 위법행위 등에 대해 법적조치가 필요한 경우 전담대응팀을 통해 법적 조치
 ※ 민원인의 폭언ㆍ폭행 등으로 고소ㆍ고발 또는 손해배상 청구 등이 발생한 경우 관할 수사기관 또는 법원에 증거물ㆍ증거서류 제출 등 필요한 지원
 ▪(올바른 민원문화 조성) 민원인의 상호존중 문화 조성 등을 위한 홍보방안 마련 ※ 포스터 등 홍보물 게시, 노조‧시민단체와의 협업을 통한 캠페인 실시 등
 ※ 【붙임2】의 「민원 처리 담당자 보호 및 지원에 관한 참고 자치법규(안)」을 참조하여 제정
 [p.44]
 제7조(안전한 근무환경 마련 및 근무여건 개선 등) ① 시도지사(시장‧군수‧구청장)는 민 원 처리 담당자가 안전한 근무환경에서 업무를 처리할 수 있도록 다음 각 호의 안 전시설·장비 등의 확충을 위한 방안을 마련하여야 한다.
 1. 폐쇄회로텔레비전(CCTV) 설치
 2. 비상벨 설치
 3. 전담대응팀 및 비상대응팀(반) 구성‧운영
 4. 녹음전화 설치
 5. 민원창구 투명 가림막(안전유리) 설치
 6. 민원 처리 담당자 보호 조치 ARS 음성안내(착신 전 폭언·폭행방지, 상호존중 문화 조성을 위한 안내멘트, 욕설‧협박‧성희롱 시 경고‧상담종료 멘트 송출)
 7. 민원인의 폭언․폭행 등의 사전예방 및 사후 입증자료 확보를 위한 휴대용 영상· 음성기록 장비
 8. 청원경찰·방호원 등 안전요원 배치
 9. 민원인의 방문목적 외 사무실 출입을 제한하는 차단시설(스피드게이트, 출입문 등)
 10. 그 밖에 민원 처리 담당자의 안전을 확보할 수 있는 시설‧장비 설치
 ② 시도지사(시장‧군수‧구청장)는 민원업무의 신속한 처리 및 민원 처리 담당자의 근 무여건 개선을 위해 다음 각 호의 내용을 시행하여야 한다.
 1. 민원실 등에 행정실무경험이 풍부한 직원의 적정 배치
 2. 신규공무원 배치 시 사전 직무교육 실시
 3. 인사고충 상담창구 정례화 
 - 41 -4. 인사가점 부여, 희망보직 배려 등 인사우대
 5. 민원 처리 담당자의 심신 안정을 위한 휴식공간 마련(휴게를 위한 필요집기 등 구비)
 6. 민원 처리 담당자를 위한 기관차원의 포상, 교육연수
 7. 그 밖에 민원 처리 담당자의 근무여건 개선을 위한 사항</t>
  </si>
  <si>
    <t>반복특이(악성) 민원 대응 매뉴얼 내용, 민원처리 담당자 보호지원 제도 및 서비스</t>
  </si>
  <si>
    <t>업무 관련 소송에 발생하게 되면 부산시에서 법률 지원을 받을 수 있는 방법 및 절차가 어떻게 되나요?</t>
  </si>
  <si>
    <t>업무 수행 중 소송이 제기되었을 때, 부산시 공무원이 받을 수 있는 법률 지원의 종류는 무엇이며, 해당 지원을 신청하기 위한 절차는 어떻게 되나요?</t>
  </si>
  <si>
    <t>부산시 소속 공무원이 업무 관련 소송에 직면했을 경우, 부산시에서 법률 지원을 받을 수 있는 방법과 절차는 적극행정 보호지침을 통해 지원받을 수 있습니다.
관련내용은 다음과 같습니다.
지원 신청 접수 및 안내: 공무원이 법률 지원을 신청하면, 부산시 적극행정위원회가 접수하고 안내합니다.
지원 여부 심의 및 의결: 적극행정위원회는 신청된 사건의 지원 여부를 심의하고 의결합니다.
지원 집행: 지원이 결정되면, 부산시는 공무원을 위한 변호인 또는 소송대리인 선임 비용을 지원합니다.
소송 관련 비용 지원: 징계의결, 고소·고발 및 민사상 책임 소송을 당한 경우, 부산시는 변호인 또는 소송대리인 선임 비용을 지원합니다. 징계의결 요구된 경우 200만 원 이하의 범위에서 지원하며, 고소·고발, 민사소송의 경우 "부산광역시 소송사무 처리 규칙"에 따라 지원합니다.
이러한 절차를 통해 부산시 소속 공무원은 업무 관련 소송에 직면했을 때 법률 지원을 받을 수 있으며, 이를 통해 공무원의 업무 수행이 보호되고, 적극적인 행정을 장려하는 환경을 조성할 수 있습니다.</t>
  </si>
  <si>
    <t>ㆍ82200_2023_부산광역시_규제혁신_적극행정_우수사례집.pdf (p.36)
https://busanai.busan.go.kr/download/82200_2023_부산광역시_규제혁신_적극행정_우수사례집.pdf</t>
  </si>
  <si>
    <t>관련 근거는 적극행정에 한해서만 해당되는것으로 관련 근거로 작성한 내용도 오류라고 판단됩니다.
관련 근거 : 부산광역시 소송사무 처리 규칙 제5장 직무관련사건
기대답변 : 
1. 직무관련사건과 관련된 업무를 주관하는 부서의 장(이하 “직무관련사건 부서장”이라 한다)은 소송대리인이나 변호인의 선임이 필요하다고 인정되는 경우에는 부산광역시시정조정위원회(이하 “시정조정위원회”라 한다)의 심의를 거쳐 해당 공무원(퇴직 또는 전출된 공무원을 포함한다. 이하 같다)에게 확약서를 받아 소송대리인 또는 변호인의 선임을 법무담당관에게 요청할 수 있습니다.
2. 해당 공무원이 법무담당관과 미리 협의한 경우에는 직접 소송대리인 또는 변호인을 선임할 수 있습니다.
3. 지원 범위 : 형사사건인 경우에는 수사단계까지(형사재판은 포함하지 아니한다), 민사소송의 경우에는 판결 확정시까지</t>
  </si>
  <si>
    <t>1. 직무관련사건과 관련된 업무를 주관하는 부서의 장(이하 “직무관련사건 부서장”이라 한다)은 소송대리인이나 변호인의 선임이 필요하다고 인정되는 경우에는 부산광역시시정조정위원회(이하 “시정조정위원회”라 한다)의 심의를 거쳐 해당 공무원(퇴직 또는 전출된 공무원을 포함한다. 이하 같다)에게 확약서를 받아 소송대리인 또는 변호인의 선임을 법무담당관에게 요청할 수 있습니다.
 2. 해당 공무원이 법무담당관과 미리 협의한 경우에는 직접 소송대리인 또는 변호인을 선임할 수 있습니다.
 3. 지원 범위 : 형사사건인 경우에는 수사단계까지(형사재판은 포함하지 아니한다), 민사소송의 경우에는 판결 확정시까지</t>
  </si>
  <si>
    <t>950_페이지95_문서10_163810_부산광역시_소송사무_처리_규칙.pdf</t>
  </si>
  <si>
    <t>4, 5</t>
  </si>
  <si>
    <t>[4p] 
 제5장 직무관련사건
 제24조(선임요청) ① 직무관련사건과 관련된 업무를 주관하는 부서의 장(이하 “직무관련사건 부서장”이라 한다)은 소송대리인이나
 변호인의 선임이 필요하다고 인정되는 경우에는 부산광역시시정조정위원회(이하 “시정조정위원회”라 한다)의 심의를 거쳐 해당 공
 무원(퇴직 또는 전출된 공무원을 포함한다. 이하 같다)에게 별지 제10호서식의 확약서를 받아 소송대리인 또는 변호인의 선임을 법
 무담당관에게 요청할 수 있다.&lt;개정 2017. 7. 12., 2020. 9. 2.&gt;
 ② 제1항에 따라 요청을 받은 법무담당관은 소송대리인 또는 변호인을 선임하여야 한다. 다만, 해당 공무원이 법무담당관과 미리 협
 의한 경우에는 직접 소송대리인 또는 변호인을 선임할 수 있다.&lt;개정 2020. 9. 2.&gt;
 ③ 제1항에 따른 시정조정위원회의 심의 또는 변호인 선임 지원을 받지 못한 경우라도 제26조에 규정된 비용회수 대상에 해당하
 지 않는 경우에는 직무관련사건 부서장은 시정조정위원회의 심의를 거쳐 소송비용 지급을 요청할 수 있다.&lt;신설 2020. 9. 2.&gt;
 ④ 제2항에 따라 선임된 소송대리인 또는 변호인에 대한 착수금 등 그 밖에 소송비용은 별표의 지급기준에 따라 회계별로 지급한
 다. 이 경우 시 차원의 대응이 필요한 사건에 지급할 지원금액은 별표의 지급기준 범위에서 시정조정위원회에서 결정한다.&lt;개정
 2020. 9. 2.&gt;
 제25조(지원범위) 직무관련사건의 지원 범위는 다음 각 호와 같다.
 1. 형사사건인 경우에는 수사단계까지(형사재판은 포함하지 아니한다)
 [5p]
 2. 민사소송의 경우에는 판결 확정시까지
 [본조신설 2017. 7. 12]
 제26조(비용회수) ① 직무관련사건 부서장은 민사소송의 경우에는 해당 공무원의 고의 또는 중대한 과실로 패소판결이, 형사사건
 의 경우에는 해당 공무원이 기소유예처분(공소시효 완성으로 인한 불기소처분을 포함한다)이나 유죄판결(공소시효 완성으로 인한
 면소판결을 포함한다)이 확정된 때에는 소송대리인 또는 변호인에게 지급된 소요비용을 해당 공무원으로부터 회수하여야 한다.&lt;개
 정 2017. 7. 12&gt;
 ② 제1항에도 불구하고 「지방공무원 적극행정 운영규정」 제2조제2호에 따른 적극행정으로 인한 직무관련사건으로 기소유예처분
 을 받은 경우 직무관련사건 부서장은 시정조정위원회의 심의를 거쳐 소송비용을 회수하지 아니할 수 있다.&lt;신설 2020. 9. 2.&gt;
 ③ 직무관련사건 부서장은 제1항에 따른 비용회수를 위하여 필요한 경우 제4조에 따라 법무담당관에게 제소등을 요청할 수 있다.&lt;
 개정 2017. 7. 12., 2020. 9. 2.&gt;
 제27조(형사재판에 대한 비용보전) 직무관련사건으로서 그 직무를 수행한 공무원의 무죄판결이 확정된 경우 직무관련사건 부서장
 은 시정조정위원회 심의를 거쳐 별표의 형사사건 지급기준 범위에서 재판에 소요된 변호인 선임비용을 법무담당관에게 요청할 수
 있다.&lt;개정 2020. 9. 2.&gt;
 [본조신설 2017. 7. 12.]
 제28조(비용반납) 제24조·제25조 또는 제27조에 따라 소송대리인 또는 변호인 비용을 지원 받은 공무원이 법원의 판결이나 결정으
 로 소송비용을 회수한 경우 지원 받은 비용을 직무관련사건 부서장에게 반납하여야 한다.&lt;개정 2020. 9. 2.&gt;
 [본조신설 2017. 7. 12.]
 부칙
 이 규칙은 공포한 날부터 시행한다.
 부칙&lt;2017. 7. 12&gt;
 제1조(시행일)이 규칙은 공포한 날부터 시행한다.
 제2조(소송비용 지급기준에 관한 적용례)별표의 개정규정 중 착수금은 이 규칙 시행 후 시가 제소, 피소되거나, 직무관련사건으로
 고소·고발, 항고, 기소된 사건부터 적용한다.
 부칙&lt;2020. 9. 2.&gt;
 제1조(시행일)이 규칙은 공포한 날부터 시행한다.
 제2조(소송비용 지급에 관한 적용례)이 규칙의 개정 규정은 이 규칙 시행 전 시가 제소한·피소된 소송사건과 소속 공무원이 고소·고
 발, 항고, 기소, 피소된 직무관련사건부터 적용한다. 다만, 종결된 사건은 제외한다.</t>
  </si>
  <si>
    <t>부산시 공무원 업무 관련 소송 시 법률 지원 제도 안내</t>
  </si>
  <si>
    <t>950_페이지95_문서10_163810_부산광역시 소송사무 처리 규칙
----- 
[5p] 비용 회수 규정
2. 민사소송의 경우에는 판결 확정시까지
[본조신설 2017. 7. 12]
제26조(비용회수) ① 직무관련사건 부서장은 민사소송의 경우에는 해당 공무원의 고의 또는 중대한 과실로 패소판결이, 형사사건
의 경우에는 해당 공무원이 기소유예처분(공소시효 완성으로 인한 불기소처분을 포함한다)이나 유죄판결(공소시효 완성으로 인한
면소판결을 포함한다)이 확정된 때에는 소송대리인 또는 변호인에게 지급된 소요비용을 해당 공무원으로부터 회수하여야 한다.&lt;개
정 2017. 7. 12&gt;
② 제1항에도 불구하고 「지방공무원 적극행정 운영규정」 제2조제2호에 따른 적극행정으로 인한 직무관련사건으로 기소유예처분
을 받은 경우 직무관련사건 부서장은 시정조정위원회의 심의를 거쳐 소송비용을 회수하지 아니할 수 있다.&lt;신설 2020. 9. 2.&gt;
③ 직무관련사건 부서장은 제1항에 따른 비용회수를 위하여 필요한 경우 제4조에 따라 법무담당관에게 제소등을 요청할 수 있다.&lt;
개정 2017. 7. 12., 2020. 9. 2.&gt;
제27조(형사재판에 대한 비용보전) 직무관련사건으로서 그 직무를 수행한 공무원의 무죄판결이 확정된 경우 직무관련사건 부서장
은 시정조정위원회 심의를 거쳐 별표의 형사사건 지급기준 범위에서 재판에 소요된 변호인 선임비용을 법무담당관에게 요청할 수
있다.&lt;개정 2020. 9. 2.&gt;
[본조신설 2017. 7. 12.]
제28조(비용반납) 제24조·제25조 또는 제27조에 따라 소송대리인 또는 변호인 비용을 지원 받은 공무원이 법원의 판결이나 결정으
로 소송비용을 회수한 경우 지원 받은 비용을 직무관련사건 부서장에게 반납하여야 한다.&lt;개정 2020. 9. 2.&gt;
[본조신설 2017. 7. 12.]
부칙
이 규칙은 공포한 날부터 시행한다.
부칙&lt;2017. 7. 12&gt;
제1조(시행일)이 규칙은 공포한 날부터 시행한다.
제2조(소송비용 지급기준에 관한 적용례)별표의 개정규정 중 착수금은 이 규칙 시행 후 시가 제소, 피소되거나, 직무관련사건으로
고소·고발, 항고, 기소된 사건부터 적용한다.
부칙&lt;2020. 9. 2.&gt;
제1조(시행일)이 규칙은 공포한 날부터 시행한다.
제2조(소송비용 지급에 관한 적용례)이 규칙의 개정 규정은 이 규칙 시행 전 시가 제소한·피소된 소송사건과 소속 공무원이 고소·고
발, 항고, 기소, 피소된 직무관련사건부터 적용한다. 다만, 종결된 사건은 제외한다.</t>
  </si>
  <si>
    <t>DRM 암호 초기화는 어떻게 하나요?</t>
  </si>
  <si>
    <t>DRM 시스템에서 암호를 분실하거나 로그인 오류가 반복될 때, 비밀번호 초기화를 요청하고 재설정하는 절차는 어떻게 되나요?</t>
  </si>
  <si>
    <t>부산광역시에서 DRM 암호 초기화 절차는 다음과 같습니다.
DRM 관리자 페이지 접속: DRM 관리자 페이지에 접속합니다.
암호 초기화 메뉴 선택: 암호 초기화 메뉴를 선택합니다.
암호 초기화 대상 선택: 암호 초기화할 대상 파일이나 문서를 선택합니다.
암호 초기화 실행: 암호 초기화를 실행합니다.
확인 및 완료: 암호 초기화가 완료되었는지 확인하고, 필요한 경우 추가적인 조치를 취합니다.
이 절차는 DRM 솔루션의 종류나 버전에 따라 다를 수 있으므로, 사용 중인 DRM 솔루션의 매뉴얼을 참고하는 것이 좋습니다.</t>
  </si>
  <si>
    <t>DRM의 경우 비번초기화라는 매뉴얼이 있으므로
해당 매뉴얼(1~4P) 참고해서 답변하시면 됩니다.
기대답변
DRM 해결방법
① 부서관리자 사이트 접속 부서관리자 권한 부여된 사용자만 가능
http://99.1.81.71:9080/fed5 접속후 , 사용자 ID / 비밀번호 입력(자료유출방지시스템 ID/ 비번)
② 상단메뉴 공통설정 조직관리 클릭
③ 로그인 후 좌측 부서 내 사용자를 선택한 후 우측 상단 수정 클릭
④ 아래의 화면에서 초기화비밀번호 a12345 를 입력한 후 우측 상단 확인  클릭하여 수정 
   ★ 비번 초기화 후 사용자는 비밀번호 변경하여 로그인</t>
  </si>
  <si>
    <t>① 부서관리자 사이트 접속(부서관리자 권한 부여된 사용자만 가능)
 http://99.1.81.71:9080/fed5 접속후, 사용자ID / 비밀번호 입력 (* 자료유출방지시스템 ID/비번)
 ② 상단메뉴 [공통설정&gt;조직관리] 클릭
 ③ 로그인 후 좌측 부서(①) 내 사용자 (②) 를 선택한 후 우측 상단 [수정] (③) 클릭
 ④ 아래의 화면에서 초기화비밀번호(a12345)를 입력한 후
 우측 상단 [확인] 클릭하여 수정 (★ 비번 초기화 후 사용자는 비밀번호 변경하여 로그인)</t>
  </si>
  <si>
    <t>시청사 직원차량 주차등록은 어떻게 하나요?</t>
  </si>
  <si>
    <t>시청사 직원 차량을 주차 등록하려면 어떤 절차와 승인 과정을 거쳐야 하나요?</t>
  </si>
  <si>
    <t>부산시청사 직원 차량 주차 등록 절차는 다음과 같습니다.
주차 신청서 작성: 주차 신청서를 작성하여 제출합니다.
신분증 제출: 주차 신청서와 함께 신분증을 제출합니다.
등록 완료: 제출한 서류와 신분증을 확인한 후 주차 등록이 완료됩니다.
주차 등록 절차는 시청사 내 주차 관리 부서에서 진행되며, 주차 신청서는 해당 부서에 비치되어 있습니다. 주차 등록 절차는 시청사 내 주차 관리 부서에서 진행되며, 주차 신청서는 해당 부서에 비치되어 있습니다. 주차 등록 절차는 시청사 내 주차 관리 부서에서 진행되며, 주차 신청서는 해당 부서에 비치되어 있습니다.</t>
  </si>
  <si>
    <t>자차로 관외출장 나갔을 시 여비 지급은 어떻게 하나요?</t>
  </si>
  <si>
    <t>자차를 이용해 관외출장을 수행한 경우, 여비 산정 기준과 지급 절차는 어떻게 되나요?</t>
  </si>
  <si>
    <t>자차로 관외 출장을 나간 경우, 부산시청 직원에게 지급되는 여비는 출장 후 출장보고서와 영수증을 사전결재를 득한 출장신청서와 함께 제출해야 하며, 출장건당 신청 교통비와 숙박비는 실비로 지급됩니다.</t>
  </si>
  <si>
    <t xml:space="preserve">ㆍ241_2025_인구정책담당관_업무매뉴얼_여성가족부_2025년_가족사업안내_1권.pdf (p.45)
https://busanai.busan.go.kr/download/241_2025_인구정책담당관_업무매뉴얼_여성가족부_2025년_가족사업안내_1권.pdf </t>
  </si>
  <si>
    <t>근거자료, 내용 오류입니다.
관련근거 문서는 미제출 된 2025 공무원보수 등의 업무지침(인사혁신처 예규 제192호) 의 604p ~ 605P 기준으로 작성했습니다.
기대답변 : 
1. 연료비 지급기준 : 여행거리(km) × 유가 ÷ 연비
 - 여행거리(km) : 출발지와 출장지간 거리, 다만, 경유지가 있는 경우 경유지를 포함하여 여행거리를 계산
※ 출발지와 출장지간 거리는 소속기관장이 기준을 정하여 운영하되, 한국도로공사(www.roadplus.co.kr)나 민간에서 제공하는 거리계산방법을 활용할 수 있습니다.
 - 유가 등 : 출장 시작일 기준 유가 등
※ 한국석유공사 유가정보서비스(www.opinet.co.kr)에 고시된 유가를 적용, 전기는 환경부 무공해차 통합 누리집 충전요금, 수소는 산업통상자원부 수소유통 정보시스템 등을 적용
 - 승용차 유종별 연비(전비) : 휘발유(11.97km/L), 경유(12.52km/L), LPG(8.83km/L), 하이브리드(15.37km/L), 플러그인하이브리드(10.61km/L, 2.84km/kwh), 전기(5.22km/kwh), 수소(94.9km/kg)
 - 다만, 출장자는 고속도로 통행영수증, 출장지에 소재한 주유소에서 결제한 신용카드매출전표, 주차영수증 등 자가용을 이용하여 출장을 이행한 사실을 확인할 수 있는 증거서류를 갖추어 제출해야 합니다.
2. 통행료 및 주차료 지급기준 : 해당 영수증을 제출하는 경우 영수증에 나타나는 금액
3. 자가용 동승자에게는 연료비 및 통행료, 주차료 등의 운임을 지급하지 않습니다.
4. 2인 이상의 공무원이 같은 목적으로 동행하여 출장하는 경우에는 1대의 차량을 이용하는 것을 원칙으로 합니다. 다만, 출장목적 수행상 불가피한 사유로 2대 이상의 차량을 이용한 경우에는 차량 이용에 대한 증거 서류를 각각 제출하여야 합니다.
예) 각 차량의 통행영수증, 출장지에 소재한 주유소에서 결제한 신용카드매출 전표 등</t>
  </si>
  <si>
    <t>1. 연료비 지급기준 : 여행거리(km) × 유가 ÷ 연비
  - 여행거리(km) : 출발지와 출장지간 거리, 다만, 경유지가 있는 경우 경유지를 포함하여 여행거리를 계산
 ※ 출발지와 출장지간 거리는 소속기관장이 기준을 정하여 운영하되, 한국도로공사(www.roadplus.co.kr)나 민간에서 제공하는 거리계산방법을 활용할 수 있습니다.
  - 유가 등 : 출장 시작일 기준 유가 등
 ※ 한국석유공사 유가정보서비스(www.opinet.co.kr)에 고시된 유가를 적용, 전기는 환경부 무공해차 통합 누리집 충전요금, 수소는 산업통상자원부 수소유통 정보시스템 등을 적용
  - 승용차 유종별 연비(전비) : 휘발유(11.97km/L), 경유(12.52km/L), LPG(8.83km/L), 하이브리드(15.37km/L), 플러그인하이브리드(10.61km/L, 2.84km/kwh), 전기(5.22km/kwh), 수소(94.9km/kg)
  - 다만, 출장자는 고속도로 통행영수증, 출장지에 소재한 주유소에서 결제한 신용카드매출전표, 주차영수증 등 자가용을 이용하여 출장을 이행한 사실을 확인할 수 있는 증거서류를 갖추어 제출해야 합니다.
 2. 통행료 및 주차료 지급기준 : 해당 영수증을 제출하는 경우 영수증에 나타나는 금액
 3. 자가용 동승자에게는 연료비 및 통행료, 주차료 등의 운임을 지급하지 않습니다.
 4. 2인 이상의 공무원이 같은 목적으로 동행하여 출장하는 경우에는 1대의 차량을 이용하는 것을 원칙으로 합니다. 다만, 출장목적 수행상 불가피한 사유로 2대 이상의 차량을 이용한 경우에는 차량 이용에 대한 증거 서류를 각각 제출하여야 합니다.
 예) 각 차량의 통행영수증, 출장지에 소재한 주유소에서 결제한 신용카드매출 전표 등</t>
  </si>
  <si>
    <t>1226_2025_공무원보수_등의_업무지침인사혁신처_예규_제192호.pdf</t>
  </si>
  <si>
    <t>604, 605</t>
  </si>
  <si>
    <t>[604p]
 나) 공무의 형편상 부득이한 사유로 자가용을 이용한 경우에는 철도 또는 버스운임
 대신에 다음 기준에 따라 연료비 및 통행료, 주차료 등을 지급할 수 있다.
 공무형편상 부득이한 사유
 ○ 산간오지, 도서벽지 등 대중교통수단이 없어 자가용을 이용할 수 밖에 없는 경우
 ○ 출장경로가 매우 복잡･다양하여 대중교통을 사실상 이용할 수 없는 경우
 ○ 공무목적상 부득이한 심야시간대 이동 또는 긴급한 사유가 있는 경우
 ○ 자가용을 이용함으로써 운임이 적게 소요되는 경우
 ○ 하중이 무거운 수하물을 운송해야 하는 경우
 ○ 대중교통을 이용하여 출장업무를 수행하는데 어려움이 있는 장애인공무원 등
 ※ 위와 유사한 사유로서 자가용을 이용할 수 밖에 없는 기타 부득이한 사유는 각 기관의 업무특성에
 따라 소속기관장이 정하여 운영
 (1) 연료비 지급기준 : 여행거리(km) × 유가 ÷ 연비
 (가) 여행거리(km) : 출발지와 출장지간 거리, 다만, 경유지가 있는 경우
 경유지를 포함하여 여행거리를 계산
 ※ 출발지와 출장지간 거리는 소속기관장이 기준을 정하여 운영하되, 한국도로공사
 (www.roadplus.co.kr)나 민간에서 제공하는 거리계산방법을 활용할 수 있다.
 (나) 유가 등 : 출장 시작일 기준 유가 등
 ※ 한국석유공사 유가정보서비스(www.opinet.co.kr)에 고시된 유가를 적용, 전기는
 환경부 무공해차 통합 누리집 충전요금, 수소는 산업통상자원부 수소유통
 정보시스템 등을 적용
 (다) 승용차 유종별 연비(전비)
 [605p]
 (라) 다만, 출장자는 고속도로 통행영수증, 출장지에 소재한 주유소에서 결제한
 신용카드매출전표, 주차영수증 등 자가용을 이용하여 출장을 이행한
 사실을 확인할 수 있는 증거서류를 갖추어 제출해야 한다.
 (2) 통행료 및 주차료 지급기준 : 해당 영수증을 제출하는 경우 영수증에 나타나는 금액
 ※ 다만, 소속기관장은 주차료가 과도하게 지급되지 않도록 상한액, 지급기준 등을
 별도로 정하여 운영할 수 있다.
 (3) 자가용 동승자에게는 연료비 및 통행료, 주차료 등의 운임을 지급하지 않는다.
 (4) 2인 이상의 공무원이 같은 목적으로 동행하여 출장하는 경우에는 1대의
 차량을 이용하는 것을 원칙으로 한다. 다만, 출장목적 수행상 불가피한
 사유로 2대 이상의 차량을 이용한 경우에는 차량 이용에 대한 증거
 서류를 각각 제출하여야 한다.
 예) 각 차량의 통행영수증, 출장지에 소재한 주유소에서 결제한 신용카드매출
 전표 등
 예 시
 ○ 공무형편상 부득이한 사유로 공무원 ｢갑｣과 ｢을｣이 ｢갑｣의 자가용 차량(휘발유
 차량)을 이용하여 정부서울청사 ↔ 정부대전청사간 출장(5.1～5.3)을 다녀온
 경우의 운임은?
 → ｢정부서울청사 ↔ 정부대전청사간 여행거리 × 5월1일 기준 보통휘발유 유가
 (opinet.co.kr) ÷ 연비(11.97)｣에 따라 산출된 연료비와 고속도로통행료
 영수증에 따른 통행료를 ｢갑｣에게만 지급
 마. 운임지급의 제한(영 제15조)
 공무용의 ‘차량･선박 또는 항공기’ 등을 이용하여 여행하는 경우에는 운임을
 지급하지 아니한다. 단, 주차비, 고속도로 통행료, 항만 이용료, 공항 이용료 등은
 지급한다.</t>
  </si>
  <si>
    <t>자차 관외 출장 시 여비지급 안내</t>
  </si>
  <si>
    <t>휴직 신청 절차 및 행정처리 방법은?</t>
  </si>
  <si>
    <t>지방공무원이 휴직을 신청할 때 휴직 종류별로 신청 절차와 필요 서류, 처리 기간, 유의사항 등 행정 처리 방법에 대해 알려주세요</t>
  </si>
  <si>
    <t>부산시청에서 휴직 신청 절차와 행정 처리 방법은 다음과 같습니다.
휴직 신청 절차
휴직 신청서 작성: 휴직의 종류(육아휴직, 질병휴직 등)에 따라 적절한 서식을 선택하여 작성합니다.
관련 서류 준비: 휴직의 종류에 따라 필요한 서류(진단서, 가족관계증명서 등)를 준비합니다.
신청서 제출: 작성한 휴직 신청서와 관련 서류를 부산시청 인사 담당 부서에 제출합니다.
심사 및 승인: 인사 담당 부서에서 신청서를 검토하고, 필요 시 추가 서류를 요청할 수 있습니다. 최종적으로 휴직 승인 여부를 결정합니다.
행정 처리 방법
승인 통보: 휴직이 승인되면, 부산시청 인사 담당 부서에서 신청자에게 승인 여부를 통보합니다.
휴직 등록: 승인된 휴직은 부산시청 인사 시스템에 등록됩니다.
급여 처리: 휴직 기간 동안 급여는 관련 규정에 따라 처리됩니다.
복직 절차: 휴직 기간이 종료되면, 복직 신청서를 제출하고 복직 심사를 거쳐 다시 근무를 시작합니다.
각 단계에서 필요한 서류나 절차는 부산시청의 내부 규정에 따라 다를 수 있으므로, 구체적인 사항은 부산시청 인사 담당 부서에 문의하여 확인하는 것이 좋습니다.</t>
  </si>
  <si>
    <t>관련 내용에 대한 근거문서가 없습니다.
기대답변 : 
OO에 대한 관련 문서가 없습니다.
자세한 사항은 관련 부서나 업무 담당자에게 문의하시기 바랍니다.</t>
  </si>
  <si>
    <t>지방공무원 인사제도 운영지침에 관련 내용이 있습니다.
 1. 질병휴직(제70조)
 - 증빙: 진단서 또는 사유 증빙자료
 - 기간: 최초 1년, 부득이한 경우 1년 연장 가능
 - 복직: 정상근무 가능 진단서 필수 제출
 - 유의점 : 기존 휴직 종료 후 일정 기간 정상근무 필요 → 이후 새 질병휴직 가능
 2. 공무상 질병휴직(제71조)
 - 승인 필수 요건 : 공무상 요양승인 또는 산업재해보험 요양급여 결정 등 법정 승인 필요
 - 기간 : 기본 3년 + 전문가 의견 기반 최대 2년 연장
 - 전문가 의견 청취 : 휴직 필요성, 복직 가능성, 법62조 제1항제2호(면직 사유 여부), 기간 적절성
 - 특례(경과조치) : 2021.12.9. 이전 휴직자 → 종전 규정 적용 가능
 공무상 연장 불가 시 : 정상근무 가능 여부 판단 후 일반 질병휴직으로 전환(최대 2년 범위)
 3. 고용휴직(제72조)
 - 대상기관: 국제기구, 외국기관, 대학, 연구기관, 타 국가기관
 - 요건 : 국가적 사업, 강의·연구, 조직발전 기여 가능성 등, 단순 행정업무 수행 목적은 불가
 - 행정처리 : 기관 요청서 확인 → 목적 적정성 검토 후 승인
 4. 민간근무휴직(제73조)
 - 요건 : 만 50세 이하, 재직 3년 이상(휴직·징계기간 제외), 원칙: 4~6급(특수 사유 시 7급 가능)
 - 행정처리 : 민간기관 요청 여부 및 대상자 적정성 검토 후 승인
 5. 유학휴직(제74조)
 - 요건 : 외국 정규 교육기관(대학/대학원)에서 학위 또는 어학연수
 - 관리 : 학기별 등록금·성적증명서 제출 의무
 - 기간 : 실제 학업 기간 + 앞뒤 1주(필요 시)
 6. 연수휴직(제75조)
 - 대상기관 : 전문대·교육대·대학 및 연구소, 과기원, KOICA, 기타 지정기관
 - 행정처리 : 기관 적격성 확인 후 승인
 7. 육아휴직(제76조)
 - 대상 자녀 판단 : 이혼(양육권 가진 자녀), 재혼(배우자가 양육권 가진 자녀 포함)
 - 부부 공무원 : 1자녀에 대해 각각 사용 가능
 - 행정처리 : 인사기록카드에 대상 자녀 명기
 8. 가족돌봄휴직(제77조)
 - 대상 : 양부모·양자녀 포함, 이혼·재혼 가정의 양육권 여부 반영
 - 기간 : 재직기간 중 총 3년 한도
 - 행정처리 : 가족관계·돌봄 필요성 증빙 검토
 9. 자기개발휴직(제78조)
 - 신청 : 자기개발계획서(연구 목적·방법·일정 포함) 제출
 - 심의위원회 운영 필수 : 3인 이상, 상위 계급으로 구성, 연구 주제·기간 적절성, 인력운영 상황 심의
 - 휴직 중 관리 : 분기별 복무보고서 제출
 - 복직 : 복직 후 30일 이내 결과보고서 제출
 - 즉시 복귀 명령 사유 : 목적 달성 또는 달성 불가 판정, 목적 외 활동 적발</t>
  </si>
  <si>
    <t>22, 23, 24, 25</t>
  </si>
  <si>
    <t>제9장 신분 및 권익보장
  제70조(질병휴직) ① 질병휴직은 신체ㆍ정신상의 장애, 불임 또는 난임 치료가 필요한 경우 가능하며, 진단서 또는 휴직 사유를 증빙할 수 있는 자료를 통해 휴직여부를 판단한다. 
 ② 휴직기간은 1년 이내로 하되, 부득이한 경우 1년의 범위 내에서 연장할 수 있다. 다만, 휴직기간이 만료되어 복직 후 상당기간 정상적으로 근무한 후에 새로운 질병휴직을 부여할 수 있다. 
 ③ 임용권자는 질병휴직 중에 있는 공무원이 휴직기간이 만료되어 복귀할 때에는 정상적인 근무가 가능하다는 진단서 또는 복직 사유를 증빙할 수 있는 자료를 제출하도록 하여, 정상적인 근무 가능 여부를 판단 후에 복직을 명할 수 있다. 
  제71조(공무상 질병휴직) ① 법 제64조제1호 각 목과 임용령 제38조의18에 따른 공무상 질병휴직 기간은 3년이며, 의학적 소견 등을 고려하여 2년 연장이 가능하다. 
 ② 공무상 질병휴직은 「공무원 재해보상법 시행령」 제28조에 따른 공무상 요양승인 또는 같은 영 제32조에 따른 재요양 승인과 「산업재해보상보험법」 제40조에 따른 요양급여 결정 또는 같은 법 제51조에 따른 재요양 결정을 받은 경우에만 승인할 수 있다. 
 ③ 휴직기간 연장 또한 공무상 요양승인(또는 재요양승인) 또는 요양급여결정(또는 재요양결정)을 받은 경우에만 가능하며, 요양승인 종료 등으로 공무상 질병휴직 연장이 불가한 경우 정상적인 근무 가능 여부를 판단하여 일반 질병휴직 부여(최대 2년의 범위 내에서 공무상 휴직기간을 제외한 기간으로 한정한다)가 가능하다. 다만, 이 경우 임용령(대통령령 제32172호, 2021. 11. 30.) 개정 규정 부칙 제6조(공무상 질병휴직에 관한 경과조치)에 따라 시행일(2021. 12. 9.) 현재 공무상 질병휴직 중에 있는 공무원이 같은 사유로 질병 또는 부상이 계속되는 경우에는 임용령 제38조의18제5항의 개정 규정에도 불구하고 종전의 임용령 제38조의18제2항 단서에 따라 승인 또는 결정받은 공무상 요양기간이나 요양 지급기간이 끝난 후에도 공무상 질병휴직을 명하거나 그 휴직기간을 새로 연장할 수 있다. 
 ④ 임용권자는 소속 공무원에 대한 공무상 질병휴직 여부를 결정하려는 때에는 임용령 제38조의18제2항 및 제3항에 따라 아래 각 호의 사항에 대하여 전문가의 의견을 들을 수 있다. 다만, 휴직기간 3년 초과 후 연장 여부를 결정하려는 때에는 반드시 전문가의 의견을 들어야 한다. 
 1. 휴직을 명해야 할 필요성 
 2. 휴직자의 복직 후 정상적인 근무 가능 여부 
 3. 휴직기간이 끝난 공무원이 법 제62조제1항제2호 적용 대상인지 여부 
 4. 휴직기간의 적절성 여부 
  제72조(고용휴직) ① 법 제63조제2항제1호에 따른 연구기관 등 고용휴직 대상기관은 다음 각 호와 같다. 
 1. 국제기구 : 복수의 국가가 집합하여 구성하는 국제법상 독자적 지위를 가지는 조직체 
 2. 외국기관 : 중앙과 지방을 포함한 외국 정부 및 공공단체. 단, 민간기관은 제외 
 3. 대학 : 「고등교육법」 제2조에 따른 대학, 산업대학, 교육대학, 전문대학, 기술대학, 원격대학(방송대학ㆍ통신대학ㆍ방송통신대학 및 사이버대학) 및 각종학교. 단, 국외 대학은 국내 대학에 준하는 학교로 함 
 4. 연구기관 : 법령에 설립근거를 두고, 연구를 목적으로 설립된 기관. 단, 국외 연구기관은 외국 정부에서 직접 관리보조하는 공공성 있는 연구기관으로 함 
 5. 다른 국가기관 : 국회, 대법원, 헌법재판소, 중앙선거관리위원회 등 행정부 및 지방자치단체 이외의 기관 
 ② 고용휴직 요건은 다음 각 호와 같다. 
 1. 국제기구ㆍ외국기관 및 다른 국가기관 : 국가적 사업추진이나 공동의 업무 수행 등을 위해 필요한 경우 
 2. 대학 및 연구기관 : 고용기관의 요청 등에 따라 강의 및 연구ㆍ학술활동 등을 위해 휴직하는 경우. 단, 예산ㆍ기획ㆍ감사ㆍ인사 등 일반 지원부서 근무는 허용하지 아니한다. 
 3. 기타 임용권자가 조직발전에의 기여가능성 등을 고려하여 필요하다고 인정하는 경우 
  제73조(민간근무휴직) 법 제63조제2항제1호, 임용령 제38조의6부터 38조의13에 따른 민간근무휴직은 다음 각 호의 요건을 갖춘 경우에 승인할 수 있다. 
 1. 기본계획 공고일 기준으로 50세 이하(연령 계산시에는 당해 연령을 1세 초과한 자로서, 1월 1일 출생자는 포함) 
 2. 재직기간이 3년 이상(휴직, 직위해제, 징계처분, 징계처분에 따른 승진임용제한기간, 시보임용 기간은 포함하지 않음) 
 3. 일반직 4급∼6급(이에 상당하는 연구지도직을 포함하되, 임기제공무원은 제외)인 자로 하되, 민간기업 등의 요청이 있거나 지방자치단체의 특수성 등 불가피한 사유가 있는 경우 7급 공무원(연구사지도사 포함)도 휴직 허용이 가능 
  제74조(유학휴직의 요건) ① 법 제63조제2항제2호에 따른 유학휴직은 외국의 정규 교육기관(대학 및 대학원)에서 학위취득 또는 어학연수를 하는 경우에 승인된다. 
 ② 임용권자는 유학휴직 공무원에 대해 국외훈련 파견에 준하여 학기별로 등록금 납입여부 확인 및 성적증명서 제출 요구 등 특별관리하여야 한다. 
 ③ 임용권자가 유학 휴직을 승인하는 기간은 실제 학업에 소요되는 기간으로 하되, 1년 이상의 유학 기간에 대해서는 준비 및 정리기간이 필요하다고 인정되는 경우 유학 시작일과 종료일의 앞뒤로 각각 1주 범위 내의 기간을 휴직기간에 포함시킬 수 있다. 
  제75조(연수휴직 대상기관) 법 제63조제2항3호의 따른 연수휴직의 대상 기관은 다음 각 호와 같다. 
 1. 「고등교육법」에 따라 설치된 전문대학ㆍ교육대학ㆍ대학(대학원을 포함하되, 방송통신대학 및 사이버대학은 제외) 및 동 부설연구소 
 2. 한국과학기술원 
 3. 광주과학기술원 
 4. 사법연수원 
 5. 한국국제협력단(한국국제협력단법에 따라 해외봉사단으로 선발된 경우) 
 6. 기타 위의 기관에 상당하는 민간기업체 및 단체로서 임용권자가 개별적으로 지정하는 기관 
  제76조(육아휴직 대상 자녀의 범위) ① 법 제63조제2항제4호에 따른 육아휴직 대상 ‘자녀’의 범위는 이혼한 공무원의 경우, ‘양육권을 가진 자녀’에 한하고, 재혼한 공무원의 경우, ‘배우자에게 양육권이 있는 자녀’를 포함한다. 
 ② 부부공무원의 경우, 자녀 1인에 대해 각각 휴직을 사용할 수 있다. 
 ③ 임용권자는 인사기록카드에 육아휴직 기재시 대상 자녀(태아 포함)를 명기한다. 
  제77조(가족돌봄휴직의 대상 및 기간) ① 돌봄대상자의 범위에는 양부모ㆍ양자녀, 본인 또는 배우자의 부모가 재혼한 경우, 부 또는 모의 배우자를 포함(가족관계등록부에 등재된 경우)하며, 이혼한 공무원의 경우, ‘양육권을 가진 자녀’에 한하고, 재혼한 공무원의 경우, ‘배우자에게 양육권이 있는 자녀’를 포함한다 
 ② 공무원으로서 총 재직기간 중 3년을 초과할 수 없다. 
  제78조(자기개발휴직) ① 휴직이 가능한 사유는 다음 각 호와 같다. 
 1. 소속 기관의 직무와 관련된 연구과제 또는 자기개발을 위한 연구과제를 수행하는 경우(임용권자가 기관 차원에서 필요한 연구주제를 미리 선정하여 대상자를 선정하는 경우 포함). 단 연구과제 수행과 관련하여 직접적인 금전적 대가가 수반되거나 특정 기관에 임용되는 경우는 제외(고용휴직 활용) 
 2. 국내외 교육기관 등에서 교육과정을 수강하는 경우. 단, 학위를 취득할 목적으로 수강하는 경우는 제외 
 3. 자격증 취득 등을 위한 개인주도학습(다양한 주제의 연구과제 수행, 학위과정 후 논문 작업 등 개인이 희망하는 분야에 대한 연구ㆍ학습)을 하거나 교육과정을 수강하는 경우 
 ② 자기개발휴직의 처리 절차는 다음 각 호에 따른다. 
 1. 자기개발휴직을 신청하려는 자는 [별지 제6호서식(자기개발휴직 신청서)]에 따라 자기개발계획을 작성하여 임용권자에게 제출(연구목적, 내용, 방법, 일정 등 포함)해야 한다. 분기별로 신청함을 원칙으로 하되, 필요한 경우 임용권자가 따로 시기를 정하여 운영할 수 있으며 기관 차원에서 필요한 연구주제를 미리 선정하여 공모할 수 있다. 
 2. 임용권자는 자기개발휴직심의위원회(이하 "위원회")를 통해 위 신청을 심의하며, 위원회는 휴직 신청자가 제출한 자기개발계획의 충실성(연구ㆍ학습 주제, 목적, 방법 및 기간의 적절성 등), 그간의 직무수행내역 및 기관의 인력운영상황 등을 심의하여 휴직여부와 기간을 결정하고 [별지 제7호서식(자기개발휴직 심의위원회 의결서)]에 따라 승인 여부가 나타나도록 의결서를 작성하여야 한다. 
 3. 위원회는 휴직 신청자보다 상위 계급에 속하는 공무원 중 위원장을 포함하여 3인 이상으로 구성하고 위원장은 임용권자가 지정한다. 
 4. 휴직 중인 공무원은 매 분기별로 복무상황에 대한 보고를 하여야 하며, 복직한 공무원은 복직일로부터 30일 이내에 연구ㆍ학습결과에 대한 휴직결과 보고서를 작성하여 제출하여야 한다. 
 ③ 임용권자는 자기개발계획서 상에 기재된 휴직 목적이 달성되거나 휴직기간 내 휴직 목적 달성이 현저히 어렵다고 판단하는 경우 및 휴직 목적 외 활동을 하는 경우 지체 없이 복귀를 명하여야 한다.</t>
  </si>
  <si>
    <t>휴직 신청 절차, 휴직 신청 행정처리 방법 안내</t>
  </si>
  <si>
    <t>올해 달라진 보수제도는 어떤게 있나요?</t>
  </si>
  <si>
    <t>작년과 비교해서 올해 달라진 지방공무원 보수제도(수당, 지급 기준, 근거 규정 등)에 대해 알려주세요</t>
  </si>
  <si>
    <t xml:space="preserve">2024년도 부산시청에서 변경된 보수제도는 다음과 같습니다.
1. 기본급 인상: 공무원의 기본급이 인상되었습니다.
2. 성과급 제도 개선: 성과급 지급 기준이 변경되어 성과에 따른 보상 체계가 강화되었습니다.
3. 복지포인트 확대: 공무원의 복지포인트가 확대되어 다양한 복지 혜택을 받을 수 있게 되었습니다.
4. 휴가제도 개선: 연차휴가 사용 촉진 및 유연근무제 도입 등 휴가제도 개선이 이루어졌습니다.
이러한 변경된 보수제도는 공무원의 업무 효율성을 높이고, 생활 안정을 도모하기 위한 것입니다. </t>
  </si>
  <si>
    <t>관련 내용에 대한 근거문서가 없습니다.
25년 보수 자료는 있는데 24년도 보수 자료가 없습니다. 
그리고 25년 보수 자료에 작년과 달라진 점 등으로 정리되어 있는 내용이 없어서
24년도 보수자료가 제공되면 500P 정도 되는 파일 2개를 비교해서 해당 내용을 도출해야 할것으로 보이는데 가능할지 잘 모르겠습니다.
기대답변 : 
OO에 대한 관련 문서가 없습니다.
자세한 사항은 관련 부서나 업무 담당자에게 문의하시기 바랍니다.</t>
  </si>
  <si>
    <t>위탁교육 관련 복무사항은 어떻게 처리하나요?</t>
  </si>
  <si>
    <t>지방공무원이 위탁교육에 참여할 경우, 출석, 근무시간 인정, 휴가 처리 등 복무사항은 처리해야 하나요?</t>
  </si>
  <si>
    <t>부산시청에서 위탁교육을 받는 경우, 관련 복무사항은 다음과 같이 처리됩니다.
관련 법령은 지방공무원 복무규정 제24조(위탁교육)입니다.
관련 법령에 따르면, 위탁교육의 경우 교육기간 동안은 정상 근무로 간주됩니다. 즉, 교육 기간 동안에도 급여는 정상적으로 지급되며, 근무일수에 포함됩니다. 또한, 교육 기간 동안의 복무는 교육기관이 정한 규정에 따르게 됩니다. 따라서, 교육기관의 규정과 부산시청의 복무규정을 모두 준수해야 합니다.</t>
  </si>
  <si>
    <t>ㆍ264_2401_인사과_법령_행정안전부_지방공무원_인사관계_법령집.pdf (p.397)
https://busanai.busan.go.kr/download/264_2401_인사과_법령_행정안전부_지방공무원_인사관계_법령집.pdf</t>
  </si>
  <si>
    <t xml:space="preserve">부산시청에서 위탁교육을 받는다기 보다는
부산시청에서 인재개발원이나 다른 교육 기관에 교육 업무를 위탁을 줍니다. 해당 교육에 참석했을때의 복무사항에 대해 문의를 하는것으로 보입니다.
관련 자료는 인사과 자료인데 미제출 자료입니다
(관내)교육파견신청 매뉴얼.pdf에 내용이 나와있는데 전체 이미지파일입니다.
이미지 파일만 있는 파일은 해당 파일 링크만 제공하는 쪽으로
했으면 하는데 가능할지 확인 부탁드립니다.
기대답변 : 
위탁교육 관련 복무사항 처리 방법은 아래 링크에서 확인 바랍니다. 
자세한 사항에 대한 문의는 관련 부서나 업무 담당자에게 확인 바랍니다.
</t>
  </si>
  <si>
    <t>미답변 처리
 문서상에서 확인 불가하므로 미답변 처리</t>
  </si>
  <si>
    <r>
      <rPr>
        <rFont val="맑은 고딕"/>
        <b/>
        <color theme="1"/>
        <sz val="11.0"/>
      </rPr>
      <t>1220_관내교육파견신청_매뉴얼.pdf</t>
    </r>
    <r>
      <rPr>
        <rFont val="맑은 고딕"/>
        <color theme="1"/>
        <sz val="11.0"/>
      </rPr>
      <t xml:space="preserve">
-----
</t>
    </r>
    <r>
      <rPr>
        <rFont val="맑은 고딕"/>
        <color rgb="FFFF0000"/>
        <sz val="11.0"/>
      </rPr>
      <t>[위탁교육관련 복무사항을 찾을 수 없으며 대부분 이미지로 되어 있어 문서 인식이 불가한 상황임]</t>
    </r>
  </si>
  <si>
    <t>비전자기록물 편철·정리 방법은?</t>
  </si>
  <si>
    <t>비전자기록물의 편철 기준, 정리 절차, 편철 시 유의해야 할 사항은 무엇인가요?</t>
  </si>
  <si>
    <t>부산시청에서 비전자기록물 편철 및 정리 방법은 다음과 같습니다.
분류 기준 설정: 기록물의 종류, 주제, 보존 기간 등을 고려하여 분류 기준을 설정합니다.
편철 방법 결정: 분류 기준에 따라 기록물을 편철할 방법을 결정합니다. 예를 들어, 주제별, 연도별, 부서별 등으로 편철할 수 있습니다.
정리 및 편철: 설정된 기준에 따라 기록물을 정리하고 편철합니다. 이때, 기록물의 내용을 명확하게 파악하고, 관련 정보를 함께 기록해두는 것이 중요합니다.
보존 상태 점검: 편철된 기록물의 보존 상태를 정기적으로 점검하고, 필요한 경우 보존 조치를 취합니다.
접근 및 활용: 필요한 경우, 기록물을 쉽게 접근하고 활용할 수 있도록 관리합니다.
이러한 과정을 통해 비전자기록물을 체계적으로 관리하고, 필요한 정보를 효율적으로 활용할 수 있습니다.</t>
  </si>
  <si>
    <t>관련근거 : 통합민원과 비전자기록물 편철 정리 요령
기대답변 : 
비전자기록물의 편철·정리 방법은 다음과 같습니다.
1. 정리 단계
 - 사안이 종결된 문서를 월순(1월→12월)으로 정리
 - 원본만 보관하고, 전자문서 출력본·사본은 제거
 - 철침·클립 등 금속류 제거
2. 편철 단계
 - 순서: 기록물철 표지 → 색인목록 → 문서(사안순)
 - 100매 이내 편철 원칙(많을 경우 건 단위로 분철)
 - 분철 시 권호수(예: 2-1, 2-2) 표기
3. 면표시
 - 기록물 건별은 중앙 하단, 철별은 우측 하단에 표기
 - 양면·접힌 문서·첨부 봉투 등도 모두 면 표시
 - 표지, 색인목록, 전자문서 출력본 등은 면 표시 제외
4. 표지·색인목록 작성
 - 기록물철 표지: 과제명, 연도, 부서, 보존기간, 권호수 기재
 - 색인목록: 비전자기록물 엑셀 다운로드 후 쪽수·비고 추가 작성
 - 분철 시 색인목록은 첫 번째 권에만 편철
5. 보존용 표지 및 상자 편성
 - 보존용 표지로 덮고 집게로 고정
 - 생산연도·보존기간·부서·기록물철명 기준으로 상자 편성
 - 상자번호 및 권호수 명확히 표기</t>
  </si>
  <si>
    <t>비전자기록물의 편철·정리 방법은 다음과 같습니다.
 1. 정리 단계
  - 사안이 종결된 문서를 월순(1월→12월)으로 정리
  - 원본만 보관하고, 전자문서 출력본·사본은 제거
  - 철침·클립 등 금속류 제거
 2. 편철 단계
  - 순서: 기록물철 표지 → 색인목록 → 문서(사안순)
  - 100매 이내 편철 원칙(많을 경우 건 단위로 분철)
  - 분철 시 권호수(예: 2-1, 2-2) 표기
 3. 면표시
  - 기록물 건별은 중앙 하단, 철별은 우측 하단에 표기
  - 양면·접힌 문서·첨부 봉투 등도 모두 면 표시
  - 표지, 색인목록, 전자문서 출력본 등은 면 표시 제외
 4. 표지·색인목록 작성
  - 기록물철 표지: 과제명, 연도, 부서, 보존기간, 권호수 기재
  - 색인목록: 비전자기록물 엑셀 다운로드 후 쪽수·비고 추가 작성
  - 분철 시 색인목록은 첫 번째 권에만 편철
 5. 보존용 표지 및 상자 편성
  - 보존용 표지로 덮고 집게로 고정
  - 생산연도·보존기간·부서·기록물철명 기준으로 상자 편성
  - 상자번호 및 권호수 명확히 표기</t>
  </si>
  <si>
    <t>423_2012_통합민원과_업무메뉴얼_통합민원과_비전자기록물_편철정리_요령.pdf</t>
  </si>
  <si>
    <t>[1p]
 비전자기록물 편철․정리 요령
 � 기록물 정리
 ○ 사안이 종결된 문서는 진행문서파일에서 꺼내어 사안발생순서(1월→12월)에
 따라 위에서 아래로 정리
 ○ 기록물 정리 대상은 원본기록물이며, 전자문서 출력본 및 참고용 사본은 제거○ 예외 : 분리등록한 비전자 문서의 전자문서 출력본은 함께 편철ㆍ관리하며
 반드시 전자문서임을 표시
 ○ 부득이 전자문서 출력본 등 사본을 함께 관리해야 하는 경우, 전자문서 또는
 사본임을 표시
 ○ 책철침, 클립, 철침 등 철제품류는 모두 제거
 � 기록물의 편철
 ○ 기록물철 표지 → 색인목록 → 문서(사안발생순)의 순으로 편철
 ○ 편철 후 보존용표지 씌워 집게로 고정
 ○ 기록물 편철량은 100매 이내를 원칙으로 하되, 편철량이 과다한 경우에는 2권이상으로 분철(분철 기준 ➡ 건 단위) ▶ 분철의 기준은 기록물건이며, 1건의 기록물은 편철량이 많더라도 분철 불가 ▶ 편철용 집게로 고정 가능한 경우, 100매 초과하여 편철 가능(분철 최소화)
 ○ 분철된 기록물은 기록물철 표지 및 보존상자 표지에 권호수(전체 권수 - 해당 기록물 호수) 반드시 기재
  [예] 기록물 이관 및 검수(2-1), 기록물 이관 및 검수(2-2)
 � 면 표시
 ○ 기록물 면표시 위치
  ▪ 기록물 건별 면표시 : 중앙 하단, 전체 쪽수 - 해당 쪽수
  ▪ 기록물 철별 면표시 : 우측 하단(기록물을 보는 방향의 우측 하단) [예] 세로 문서 [예] 가로 문서
  철 면표시 기재 철 면표시 기재1 3-1 1
 3-1
  ※ 철ㆍ건 면표시 모두 기재 원칙이나 택일하여 한 가지만 정확히 기재
 [2p]
 ○ 면 표시 방법
  ▪ 접혀있는 문서는 펼친 상태에서 면 표시
  ▪ 분철된 경우, 전권 마지막 면수에 이어서 면 표시
  [예] 두 권으로 분철된 경우, 첫 번째 권의 쪽수가 110으로 끝나면 두 번째
 권은 111부터 시작
  ▪ 양면에 내용 있는 경우, 양면 모두 면 표시
  ▪ 백지에 간인 찍힌 경우, 모두 면 표시
  ▪ 회계서류의 영수증 등 계단식으로 붙어 있는 경우, 각각 면 표시
  ▪ 사본 또는 전자문서 출력본에 원본대조필 날인한 경우, 면 표시
  ▪ 첨부된 봉투 면 표시
 ○ 면 표시 제외
  ▪ 기록물철 표지 및 색인목록(면 표시는 문서 본문부터)
  ▪ 분리등록한 비전자와 함께 편철된 전자문서 출력본
  - 전자문서 출력본은 함께 편철하되 면 표시는 하지 않고 전자문서표시 ▪ 책자의 표지
  - 책자의 표지는 간지와 중복이므로 표지에는 면 표시 미기재
  - 책자 표지와 중복되는 간지 없는 경우 표지에 기재
  ▪ 대장류의 빈 서식(서식만 있고 내용 없는 경우 면 표시 제외)
 � 기록물철 표지 및 색인목록 작성
 ○ 기록물철 표지 출력방법
  ▪ 과제관리 → 나의과제(또는 부서과제 &gt; 단위과제) → 해당 카드명 클릭
 → 기록물철 표지 클릭 → 기록물철 인쇄(또는 저장 후 인쇄)
 ○ 기록물철 표지 기재사항
  ▪ 기록물철명(→ 과제카드명), 생산연도 및 종료연도, 부서명
  ▪ 기록물철 표지 출력 후 오른쪽 여백에 연필로 보존기간 기재
  ▪ 분철된 경우, 기록물철 표지 출력 후 기록물철명 옆에 괄호하고 연필로 권호수기재○ 색인목록 작성방법
  ▪ 온나라 → 과제관리 → 부서과제 → 단위과제 → 해당 카드명 클릭 → 실적관리 → 비전자기록물 엑셀다운로드 아이콘( )클릭 → 연도선택 → 다운로드 →
 쪽수 및 비고란 추가 작성
 ○ 분철된 경우, 색인목록은 첫 번째 권에만 편철</t>
  </si>
  <si>
    <t>비전자기록물 편철.정리 방법 안내</t>
  </si>
  <si>
    <t>차량배차 협조 요청 절차 및 처리 방법은?</t>
  </si>
  <si>
    <t>차량 배차를 요청할 때 필요한 절차와 신청 방법은 무엇인가요?</t>
  </si>
  <si>
    <t xml:space="preserve">질문하신 내용에 대해서는 참고할 만한 자료를 찾지 못했습니다. 관련 부서나 업무 담당자에게 문의해 주시기 바랍니다. </t>
  </si>
  <si>
    <t>해당 질문에 대한 근거문서가 없습니다.
기대답변 : 
OO에 대한 관련 문서가 없습니다.
자세한 사항은 관련 부서나 업무 담당자에게 문의하시기 바랍니다.</t>
  </si>
  <si>
    <t>공용차랑 신청방법 안내, 공용 차량 신청 및 배차 방법 안내, 차량 배차 협조 요청 절차 및 처리 방법 안내</t>
  </si>
  <si>
    <t>시청사 현수막 설치 요청 절차 및 처리 방법은?</t>
  </si>
  <si>
    <t>부산시청 청사에 현수막 설치를 요청할 때 필요한 신청 절차 등 처리 방식은 무엇인가요?</t>
  </si>
  <si>
    <t>시청사 현수막 설치 요청 절차 및 처리 방법은 일반적으로 다음과 같습니다:
설치 목적 및 내용 확인: 현수막 설치를 원하는 목적과 내용을 명확히 합니다. 이는 시청사의 정책 홍보, 행사 안내, 공익적 정보 제공 등 다양한 목적이 있을 수 있습니다.
관련 부서 문의: 시청 내 현수막 설치와 관련된 부서를 확인합니다. 일반적으로 홍보실, 총무과, 시설관리과 등이 해당 업무를 담당합니다.
설치 신청서 작성: 해당 부서에 제출할 설치 신청서를 작성합니다. 신청서에는 설치 목적, 내용, 설치 위치, 기간, 크기 등의 정보를 포함해야 합니다.
승인 절차 진행: 작성한 신청서를 해당 부서에 제출하고, 내부 승인 절차를 거칩니다. 이 과정에서 설치 내용의 적합성, 법적 문제 여부 등이 검토됩니다.
시설물 관리 규정 확인: 시청사 내 시설물 설치는 관련 법규나 내부 규정에 따라야 합니다. 안전성, 미관, 공공질서 등에 부합하는지 확인합니다.
설치 위치 협의: 현수막 설치 위치는 시청사의 미관과 안전에 영향을 미치므로, 담당 부서와 협의하여 적절한 위치를 결정합니다.
설치 및 관리: 승인이 완료되면, 지정된 위치에 현수막을 설치합니다. 설치 후에는 관리 부서의 지침에 따라 유지·관리합니다.
철거 및 사후 처리: 현수막의 사용 기간이 끝나면, 지정된 절차에 따라 철거하고, 폐기물 처리를 적절히 합니다.
주의사항:
사전 승인 필수: 시청사 내 시설물 설치는 반드시 사전에 관련 부서의 승인을 받아야 합니다.
법규 준수: 옥외광고물 등 관리법 등 관련 법규를 준수해야 합니다.
안전 우선: 설치 시 안전사고를 예방하기 위해 전문 인력을 활용하고, 안전 장비를 사용해야 합니다.
예시 절차:
문의: 시청 홍보실에 현수막 설치 가능 여부와 절차를 문의합니다.
신청서 제출: 홍보실에서 제공하는 양식에 따라 설치 신청서를 작성하여 제출합니다.
승인 대기: 내부 검토를 거쳐 승인 여부를 통보받습니다.
설치 진행: 승인 후, 지정된 위치에 현수막을 설치합니다.
관리 및 철거: 사용 기간 동안 관리하고, 기간이 끝나면 철거합니다.
추가 정보:
비용 발생 여부: 설치에 따른 비용이 발생할 수 있으므로, 예산이 필요한 경우 사전에 확인합니다.
홍보물 종류: 현수막 외에도 배너, 포스터 등 다양한 홍보물이 있으므로, 목적에 맞는 홍보물을 선택합니다.
시청사 현수막 설치는 공공의 이익을 위한 중요한 홍보 수단이지만, 절차와 규정을 준수하여 진행해야 합니다. 필요한 경우 시청의 공식 홈페이지나 관련 부서에 직접 문의하여 정확한 정보를 얻는 것이 좋습니다.</t>
  </si>
  <si>
    <t>제가 못찾은건지 해당 질문에 대한 근거문서가 없습니다.
기대답변 : 
OO에 대한 관련 문서가 없습니다.
자세한 사항은 관련 부서나 업무 담당자에게 문의하시기 바랍니다.</t>
  </si>
  <si>
    <t>PC교체로 인한 행정전자서명 이동 방법은?</t>
  </si>
  <si>
    <t>PC 교체 시 행정전자서명 인증서를 새로운 PC로 이동하는 방법은 무엇인가요?</t>
  </si>
  <si>
    <t>관련 근거 : 행정전자서명(GPKI) 발급 갱신 이동 안내 &gt; 미제출자료이지만 질문이 많아 따로 정리했습니다.
기대답변 :
행정전자서명' 이동방법
요약 : 행정전자서명 파일 압축하여 내 온메일 또는온톡으로 보내놓기 → 사용할 PC에서 온메일 또는 온톡 열어서 저장하기 
★ 온메일 이용시는 행정포털의 로그인계정과 비밀번호(id/pw) 숙지 ★ 
1. (이동전 PC) 행정전자서명 파일을 압축: GPKI폴더 전체
 - 행정전자서명 저장위치: C드라이브 /GPKI (폴더전체 압축)
2. (이동전 PC) 온메일 '내게쓰기' 또는 온톡으로 본인에게 압축파일한 파일 보내기
3. (이동후 PC) 온메일 또는 온톡열어서 압축파일 PC저장후 압축풀기
 -저장위치 : C드라이브 (GPKI폴더 전체가 있어야 됨) 
* C&amp;GPKI&amp;certificate&amp;class2 폴더내 '본인이름으로 된 파일이 4개' 있는지 확인
※ [class2]만 복사하면 안됨, [GPKI]폴더 전체 복사</t>
  </si>
  <si>
    <t>행정전자서명' 이동방법
 요약 : 행정전자서명 파일 압축하여 내 온메일 또는온톡으로 보내놓기 → 사용할 PC에서 온메일 또는 온톡 열어서 저장하기 
 ★ 온메일 이용시는 행정포털의 로그인계정과 비밀번호(id/pw) 숙지 ★ 
 1. (이동전 PC) 행정전자서명 파일을 압축: GPKI폴더 전체
  - 행정전자서명 저장위치: C드라이브 /GPKI (폴더전체 압축)
 2. (이동전 PC) 온메일 '내게쓰기' 또는 온톡으로 본인에게 압축파일한 파일 보내기
 3. (이동후 PC) 온메일 또는 온톡열어서 압축파일 PC저장후 압축풀기
  -저장위치 : C드라이브 (GPKI폴더 전체가 있어야 됨) 
 * C&amp;GPKI&amp;certificate&amp;class2 폴더내 '본인이름으로 된 파일이 4개' 있는지 확인
 ※ [class2]만 복사하면 안됨, [GPKI]폴더 전체 복사</t>
  </si>
  <si>
    <t>문서 암호화 해제는 어떻게 하나요?</t>
  </si>
  <si>
    <t>문서가 DRM 또는 비밀번호로 암호화되어 열리지 않을 때, 암호 해제 방법과 담당 부서에 요청해야 하는 절차는 어떻게 되나요?</t>
  </si>
  <si>
    <t>문서 암호화 해제는 해당 문서의 암호화 해제 절차를 따르면 됩니다. 각 문서에 따라 절차가 다를 수 있으니, 관련된 문서를 참고해주세요.
[파일명: 370_2503_정보화정책과_업무매뉴얼_정보화정책과_사용자_매뉴얼자료유출방지시스템_고도화_버전_DRM_v50.pdf]
좌측 상단에 암호화 해제한 목록 클릭 시, 우측 창에서 암호화 해제 신청한 문서에 대해 개별 다운로드가 가능합니다.
우측 하단에 "다운로드"를 클릭하여 파일 개별로 다운로드할 수 있으며, 이 방법은 5회 제한이 있습니다.
[파일명: 370_2503_정보화정책과_업무매뉴얼_정보화정책과_사용자_매뉴얼자료유출방지시스템_고도화_버전_DRM_v50.pdf]
목록을 클릭하면 암호화 해제 신청한 문서에 대해 다운로드할 수 있습니다.
"모두 다운로드"를 클릭하면 여러 파일을 한 번에 다운로드할 수 있습니다.
[파일명: 370_2503_정보화정책과_업무매뉴얼_정보화정책과_사용자_매뉴얼자료유출방지시스템_고도화_버전_DRM_v50.pdf]
암호화 해제된 파일의 다운로드 경로를 설정해야 합니다. 반드시 경로를 설정한 후 우측 하단의 "저장"을 클릭해야 합니다.
개인정보가 포함된 파일의 경우, 다운받은 후 복사하거나 드래그 앤 드롭으로 다른 위치에 저장해야 합니다. 그렇지 않으면 파일이 암호화되어 저장될 수 있습니다.
[파일명: 333_2112_정보화정책과_업무매뉴얼_정보화정책과_서무관리자_매뉴얼개인정보검색관리시스템_사용법_V2.pdf]
해당 파일명 위에서 마우스 우클릭하여 삭제하거나 암호화할 수 있습니다.
암호화가 비활성화인 경우, 압축된 파일을 해제 후 삭제하거나 암호화 조치를 취해야 합니다.
[파일명: 370_2503_정보화정책과_업무매뉴얼_정보화정책과_사용자_매뉴얼자료유출방지시스템_고도화_버전_DRM_v50.pdf]
암호화 해제할 파일의 경로로 이동합니다.
"열기"를 클릭하여 파일을 확인하고, 암호화 해제 사유를 입력한 후 하단의 "신청"을 클릭합니다.
이러한 절차를 따르면 문서 암호화 해제를 진행할 수 있습니다. 만약 추가적인 도움이 필요하거나 다른 문의사항이 있으시면 언제든지 말씀해 주세요.</t>
  </si>
  <si>
    <t>ㆍ370_2503_정보화정책과_업무매뉴얼_정보화정책과_사용자_매뉴얼자료유출방지시스템_고도화_버전_DRM_v50.pdf (p.10, 12, 14)
https://busanai.busan.go.kr/download/370_2503_정보화정책과_업무매뉴얼_정보화정책과_사용자_매뉴얼자료유출방지시스템_고도화_버전_DRM_v50.pdf</t>
  </si>
  <si>
    <t xml:space="preserve">근거문서 : 정보화정책과 사용자매뉴얼(자료유출방지시스템 고도화 버전 DRM v5.0).pdf
해당 내용은 글로 되어 있는데 소제목이 이미지라서 검색이 어려울 것으로 보입니다.
기대답변 : 
문서 암호화 해제 방법
1. 바탕화면 우측 하단(시계 있는 부분) 트레이 아이콘에 있는 자물쇠나 F 모양에서 마우스 우클릭 후 자료반출관리시스템을 클릭
2. 인터넷 창이 열리면 “신규 신청” 클릭
3. • 모양 클릭 후 “확인” 클릭
4. “추가” 클릭 or 드래그 앤 드롭(Drag &amp; Drop) 파일 추가 가능
5. 암호화 해제 할 파일 경로로 이동, “열기” 클릭
6. 암호화 해제 할 파일 확인, 암화화 해제사유를 입력 후 하단의 “신청“ 클릭
7. “확인” 클릭 후 “완료” 클릭
8. 좌측 상단에 암호화 해제한 목록 클릭 시, 우측 창에서 암호화 해제 신청한 문서에 대해 다운로드 가능, 우측 하단에 “다운로드“를 클릭하여 파일 다운로드(5회 제한)
</t>
  </si>
  <si>
    <t>문서 암호화 해제 방법
 1. 컴퓨터 우측하단(시계 있는 부분) 트레이 아이콘(숨겨진 아이콘)에서 F 또는 자물쇠 표시 우클릭
 2. 자료반출관리시스템 클릭
 3. 신규 신청
 4. 암호화 해제 체크 후 확인
 5. 자료 업로드 후 신청
 6. 완료 탭 이동 후 암호화 해제된 문서 다운로드</t>
  </si>
  <si>
    <t>9</t>
  </si>
  <si>
    <r>
      <rPr>
        <rFont val="&quot;Malgun Gothic&quot;"/>
        <color rgb="FF000000"/>
        <sz val="11.0"/>
      </rPr>
      <t xml:space="preserve">9. 자료유출방지시스템(DRM) 문서 암호화 해제 방법
  컴퓨터 우측하단(시계 있는 부분) 트레이 아이콘(숨겨진 아이콘)에서 F 또는 자물쇠 표시 우클릭 - 자료반출관리시스템 클릭 - 신규 신청 - 암호화 해제 체크 후 확인 - 자료 업로드 후 신청 - 완료 탭 이동 후 암호화 해제된 문서 다운로드
</t>
    </r>
    <r>
      <rPr>
        <rFont val="&quot;Malgun Gothic&quot;"/>
        <color rgb="FF1155CC"/>
        <sz val="11.0"/>
        <u/>
      </rPr>
      <t>http://99.1.1.29/resources/xf/portal/table.html#question4-8</t>
    </r>
  </si>
  <si>
    <r>
      <rPr>
        <rFont val="맑은 고딕"/>
        <b/>
        <color theme="1"/>
        <sz val="11.0"/>
      </rPr>
      <t>370_2503_정보화정책과_업무매뉴얼_정보화정책과_사용자_매뉴얼자료유출방지시스템_고도화_버전_DRM_v50.pdf[10, 11, 12, 13]</t>
    </r>
    <r>
      <rPr>
        <rFont val="맑은 고딕"/>
        <color theme="1"/>
        <sz val="11.0"/>
      </rPr>
      <t xml:space="preserve">
-----
</t>
    </r>
    <r>
      <rPr>
        <rFont val="맑은 고딕"/>
        <color rgb="FFFF0000"/>
        <sz val="11.0"/>
      </rPr>
      <t>[파일 이미지화 - 제목 부분이 이미지화 되어 아래처럼 파악하기가 어려운 상태]</t>
    </r>
    <r>
      <rPr>
        <rFont val="맑은 고딕"/>
        <color theme="1"/>
        <sz val="11.0"/>
      </rPr>
      <t xml:space="preserve">
----
-9 -
• 암호화 해제 할 파일 경로로 이동
• “열기 ” 클릭
• 암호화 해제 할 파일 확인
• 암화화 해제사유를 입력 후 하단의 “신청 “ 클릭
• “확인” 클릭 
• “완료” 클릭
• 좌측 상단에 암호화 해제한 목록 클릭 시, 우측 창에서 암호화 해제 신청한 문서에 대해 개별 다운로드 가능
• 우측 하단에 “다운로드“를 클릭하여 파일 개별로 다운로드(5회 제한)
• 허용“ 클릭
• 암호화 해제 된 파일 다운로드 경로 설정
• 반드시 경로 설정 후 우측 하단 “저장” 클릭
※ 암호화 해제 한 파일에 개인정보가 있는 개인정보파일의 경우, 다운받은 후에 복사 or 드래그 앤 드롭(Drag &amp; Drop)으로
다른 위치(폴더)에 파일 저장 시 파일이 암호화되어 저장됨</t>
    </r>
  </si>
  <si>
    <t>관내출장 여비 지급기준은 어떻게 되나요?</t>
  </si>
  <si>
    <t>관내출장 시 여비는 어떤 기준에 따라 지급되며, 소요시간·이동거리·교통수단에 따른 지급 요건은 어떻게 되나요?</t>
  </si>
  <si>
    <t>관내출장 여비 지급기준은 공무원여비규정 제18조(4급 이하)에 따라 일 지급액이 20,000원으로 정해져 있습니다. 이는 공무원이 관내에서 출장할 때 지급되는 여비로, 근거규정은 '공무원여비규정 제18조(4급 이하)'입니다.</t>
  </si>
  <si>
    <t>ㆍ22_2501_공공기관담당관_업무매뉴얼_공공기관담당관_2025년도_부산광역시_지방공기업_예산편성보완지침.pdf (p.88)
https://busanai.busan.go.kr/download/22_2501_공공기관담당관_업무매뉴얼_공공기관담당관_2025년도_부산광역시_지방공기업_예산편성보완지침.pdf
ㆍ213_2408_예산담당관_예산편성계획_예산담당관_2025년_예산편성계획.pdf (p.49)
https://busanai.busan.go.kr/download/213_2408_예산담당관_예산편성계획_예산담당관_2025년_예산편성계획.pdf</t>
  </si>
  <si>
    <t>관련 근거는 2번째 파일로 하면 되긴 하지만 내용이 많이 부실합니다.
미제출한 공무원 여비 규정 파일의 제18조(근무지 내 국내 출장 시의 여비) 항목을 참고해서 기대답변을 생성하면 될 것 같습니다.
① 근무지 내 국내 출장의 경우에는 제16조에도 불구하고 출장 여행시간이 4시간 이상인 공무원에게는 2만원을 지급하고, 4시간 미만인 공무원에게는 1만원을 지급한다. 다만, 「공무용 차량 관리 규정」 제4조 및 별표에 따른 전용 차량 배정자에게는 이를 지급하지 않으며, 공무용 차량을 이용하는 경우 등 인사혁신처장이 정하는 바에 따라 출장을 하는 공무원에게는 1만원을 감액하여 지급한다. &lt;개정 2013. 3. 23., 2014. 11. 19., 2021. 11. 30., 2024. 7. 2.&gt;
② 제1항에서 “근무지 내 국내 출장”이란 같은 시(특별시, 광역시 및 특별자치시를 포함한다. 이하 같다)ㆍ군 및 섬(제주특별자치도는 제외한다. 이하 같다) 안에서의 출장이나 여행거리가 12킬로미터 미만인 출장을 말한다.
기대답변 :
1. 4시간 미만 : 1만원
2. 4시간 초과 : 2만원
 - 전용 차량 배정자 : 미지급
 - 공무용 차량 이용시 1만원 감액</t>
  </si>
  <si>
    <t>1. 4시간 미만 : 1만원
 2. 4시간 초과 : 2만원
  - 전용 차량 배정자 : 미지급
  - 공무용 차량 이용시 1만원 감액</t>
  </si>
  <si>
    <t>1229_공무원_여비_규정대통령령제35811호20251001.pdf</t>
  </si>
  <si>
    <t>제18조(근무지 내 국내 출장 시의 여비) ① 근무지 내 국내 출장의 경우에는 제16조에도 불구하고 출장 여행시간이 4시
 간 이상인 공무원에게는 2만원을 지급하고, 4시간 미만인 공무원에게는 1만원을 지급한다. 다만, 「공무용 차량 관리
 규정」 제4조 및 별표에 따른 전용 차량 배정자에게는 이를 지급하지 않으며, 공무용 차량을 이용하는 경우 등 인사
 혁신처장이 정하는 바에 따라 출장을 하는 공무원에게는 1만원을 감액하여 지급한다. &lt;개정 2013. 3. 23., 2014. 11.
 19., 2021. 11. 30., 2024. 7. 2.&gt;
 ② 제1항에서 “근무지 내 국내 출장”이란 같은 시(특별시, 광역시 및 특별자치시를 포함한다. 이하 같다)ㆍ군 및 섬
 (제주특별자치도는 제외한다. 이하 같다) 안에서의 출장이나 여행거리가 12킬로미터 미만인 출장을 말한다.&lt;개정
 2013. 1. 9.&gt;
 [전문개정 2010. 11. 10.]</t>
  </si>
  <si>
    <t>관내출장 여비 지급 기준 안내</t>
  </si>
  <si>
    <t>실물/모바일 공무원증은 어떻게 발급받나요?</t>
  </si>
  <si>
    <t>실물 공무원증과 모바일 공무원증은 각각 어떤 절차로 발급받을 수 있나요?</t>
  </si>
  <si>
    <t>실물 공무원증은 부산광역시에서 근무하는 공무원에게 발급되는 신분증으로, 발급 절차는 다음과 같습니다.
공무원증 발급 신청: 신규 임용되거나 재발급이 필요한 경우, 해당 공무원은 소속 부서의 장에게 공무원증 발급을 신청합니다.
사진 제출: 발급 신청 시 제출일 전 1년 이내에 촬영한 전자파일 형태의 사진을 제출해야 합니다. 이는 공무원증에 사용될 사진입니다.
시장 발급: 시장은 제출된 신청서와 사진을 바탕으로 공무원증을 발급합니다. 발급 시에는 공무원증 발급대장에 등록하고, 전자적으로 관리할 수 있습니다.
공무원증 수령: 발급된 공무원증은 해당 공무원에게 전달됩니다.
모바일 공무원증은 전자적 형태로 발급되는 공무원증으로, 스마트폰 앱을 통해 발급받을 수 있습니다. 발급 절차는 다음과 같습니다.
앱 설치: 모바일 공무원증 발급을 위해서는 관련 앱을 스마트폰에 설치해야 합니다. 이 앱은 부산광역시에서 제공하는 공식 앱입니다.
신청 및 인증: 앱 내에서 공무원증 발급을 신청하고, 본인 인증을 진행합니다. 이 과정에서는 신분 확인을 위한 절차가 포함됩니다.
공무원증 발급: 인증이 완료되면 모바일 공무원증이 발급됩니다. 이 공무원증은 실물 공무원증과 동일한 효력을 가지며, 필요한 경우 제시할 수 있습니다.
주의사항:
공무원증은 공무원의 신분을 증명하는 중요한 문서이므로, 분실하거나 훼손된 경우 즉시 소속 부서의 장에게 보고하고 재발급을 신청해야 합니다.
공무원증의 기재사항에 변경이 있거나 직위·직급의 변동이 있는 경우에도 재발급이 필요합니다.
공무원은 공무원증을 항상 지참하고, 공무 수행 시 요구가 있을 경우 제시해야 합니다.
관련 규정:
부산광역시 공무원증 규정에 따르면, 공무원증의 발급 및 관리에 대한 상세한 절차와 규격이 명시되어 있습니다.
공무원증의 규격은 가로 54밀리미터, 세로 85.6밀리미터로 규정되어 있으며, 앞면에는 사진, 성명, 소속기관 등이 기재됩니다.
뒷면에는 발급번호, 소속기관, 직위/직급, 성명, 생년월일, 발급일, 발급기관장의 명의와 직인 및 발급기관의 전화번호 등이 기재됩니다.
추가 정보:
공무원증의 위조 및 변조를 방지하기 위해 특수인쇄 보안기술을 적용한 공무원증이 발급됩니다.
공무원증의 재발급 비용은 본인 부주의로 인한 경우에는 해당 공무원이 부담할 수 있습니다.
공무원증 발급에 대한 자세한 절차나 문의사항이 있으시면, 부산광역시 인사과(전화번호: 051-888-1951)로 연락하시면 도움을 받으실 수 있습니다.</t>
  </si>
  <si>
    <t>ㆍ1156_페이지116_문서6_164218_부산광역시_공무원증_규정.pdf (p.1)
https://busanai.busan.go.kr/download/1156_페이지116_문서6_164218_부산광역시_공무원증_규정.pdf</t>
  </si>
  <si>
    <t>규정은 좀 원론적인 내용이 다수라 실제 발급 절차에 대한 내용을 근거로 하면
더 좋은 답변이 나올 것 같습니다
근거문서 : 인사과 자주찾는 질문 7P
기대답변 
1. 실물 공무원증(플라스틱 카드) 신청 절차
 - 차세대 인사랑시스템(인사마당탭-공무원증신청 메뉴)에서 발급 신청을
합니다.
 - 신청구분은 ‘실물공무원증'을 체크합니다.
 - 부서장 결재 등 내부 승인 절차를 거칩니다.
 - 증명사진을 함께 제출하거나 인사정보에 등록된 사진으로 신청할 수
있습니다.
2. 모바일 공무원증 신청 절차
 - 차세대 인사랑시스템(인사마당탭-공무원증신청 메뉴)에서 발급 신청을
합니다.
 - 신청구분은 ‘모바일 공무원증'을 체크합니다.
 - 부서장 결재 등 내부 승인 절차를 거칩니다.
 - 신청이 완료되면 SMS로 발급 준비 완료 안내가 오고, 안내된 설치
 - URL을 통해 모바일 공무원증 앱을 설치합니다.
 - 앱에서 본인 확인 및 비밀번호 설정 후 사용이 가능합니다.
 - 모바일 공무원증으로 청사출입은 현재 불가능합니다.
3. 소요 기간
 - 실물 및 모바일 공무원증 모두 신청 후 수령까지 약 3~4주가 소요됩니다.
 - 실제로는 기관 사정에 따라 3주보다 더 오래 걸릴 수 있습니다.</t>
  </si>
  <si>
    <t xml:space="preserve">모바일 공무원증은 어떻게 활용할 수 있나요? </t>
  </si>
  <si>
    <t>모바일 공무원증으로 어떤 업무를 처리할 수 있으며, 활용 가능한 기능은 무엇인가요?</t>
  </si>
  <si>
    <t>근거문서 : 인사과 자주찾는 질문 7P
해당 파일에 활용 관련 내용은 없고 청사 출입 안된다는 내용만 있습니다. 
기대답변대로 나올 수 있을지 잘 모르겠습니다
기대답변 
모바일 공무원증으로 청사출입은 현재 불가능합니다.
자세한 사항은 관련부서나 업무 담당자에게 문의하시기 바랍니다.</t>
  </si>
  <si>
    <t>모바일 공무원증으로 청사출입은 현재 불가능합니다.
 자세한 사항은 관련부서나 업무 담당자에게 문의하시기 바랍니다.</t>
  </si>
  <si>
    <t>장기재직휴가는 어떻게 신청하나요?</t>
  </si>
  <si>
    <t>장기재직휴가의 휴가 등록 및 사용 신청 절차는 어떻게 진행되나요?</t>
  </si>
  <si>
    <t>장기재직휴가는 재직기간 중 1회만 지원되며, 신청은 다음과 같은 절차로 진행됩니다.
신청자료 준비: 청구서, 예약내역, 영수증, 본인 이용 인증자료, 장기재직휴가 승인내역 등을 준비합니다.
신청자료 업로드: 준비한 신청자료를 직원복지지원시스템에 업로드합니다.
후생복지심의위원회 심의: 분기별로 열리는 후생복지심의위원회에서 재직기간, 지원이력, 현재 징계의결 요구 또는 형사사건 기소 여부 등을 심의합니다.
지원금 지급: 심의 결과 지원이 결정되면 개인별 계좌로 지원금이 입금됩니다.
유의사항으로는 다음과 같은 것들이 있습니다.
본인 이용 여부 확인: 직원 본인 이용 여부를 확인할 수 없을 경우 지원이 불가능합니다.
장기재직휴가 외 사용 불가: 장기재직휴가 외의 다른 특별휴가 사용 시에는 지원이 불가능합니다.
지침 위반 사용 금지: 장기재직휴가 시행지침을 위반하여 사용할 경우 지원이 불가능합니다.
결제내역 확인 필요: 결제내역을 확인할 수 없는 경우(예: 외화 현금결제) 지원이 불가능합니다.
온라인 예약 권장: 예약내역 및 결제금액 확인이 가능한 온라인 예약사이트를 이용하는 것이 권장됩니다.
또한, 장기재직휴가 지원은 "2025년 휴양시설 이용 지원"과 중복하여 신청할 수 있습니다. 자세한 내용은 관련 매뉴얼이나 인사과에 문의하여 확인하시기 바랍니다.</t>
  </si>
  <si>
    <t>ㆍ284_2501_인사과_기타_인사과_2025년_직원_장기재직휴가_지원_계획.pdf (p.3)
https://busanai.busan.go.kr/download/284_2501_인사과_기타_인사과_2025년_직원_장기재직휴가_지원_계획.pdf</t>
  </si>
  <si>
    <t>근거자료는 장기재직휴가 갈때 지원되는 숙소에 관한 내용입니다.
해당 질의에 대한 답변 문서는 [붙임 1]장기재직휴가 시행지침 개정전문인데 학습자료 미제출자료입니다.
 - 2 세부 시행지침 내용 참고
기대답변(미제출자료 포함해서 답변 생성)
1. 장기재직 사용방법
  가. 복무시스템 승인 및 실시(휴가 희망직원 ⇒ 부서장)
    - 차세대인사랑(복무관리시스템) 상 결재를 득한 후 휴가 실시
       * 휴가신청 시 차세대인사랑 등록방법 
         √ 휴가구분 : 연가외휴가관리 - 특별휴가 - ‘장기재직휴가’로 등록
         √ 휴가사유 : [예시] ‘(금회) 20년차 1회 5일, (잔여일수) 20일
    - 부서장은 휴가 기간 중 업무대행자 지정 등 확인 후 승인
       * 주요 현안 등 업무 공백이 우려될 경우 휴가 조정 등
  나. 업무에 지장이 없는 범위 내에서 부서장* 책임 하 실시
     - 휴가 시작일 기준 1주일 전 승인(차세대인사랑 복무 승인) 후 실시
  다. 재직기간 별 해당 기간 내 반드시 사용
  라. 휴가 기간은 2일 이상 분할사용 가능
    - 최소 2일 이상 사용
  마. 부서 현원의 1/3 이내로 휴가대상자 선정
  바. 장기간 휴가사용을 위해 연가 연계사용 권장</t>
  </si>
  <si>
    <t>1. 장기재직 사용방법
  가. 복무시스템 승인 및 실시(휴가 희망직원 ⇒ 부서장)
  - 차세대인사랑(복무관리시스템) 상 결재를 득한 후 휴가 실시
  * 휴가신청 시 차세대인사랑 등록방법 
  √ 휴가구분 : 연가외휴가관리 - 특별휴가 - ‘장기재직휴가’로 등록
  √ 휴가사유 : [예시] ‘(금회) 20년차 1회 5일, (잔여일수) 20일
  - 부서장은 휴가 기간 중 업무대행자 지정 등 확인 후 승인
  * 주요 현안 등 업무 공백이 우려될 경우 휴가 조정 등
  나. 업무에 지장이 없는 범위 내에서 부서장* 책임 하 실시
  - 휴가 시작일 기준 1주일 전 승인(차세대인사랑 복무 승인) 후 실시
  다. 재직기간 별 해당 기간 내 반드시 사용
  라. 휴가 기간은 2일 이상 분할사용 가능
  - 최소 2일 이상 사용
  마. 부서 현원의 1/3 이내로 휴가대상자 선정
  바. 장기간 휴가사용을 위해 연가 연계사용 권장</t>
  </si>
  <si>
    <t>경조사별 휴가일수를 알려주세요</t>
  </si>
  <si>
    <t>각 경조사 유형별로 부여되는 휴가 일수와 적용 기준은 어떻게 되나요?</t>
  </si>
  <si>
    <t>경조사별 휴가일수는 다음과 같습니다.
본인 결혼: 5일
본인 또는 배우자의 부모 사망: 5일
본인 또는 배우자의 조부모 사망: 3일
본인 또는 배우자의 자녀 사망: 3일
본인 또는 배우자의 형제자매 사망: 1일
이는 2024년 지방공무원 인사관계 법령집에 따른 내용으로, 공무원의 경조사에 대한 휴가일수를 규정하고 있습니다. 법령의 부칙에 따르면, 이 규정은 공포한 날부터 시행되며, 이 영 시행 이후 경조사가 있는 경우부터 적용됩니다. 따라서, 경조사가 발생한 공무원은 해당 일수에 따라 휴가를 사용할 수 있습니다.</t>
  </si>
  <si>
    <t>ㆍ264_2401_인사과_법령_행정안전부_지방공무원_인사관계_법령집.pdf (p.418)
https://busanai.busan.go.kr/download/264_2401_인사과_법령_행정안전부_지방공무원_인사관계_법령집.pdf</t>
  </si>
  <si>
    <r>
      <rPr>
        <rFont val="Malgun Gothic"/>
        <color theme="1"/>
        <sz val="11.0"/>
      </rPr>
      <t>해당 근거자료는 자치법규 조례 중 부산광역시 공무원 복무 조례에 해당 내용이 있습니다.
특별휴가 : 제 15조, 별표3
 - 해당 답변에 대해 제대로 된 답변을 하려면 제출된 자료가 아닌 지방공무원 복무규정 제7조의5(병가) 제7조의7(특별휴가), 지방공무원 복무에 관한 예규 확인이 필요합니다.
 - 해당 답변에서 어려운 점은 일단 부산시 규정 먼저 확인 한 후 관련 내용이 없으면 상위 규정을 확인해서 답변을 생성해야 합니다. : 특별휴가 임산부 등
 - 또한 같은 내용이 있지만 휴가 일수가 다르다거나 조건이 다르면 부산시 규정을 우선 적용해야합니다. : 특별휴가 경조사별 일수
기대답변 (지방공무원 복무규정, 예규 포함)
특별휴가 : 
① 경조사나 그 외 특별한 일이 있을때 
② 지방자치단체의 장과 지방의회의 의장은 소속 공무원이 결혼하거나 그 밖의 경조사가 있는 경우에는 경조사휴가를 주어야 한다. 
 - 경조사별 휴가일수(부산시 기준) : 결혼(본인) 5일, 결혼(자녀) 1일, 출산(배우자) 10일, 둘 이상 출산일경우 15일, 입양(본인) 20일, 사망(배우자, 본인 및 배우자의 부모) 5일, 사망(본인 및 배우자의 조부모</t>
    </r>
    <r>
      <rPr>
        <rFont val="Tahoma"/>
        <color theme="1"/>
        <sz val="11.0"/>
      </rPr>
      <t>․</t>
    </r>
    <r>
      <rPr>
        <rFont val="맑은 고딕"/>
        <color theme="1"/>
        <sz val="11.0"/>
      </rPr>
      <t>외조부모, 자녀와 그 자녀의 배우자, 본인 및 배우자의 형제자매와 그 형제자매의 배우자) 3일, 사망(본인 및 배우자의 부모의 형제자매와 그 형제자매의 배우자) 1일
③ 임신 중인 공무원은 출산 전과 출산 후를 통하여 90일(미숙아를 출산한 경우에는 100일, 한 번에 둘 이상의 자녀를 임신한 경우에는 120일)의 출산휴가를 사용할 수 있으며, 출산 후의 휴가기간이 45일(한 번에 둘 이상의 자녀를 임신한 경우에는 60일) 이상이 되도록 해야 한다. 다만, 임신 중인 공무원은 다음 각 호의 어느 하나에 해당하는 사유로 출산휴가를 신청하는 경우에는 출산 전 어느 때라도 최장 44일(한 번에 둘 이상의 자녀를 임신한 경우에는 59일)의 범위에서 출산휴가를 나누어 사용할 수 있다. 
 1. 임신 중인 공무원이 유산(「모자보건법」 제14조제1항에 따라 허용되는 경우 외의 인공임신중절에 의한 유산은 제외한다. 이하 제3호를 제외하고 같다)ㆍ사산의 경험이 있는 경우
 2. 임신 중인 공무원이 출산휴가를 신청할 당시 연령이 40세 이상인 경우
 3. 임신 중인 공무원이 유산ㆍ사산 또는 조산(早産)의 위험이 있다는 의료기관의 진단서를 제출한 경우
④ 유산하거나 사산한 여성공무원은 다음 각 호의 기준에 따라 유산휴가 또는 사산휴가를 사용할 수 있다.
 1. 임신기간이 15주 이내인 경우: 유산 또는 사산한 날부터 10일까지
 2. 임신기간이 16주 이상 21주 이내인 경우: 유산 또는 사산한 날부터 30일까지
 3. 임신기간이 22주 이상 27주 이내인 경우: 유산 또는 사산한 날부터 60일까지
 4. 임신기간이 28주 이상인 경우: 유산 또는 사산한 날부터 90일까지
⑤ 남성공무원은 배우자가 유산하거나 사산한 경우 제4항 각 호의 구분에 따른 기간 중 3일의 유산휴가 또는 사산휴가를 사용할 수 있다. 
⑥ 인공수정 또는 체외수정 등 난임치료 시술을 받는 공무원은 다음 각 호의 구분에 따라 난임치료시술휴가를 사용할 수 있다. 
 1. 여성공무원: 다음 각 목의 어느 하나에 해당하는 경우 해당 목에서 정한 기간  
  가. 인공수정 등 시술을 받는 경우: 총 2일(시술 당일에 1일과 시술일 전날, 시술일 후 2일 이내이거나 시술 관련 진료일 중에 1일)
  나. 동결 보존된 배아를 이식하는 체외수정 시술을 받는 경우: 총 3일(시술 당일에 1일과 시술일 전날, 시술일 후 2일 이내이거나 시술 관련 진료일 중에 2일)
  다. 난자 채취를 하여 체외수정 시술을 받는 경우: 총 4일(난자 채취일에 1일, 시술 당일에 1일과 시술일 전날, 난자 채취일 전날, 시술일 후 2일 이내, 난자 채취일 후 2일 이내이거나 시술 관련 진료일 중에 2일)
 2. 남성공무원: 정자 채취일에 1일
⑦ 임신 중인 여성공무원은 1일 2시간의 범위에서 휴식이나 병원 진료 등을 위한 모성보호시간을 사용할 수 있다. 이 경우 지방자치단체의 장과 지방의회의 의장은 임신 후 12주 이내 또는 32주 이후에 있는 여성공무원이 모성보호시간의 사용을 신청하면 이를 허가해야 한다. 
⑧ 8세 이하 또는 초등학교 2학년 이하의 자녀를 가진 공무원은 36개월의 범위에서 자녀돌봄, 육아 등을 위한 1일 최대 2시간의 육아시간을 사용할 수 있다. 
⑨ 공무원은 다음 각 호의 어느 하나에 해당하는 경우 연간 10일의 범위에서 가족돌봄휴가를 사용할 수 있다. 
 1. 「영유아보육법」에 따른 어린이집, 「유아교육법」에 따른 유치원 및 「초ㆍ중등교육법」 제2조 각 호의 학교(이하 이 항에서 “어린이집등”이라 한다)의 휴업ㆍ휴원ㆍ휴교 및 그 밖에 이에 준하는 사유로 자녀 또는 손자녀를 돌봐야 하는 경우
 2. 자녀 또는 손자녀가 다니는 어린이집등의 공식 행사 또는 교사와의 상담에 참여하는 경우
 3. 미성년자이거나 「장애인복지법」 제2조제2항에 따른 장애인(이하 이 조에서 “장애인”이라 한다)인 자녀ㆍ손자녀의 병원 진료(「국민건강보험법」 제52조에 따른 건강검진 또는 「감염병의 예방 및 관리에 관한 법률」 제24조 및 제25조에 따른 예방접종을 포함한다)에 동행하는 경우
 4. 질병, 사고, 노령 등의 사유로 조부모, 외조부모, 부모(배우자의 부모를 포함한다), 배우자, 자녀 또는 손자녀를 돌봐야 하는 경우
⑩ 제9항에 따른 가족돌봄휴가는 무급으로 하되, 자녀(같은 항 제4호의 경우에는 미성년자 또는 장애인인 자녀로 한정한다)를 돌보기 위한 가족돌봄휴가는 해당 공무원의 자녀(제9항제1호에 따른 어린이집등에 재학 중이거나 미성년인 자녀 또는 장애인인 자녀를 말한다)수에 1을 더한 일수까지를 연간 유급휴가 일수로 한다. 다만, 장애인인 자녀가 있는 공무원 또는 「한부모가족지원법」 제4조제1호의 모 또는 부에 해당하는 공무원의 경우에는 본문에 따른 연간 유급휴가 일수에 1일을 더한 일수까지 연간 유급휴가 일수로 한다. 
⑪ 여성공무원은 생리기간 중 휴식을 위해 매월 1일의 여성보건휴가를 사용할 수 있다. 이 경우 여성보건휴가는 무급으로 한다. 
⑫ 여성공무원은 임신기간 중 검진을 위해 10일의 범위에서 임신검진휴가를 사용할 수 있다. 
⑬ 「재난 및 안전관리 기본법」 제3조제1호에 따른 재난으로 피해[배우자, 부모(배우자의 부모를 포함한다) 또는 자녀가 입은 피해를 포함한다. 이하 이 항에서 같다]를 입은 공무원과 재난 발생 지역에서 자원봉사활동을 하려는 공무원은 5일(같은 법 제14조제1항에 따른 대규모 재난으로 피해를 입은 공무원으로서 장기간 피해 수습이 필요하다고 소속 지방자치단체의 장이나 지방의회의 의장이 인정하는 경우에는 10일) 이내의 재해구호휴가를 받을 수 있다. 
⑭ 지방자치단체의 장과 지방의회의 의장은 소속 공무원이 다음 각 호의 요건을 모두 충족하는 경우 4일의 범위에서 심리상담, 진료 및 휴식을 위한 심리안정휴가를 줄 수 있다. 
 1. 「공무원 재해보상법」 제5조제1호 및 제6호부터 제11호까지에 해당하는 직무를 수행하는 과정에서 인명피해가 있는 사건ㆍ사고를 경험했을 것
 2. 제1호에 따른 인명피해가 있는 사건ㆍ사고의 경험으로 인해 심리적 안정과 정신적 회복이 필요하다고 인정될 것
⑮ 남성공무원은 배우자의 임신기간 중 검진에 동행하기 위해 10일의 범위에서 임신검진 동행휴가를 사용할 수 있다.</t>
    </r>
  </si>
  <si>
    <t>기대답변 수정했습니다.
 경조사별 휴가에 대한 문의였는데 특별휴가(경조사, 장기재작휴가, 임신휴가, 사산휴가 등)에 대한 답으로 나와서 내용이 너무 많은거 같아
 특별휴가 중에 경조사별 휴가에 대한 사항만 따로 답변 생성했습니다.
 경조사별 휴가의 경우 지방공무원_복무규정대통령령에도 나와있지만 부산시 조례에도 해당 내용이 있어서 답변 생성에 오류가 발생할 가능성이 높습니다.
 답변 근거는 예전에 말씀드렸다시피 부산시 규정 우선 &gt; 지방공무원 규정 &gt; 중앙부처(국가공무원) 순서입니다.
 기대답변 :
 경조사별 휴가일수표(제15조제1항 관련)
 1. 결 혼
  - 본인 : 5일
  - 자녀 : 1일
 2. 출 산
  - 배우자 : 10일(한 번에 둘 이상의 자녀를 출산한 경우에는 15일)
 3. 입 양
  - 본인 : 20일
  *비고 : 입양은 「입양촉진 및 절차에 관한 특례법」에 따른 입양에 한정하며, 입양 외의 경조사 휴가를 실시할 때 원격지일 경우에는 실제 필요한 왕복소요일수를 가산할 수 있다.
 4. 사 망
  - 배우자, 본인 및 배우자의 부모 : 5일
  - 본인 및 배우자의 조부모․외조부모 : 3일
  - 자녀와 그 자녀의 배우자 : 3일
  - 본인 및 배우자의 형제자매와 그 형제자매의 배우자 : 3일
  - 본인 및 배우자의 부모의 형제자매와 그 형제자매의 배우자 : 1일</t>
  </si>
  <si>
    <t>1291_162355_부산광역시의회_공무원_복무_조례_별표_3_경조사별_휴가일수표제15조제1항_관련.pdf</t>
  </si>
  <si>
    <r>
      <rPr>
        <rFont val="맑은 고딕"/>
        <b/>
        <color theme="1"/>
        <sz val="11.0"/>
      </rPr>
      <t>1249_지방공무원_복무규정대통령령제35666호20250722.pdf[8, 9]</t>
    </r>
    <r>
      <rPr>
        <rFont val="맑은 고딕"/>
        <color theme="1"/>
        <sz val="11.0"/>
      </rPr>
      <t xml:space="preserve">
-----
</t>
    </r>
    <r>
      <rPr>
        <rFont val="맑은 고딕"/>
        <color rgb="FFFF0000"/>
        <sz val="11.0"/>
      </rPr>
      <t xml:space="preserve">[기대답변은 이 문서가 맞는것 같은데 확인 필요]
</t>
    </r>
    <r>
      <rPr>
        <rFont val="맑은 고딕"/>
        <color theme="1"/>
        <sz val="11.0"/>
      </rPr>
      <t xml:space="preserve">
제7조의7(특별휴가) ① 공무원의 특별휴가는 이 영에서 정하는 바에 따른다. 다만, 이 영에서 정하지 아니하는 사항은
지방자치단체의 조례로 정하는 바에 따른다.
② 지방자치단체의 장과 지방의회의 의장은 소속 공무원이 결혼하거나 그 밖의 경조사가 있는 경우에는 해당 공무
원의 신청에 따라 별표 1의 기준에 따른 경조사휴가를 주어야 한다.&lt;개정 2017. 4. 25., 2021. 11. 30.&gt;
③ 임신 중인 공무원은 출산 전과 출산 후를 통하여 90일(미숙아를 출산한 경우에는 100일, 한 번에 둘 이상의 자녀
를 임신한 경우에는 120일)의 출산휴가를 사용할 수 있으며, 출산 후의 휴가기간이 45일(한 번에 둘 이상의 자녀를
임신한 경우에는 60일) 이상이 되도록 해야 한다. 다만, 임신 중인 공무원은 다음 각 호의 어느 하나에 해당하는 사
유로 출산휴가를 신청하는 경우에는 출산 전 어느 때라도 최장 44일(한 번에 둘 이상의 자녀를 임신한 경우에는
59일)의 범위에서 출산휴가를 나누어 사용할 수 있다.&lt;개정 2014. 6. 30., 2021. 11. 30., 2021. 12. 31., 2023. 7. 18.,
2024. 7. 2., 2025. 2. 11.&gt;
1. 임신 중인 공무원이 유산(「모자보건법」 제14조제1항에 따라 허용되는 경우 외의 인공임신중절에 의한 유산은 제
외한다. 이하 제3호를 제외하고 같다)ㆍ사산의 경험이 있는 경우
2. 임신 중인 공무원이 출산휴가를 신청할 당시 연령이 40세 이상인 경우
3. 임신 중인 공무원이 유산ㆍ사산 또는 조산(早産)의 위험이 있다는 의료기관의 진단서를 제출한 경우
④ 유산하거나 사산한 여성공무원은 다음 각 호의 기준에 따라 유산휴가 또는 사산휴가를 사용할 수 있다.&lt;개정
2014. 6. 30., 2019. 12. 31., 2024. 7. 2.&gt;
1. 임신기간이 15주 이내인 경우: 유산 또는 사산한 날부터 10일까지
2. 임신기간이 16주 이상 21주 이내인 경우: 유산 또는 사산한 날부터 30일까지
3. 임신기간이 22주 이상 27주 이내인 경우: 유산 또는 사산한 날부터 60일까지
4. 임신기간이 28주 이상인 경우: 유산 또는 사산한 날부터 90일까지
⑤ 남성공무원은 배우자가 유산하거나 사산한 경우 제4항 각 호의 구분에 따른 기간 중 3일의 유산휴가 또는 사산
휴가를 사용할 수 있다.&lt;신설 2019. 12. 31., 2021. 11. 30., 2024. 7. 2.&gt;
⑥ 인공수정 또는 체외수정 등 난임치료 시술을 받는 공무원은 다음 각 호의 구분에 따라 난임치료시술휴가를 사용
할 수 있다.&lt;개정 2018. 12. 18., 2019. 12. 31., 2021. 12. 31., 2024. 7. 2.&gt;
1. 여성공무원: 다음 각 목의 어느 하나에 해당하는 경우 해당 목에서 정한 기간
가. 인공수정 등 시술을 받는 경우: 총 2일(시술 당일에 1일과 시술일 전날, 시술일 후 2일 이내이거나 시술 관련
진료일 중에 1일)
나. 동결 보존된 배아를 이식하는 체외수정 시술을 받는 경우: 총 3일(시술 당일에 1일과 시술일 전날, 시술일 후
2일 이내이거나 시술 관련 진료일 중에 2일)
다. 난자 채취를 하여 체외수정 시술을 받는 경우: 총 4일(난자 채취일에 1일, 시술 당일에 1일과 시술일 전날, 난
자 채취일 전날, 시술일 후 2일 이내, 난자 채취일 후 2일 이내이거나 시술 관련 진료일 중에 2일)
법제처 9 국가법령정보센터
지방공무원 복무규정
2. 남성공무원: 정자 채취일에 1일
⑦ 임신 중인 여성공무원은 1일 2시간의 범위에서 휴식이나 병원 진료 등을 위한 모성보호시간을 사용할 수 있다.
이 경우 지방자치단체의 장과 지방의회의 의장은 임신 후 12주 이내 또는 32주 이후에 있는 여성공무원이 모성보호
시간의 사용을 신청하면 이를 허가해야 한다.&lt;신설 2013. 5. 31., 2018. 12. 18., 2019. 12. 31., 2024. 7. 2., 2025. 7.
22.&gt;
⑧ 8세 이하 또는 초등학교 2학년 이하의 자녀를 가진 공무원은 36개월의 범위에서 자녀돌봄, 육아 등을 위한 1일
최대 2시간의 육아시간을 사용할 수 있다.&lt;신설 2017. 4. 25., 2018. 12. 18., 2019. 12. 31., 2024. 7. 2.&gt;
⑨ 공무원은 다음 각 호의 어느 하나에 해당하는 경우 연간 10일의 범위에서 가족돌봄휴가를 사용할 수 있다.&lt;개정
2020. 10. 20., 2024. 7. 2.&gt;
1. 「영유아보육법」에 따른 어린이집, 「유아교육법」에 따른 유치원 및 「초ㆍ중등교육법」 제2조 각 호의 학교(이하
이 항에서 “어린이집등”이라 한다)의 휴업ㆍ휴원ㆍ휴교 및 그 밖에 이에 준하는 사유로 자녀 또는 손자녀를 돌봐
야 하는 경우
2. 자녀 또는 손자녀가 다니는 어린이집등의 공식 행사 또는 교사와의 상담에 참여하는 경우
3. 미성년자이거나 「장애인복지법」 제2조제2항에 따른 장애인(이하 이 조에서 “장애인”이라 한다)인 자녀ㆍ손자녀
의 병원 진료(「국민건강보험법」 제52조에 따른 건강검진 또는 「감염병의 예방 및 관리에 관한 법률」 제24조 및
제25조에 따른 예방접종을 포함한다)에 동행하는 경우
4. 질병, 사고, 노령 등의 사유로 조부모, 외조부모, 부모(배우자의 부모를 포함한다), 배우자, 자녀 또는 손자녀를 돌
봐야 하는 경우
⑩ 제9항에 따른 가족돌봄휴가는 무급으로 하되, 자녀(같은 항 제4호의 경우에는 미성년자 또는 장애인인 자녀로
한정한다)를 돌보기 위한 가족돌봄휴가는 해당 공무원의 자녀(제9항제1호에 따른 어린이집등에 재학 중이거나 미
성년인 자녀 또는 장애인인 자녀를 말한다)수에 1을 더한 일수까지를 연간 유급휴가 일수로 한다. 다만, 장애인인
자녀가 있는 공무원 또는 「한부모가족지원법」 제4조제1호의 모 또는 부에 해당하는 공무원의 경우에는 본문에 따
른 연간 유급휴가 일수에 1일을 더한 일수까지 연간 유급휴가 일수로 한다.&lt;신설 2020. 10. 20., 2024. 7. 2.&gt;
⑪ 여성공무원은 생리기간 중 휴식을 위해 매월 1일의 여성보건휴가를 사용할 수 있다. 이 경우 여성보건휴가는 무
급으로 한다.&lt;신설 2019. 12. 31., 2020. 10. 20., 2024. 7. 2.&gt;
⑫ 여성공무원은 임신기간 중 검진을 위해 10일의 범위에서 임신검진휴가를 사용할 수 있다.&lt;신설 2019. 12. 31.,
2020. 10. 20., 2024. 7. 2.&gt;
⑬ 「재난 및 안전관리 기본법」 제3조제1호에 따른 재난으로 피해[배우자, 부모(배우자의 부모를 포함한다) 또는 자
녀가 입은 피해를 포함한다. 이하 이 항에서 같다]를 입은 공무원과 재난 발생 지역에서 자원봉사활동을 하려는 공
무원은 5일(같은 법 제14조제1항에 따른 대규모 재난으로 피해를 입은 공무원으로서 장기간 피해 수습이 필요하다
고 소속 지방자치단체의 장이나 지방의회의 의장이 인정하는 경우에는 10일) 이내의 재해구호휴가를 받을 수 있다.
&lt;신설 2020. 10. 20., 2021. 11. 30.&gt;
⑭ 지방자치단체의 장과 지방의회의 의장은 소속 공무원이 다음 각 호의 요건을 모두 충족하는 경우 4일의 범위에
서 심리상담, 진료 및 휴식을 위한 심리안정휴가를 줄 수 있다.&lt;신설 2023. 7. 18.&gt;
1. 「공무원 재해보상법」 제5조제1호 및 제6호부터 제11호까지에 해당하는 직무를 수행하는 과정에서 인명피해가
있는 사건ㆍ사고를 경험했을 것
2. 제1호에 따른 인명피해가 있는 사건ㆍ사고의 경험으로 인해 심리적 안정과 정신적 회복이 필요하다고 인정될 것
⑮ 남성공무원은 배우자의 임신기간 중 검진에 동행하기 위해 10일의 범위에서 임신검진 동행휴가를 사용할 수 있
다.&lt;신설 2025. 7. 22.&gt;
[전문개정 2010. 7. 15.]
[제7조의6에서 이동, 종전 제7조의7은 제7조의8로 이동 &lt;2019. 4. 16.&gt;]</t>
    </r>
  </si>
  <si>
    <r>
      <rPr>
        <rFont val="맑은 고딕"/>
        <b/>
        <color theme="1"/>
        <sz val="11.0"/>
      </rPr>
      <t>199_페이지20_문서9_162426_부산광역시_공무원_복무_조례.pdf[2, 3]</t>
    </r>
    <r>
      <rPr>
        <rFont val="맑은 고딕"/>
        <color theme="1"/>
        <sz val="11.0"/>
      </rPr>
      <t xml:space="preserve">
-----
</t>
    </r>
    <r>
      <rPr>
        <rFont val="맑은 고딕"/>
        <color rgb="FFFF0000"/>
        <sz val="11.0"/>
      </rPr>
      <t>[상세 내용이 없음. 최근 문서가 따로 있는지 확인 필요]</t>
    </r>
    <r>
      <rPr>
        <rFont val="맑은 고딕"/>
        <color theme="1"/>
        <sz val="11.0"/>
      </rPr>
      <t xml:space="preserve">
제15조(특별휴가) ① 소속기관장은 소속 공무원이 결혼을 하거나 그 밖의 경조사가 있는 경우에는 해당 공무원의 신청에 따라 별
표 3의 기준에 따른 경조사휴가를 주어야 한다. &lt;개정 2017. 12. 27.&gt;
② 삭제 &lt;2024. 12. 25.&gt;
③ 삭제 &lt;2017. 12. 27.&gt;
④ 한국방송통신대학교에 재학 중인 공무원은 「한국방송통신대학교 설립 및 운영에 관한 법률」에 따른 출석수업에 참석하기 위하
여 연가일수를 초과하는 출석수업기간에 대한 수업휴가를 사용할 수 있다. &lt;개정 2023. 10. 11., 2024. 12. 25.&gt;
⑤ 삭제 &lt;2024. 12. 25.&gt;
⑥ 소속기관장은 재직기간이 5년 이상 10년 미만인 공무원에게 해당 재직기간 중 5일, 10년 이상 20년 미만인 공무원에게 해당 재
직기간 중 15일, 20년 이상 30년 미만 및 30년 이상 재직한 공무원에게는 해당 재직기간 중 각각 25일의 휴가를 허가할 수 있으며,
운영에 필요한 사항은 시장이 따로 정한다. &lt;신설 2015. 1. 1.&gt;, &lt;개정 2020. 1. 1., 2023. 10. 11., 2024. 12. 25.&gt;
⑦ 군입영 자녀를 둔 공무원은 자녀 입영 당일 1일의 휴가와 신병훈련수료식 당일 1일의 휴가를 사용할 수 있다. &lt;신설 2016. 3. 30.
&gt;, &lt;개정 2020. 1. 1., 2024. 12. 25.&gt;
⑧ 남성공무원은 배우자의 임신검진에 동행하기 위하여 10일의 범위에서 임신검진동행휴가를 사용할 수 있다. 다만, 운영에 필요
한 사항은 시장이 따로 정한다. &lt;신설 2024. 12. 25.&gt;
⑨ 9세 이상 10세 이하 또는 초등학교 3학년 이상 초등학교 4학년 이하의 자녀를 가진 공무원은 12개월의 범위에서 초등학교 학습
적응 및 지도 등을 위한 1일 최대 2시간의 학습지도시간을 사용할 수 있다. &lt;신설 2024. 12. 25.&gt;
⑩ 시장은 시정 업무를 성공적으로 수행하여 탁월한 성과와 공로가 인정되거나 재해·재난 등으로 장기간 격무에 종사하는 공무원에
게 7일 이내의 포상휴가를 줄 수 있다. 다만, 포상휴가 대상자의 선정 등에 대한 사항은 시장이 따로 정한다. &lt;신설 2020. 1. 1.&gt;, &lt;
개정 2023. 10. 11., 2024. 12. 25.&gt;</t>
    </r>
  </si>
  <si>
    <t xml:space="preserve">기록물은 어떻게 정리하나요? </t>
  </si>
  <si>
    <t>부서에서 생산·접수한 기록물을 보존기간별로 분류하고 편철·정리할 때 필요한 절차와 준수해야 할 기준은 무엇인가요?</t>
  </si>
  <si>
    <t>기록물의 정리는 기록물의 보존과 관리를 위해 매년 해당 업무가 완결된 기록물을 대상으로 등록 사항과 기록물 실물의 일치 여부, 분류 및 편철, 공개여부 등을 재검토하는 업무절차입니다. 이를 통해 기록물의 정확하고 체계적인 관리가 가능해집니다. 기록물 정리는 다음과 같은 절차로 이루어집니다:
정리계획 수립: 기록물 정리를 위한 계획을 수립하고, 필요한 자원과 일정을 조정합니다.
단위과제 보존기간 확정: 영구기록물관리기관과 협의하여 단위과제의 보존기간을 확정합니다.
전자기록생산시스템의 정리 결재: 전자기록생산시스템에서 진행 중인 기록물의 처리를 완료하고, 단위과제카드명을 정비합니다.
단위과제카드 미지정 메모보고 처리: 단위과제카드가 지정되지 않은 메모보고를 처리하고, 단위과제카드 오편철을 점검합니다.
기록물건 정비: 기록물건의 열람범위를 검토하고 조정하며, 비공개 기록물의 공개여부를 재분류합니다.
처리과 비전자기록물의 정리:
미등록 기록물의 추가등록: 전자기록생산시스템에 등록되지 않은 비전자기록물을 확인하고 등록합니다.
색인 목록 일치 여부 확인: 기록물철의 색인목록과 실제 편철상태가 일치하는지 확인합니다.
생산접수 등록번호 표기 확인: 기록물에 생산등록번호나 접수등록번호가 표시되어 있는지 확인하고, 누락된 경우 표기합니다.
철표지 및 색인목록 인쇄: 기록물철의 철표지와 색인목록을 인쇄합니다.
철침 등 이물질 제거: 기록물에서 철침 등 이물질을 제거합니다.
쪽수 일치 여부 확인 및 면표시: 기록물철의 쪽수와 실제 쪽수가 일치하는지 확인하고, 면표시를 최종적으로 확정·표기합니다.
보존용 표지 및 클립 고정: 기록물철에 보존용 표지를 씌우고 클립으로 고정합니다.
보존상자 편성 및 배치 완료: 정리된 기록물을 보존상자에 편성하고 적절한 위치에 배치합니다.
이러한 절차를 통해 기록물은 체계적으로 정리되고, 이후의 보존과 활용에 용이해집니다. 기록물 정리는 기록관리의 핵심 업무 중 하나로, 정확하고 효율적인 기록물 관리를 위해 필수적입니다.</t>
  </si>
  <si>
    <t>ㆍ432_2412_통합민원과_업무메뉴얼_국가기록원_25년_기록물관리_지침.pdf (p.36, 37)
https://busanai.busan.go.kr/download/432_2412_통합민원과_업무메뉴얼_국가기록원_25년_기록물관리_지침.pdf
ㆍ423_2012_통합민원과_업무메뉴얼_통합민원과_비전자기록물_편철정리_요령.pdf (p.1)
https://busanai.busan.go.kr/download/423_2012_통합민원과_업무메뉴얼_통합민원과_비전자기록물_편철정리_요령.pdf</t>
  </si>
  <si>
    <t>공통업무 질문이기는 하지만
총괄담당자의 질문도 포함된다고 하면
해당 내용으로 답변이 괜찮을 것 같습니다.</t>
  </si>
  <si>
    <t>13~47P 본문 내용을 텍스트 파일로 변환 후 범정부 클로바 활용에 질의문+텍스트파일 포함해서 생성된 답변으로 기대답변 생성하면 될 거 같습니다
 기대답변 :
 기록물 정리 단계별 절차 안내
 1. 생산·등록
  - 관련 법령: 「공공기록물 관리에 관한 법률」 제16조, 제18조 등
  - 관리 대상: 공문서, 회의록, 행정박물 등 모든 형태의 기록물
  - 등록 시기:
  &gt; 결재문서: 결재 완료 후 즉시 등록
  &gt; 사진·필름: 선정된 보존 대상물만 등록
  &gt; 전자문서: 첨부파일 암호화 금지, 공개 여부 설정 필수
  - 등록번호 표기: 생산문서는 좌측 상단, 접수문서는 우측 상단에 표기
  - 분리등록: 본문과 첨부물이 다른 기록매체일 경우 분리해 관리 (예: 일반문서 + 도면)
 2. 분류·편철
  - 분류 기준:
  &gt; 공개여부: 공개/부분공개/비공개/열람불가로 구분
  &gt; 보존기간: 1년~30년, 준영구, 영구 중 법령·업무 중요도에 따라 책정
  - 기록관리기준표: 단위과제별 보존기간·공개여부를 체계화해 관리
  - 편철 방식:
  &gt; 기록물철 → 색인목록 → 문서 순으로 편철
  &gt; 1개 과제카드는 1개의 편철 묶음으로 관리
  &gt; 100매 이내 원칙 (초과 시 분철)
 3. 정리·이관
  - 정리 시기: 매년 2월 말까지 전년도 기록물 정리
  - 절차:
  &gt; 등록정보와 실제 기록물 일치 확인
  &gt; 보존상자에 연도별/보존기간별 분류
  &gt; 기록물철 표지·색인목록 첨부 후 편철용 집게로 고정
  - 이관 대상:
  &gt; 일반문서: 보존기간 기산일로부터 2년 내 이관
  &gt; 특수 기록물: 별도 계획에 따라 이관
 4. 평가·폐기
  - 평가 의미: 보존기간 경과 후 행정적·역사적 가치를 재검토해 보존기간 재책정 또는 폐기 결정
  - 폐기 절차:
  &gt; 처리과 의견 조회 → 기록관 심사 → 기록물평가심의회 심의
  &gt; 파쇄 등 방식으로 처리 (민간업체 위탁 시 공무원 입회 감독)
  - 주의사항:
  &gt; 처리과에서 임의 폐기 시 7년 이하 징역 또는 3,000만 원 이하 벌금
  &gt; 영구기록물은 평가 대상에서 제외
 5. 유의사항
  - 전자문서 관리: 온나라시스템에서 등록 후 기록관리시스템에도 이관
  - 보존기간 재책정: 평가 시 하향 조정은 불가
  - 기록물 철별 관리: 분철 시 권호수 표기 필수 (예: "기록물철 1-2")</t>
  </si>
  <si>
    <t>34</t>
  </si>
  <si>
    <t>2. 기록물 정리 및 이관 내용으로만 답변
전년도에 생산ㆍ접수가 완결된 기록물을 대상으로 생산현황보고에 앞서 등록사항과 실제 기록물 상태의
일치여부 확인 및 물리적인 정리 실시
• 각 처리과에서 전년도 기록물의 정리는 2월말까지 추진
• 등록정보와 실제 기록물 상태의 일치여부 확인 및 미비사항 보완
• 접근권한, 공개여부, 비밀여부 확인 후 변경이 필요한 경우 등록정보 수정
• 생산등록번호 또는 접수등록번호 표시여부 확인 및 누락된 경우 등록번호 표기
• 전자적 형태로 생산되지 않은 기록물의 경우 기록물철 단위 면표시 표기
• 기록물철을 생산연도별ㆍ보존기간별로 구분하여 보존상자 편성
이관계획에 따라 정리된 기록물 이관 처리
① 처리과 → 기록관 이관 [오프라인 이관]
• 비전자 일반문서 : 보존기간 기산일로부터 2년 이내 이관
• 일바문서 외 비전자기록물 : 별도 이관계획에 따라 이관
② 온나라시스템 → 기록관리시스템 이관 [온라인 이관]
• 온나라시스템으로 생산ㆍ접수한 전년도 기록물
- 전자기록물(등록정보+전자문서) 및 비전자기록물(등록정보)</t>
  </si>
  <si>
    <t>(정답 포함됨. 4순위)</t>
  </si>
  <si>
    <r>
      <rPr>
        <rFont val="맑은 고딕"/>
        <b/>
        <color rgb="FF000000"/>
        <sz val="11.0"/>
      </rPr>
      <t>ㆍ423_2012_통합민원과_업무메뉴얼_통합민원과_비전자기록물_편철정리_요령.pdf (p.1)</t>
    </r>
    <r>
      <rPr>
        <rFont val="맑은 고딕"/>
        <color rgb="FF000000"/>
        <sz val="11.0"/>
      </rPr>
      <t xml:space="preserve">
-----
[p.1]
 기록물 정리
○ 사안이 종결된 문서는 진행문서파일에서 꺼내어 사안발생순서(1월→12월)에 따라 위에서 아래로 정리
○ 기록물 정리 대상은 원본기록물이며, 전자문서 출력본 및 참고용 사본은 제거
○ 예외 : 분리등록한 비전자 문서의 전자문서 출력본은 함께 편철ㆍ관리하며 반드시 전자문서임을 표시
○ 부득이 전자문서 출력본 등 사본을 함께 관리해야 하는 경우, 전자문서 또는 사본임을 표시
○ 책철침, 클립, 철침 등 철제품류는 모두 제거
 기록물의 편철
○ 기록물철 표지 → 색인목록 → 문서(사안발생순)의 순으로 편철
○ 편철 후 보존용표지 씌워 집게로 고정
○ 기록물 편철량은 100매 이내를 원칙으로 하되, 편철량이 과다한 경우에는 2권 이상으로 분철(분철 기준 </t>
    </r>
    <r>
      <rPr>
        <rFont val="Segoe UI Symbol"/>
        <color rgb="FF000000"/>
        <sz val="11.0"/>
      </rPr>
      <t>➡</t>
    </r>
    <r>
      <rPr>
        <rFont val="맑은 고딕"/>
        <color rgb="FF000000"/>
        <sz val="11.0"/>
      </rPr>
      <t xml:space="preserve"> 건 단위)
▶ 분철의 기준은 기록물건이며, 1건의 기록물은 편철량이 많더라도 분철 불가
▶ 편철용 집게로 고정 가능한 경우, 100매 초과하여 편철 가능(분철 최소화)
○ 분철된 기록물은 기록물철 표지 및 보존상자 표지에 권호수(전체 권수 - 해당 기록물 호수) 반드시 기재
[예] 기록물 이관 및 검수(2-1), 기록물 이관 및 검수(2-2)
 면 표시
○ 기록물 면표시 위치
</t>
    </r>
    <r>
      <rPr>
        <rFont val="Segoe UI Symbol"/>
        <color rgb="FF000000"/>
        <sz val="11.0"/>
      </rPr>
      <t>▪</t>
    </r>
    <r>
      <rPr>
        <rFont val="맑은 고딕"/>
        <color rgb="FF000000"/>
        <sz val="11.0"/>
      </rPr>
      <t xml:space="preserve"> 기록물 건별 면표시 : 중앙 하단, 전체 쪽수 - 해당 쪽수
</t>
    </r>
    <r>
      <rPr>
        <rFont val="Segoe UI Symbol"/>
        <color rgb="FF000000"/>
        <sz val="11.0"/>
      </rPr>
      <t>▪</t>
    </r>
    <r>
      <rPr>
        <rFont val="맑은 고딕"/>
        <color rgb="FF000000"/>
        <sz val="11.0"/>
      </rPr>
      <t xml:space="preserve"> 기록물 철별 면표시 : 우측 하단(기록물을 보는 방향의 우측 하단)</t>
    </r>
  </si>
  <si>
    <r>
      <rPr>
        <rFont val="맑은 고딕"/>
        <b/>
        <color rgb="FF000000"/>
        <sz val="11.0"/>
      </rPr>
      <t>ㆍ432_2412_통합민원과_업무메뉴얼_국가기록원_25년_기록물관리_지침.pdf (p.37)</t>
    </r>
    <r>
      <rPr>
        <rFont val="맑은 고딕"/>
        <color rgb="FF000000"/>
        <sz val="11.0"/>
      </rPr>
      <t xml:space="preserve">
------
[p.37]
1. 매년 2월말까지 기록물의 정리를 어떻게 해야 하는지?
☞ 전자기록생산시스템에 등록된 기록물이 적절한 단위과제(단위과제카드)에 편철 되었는지 확인 후 오편철된 경우 재편철, 미등록된 기록물 추가 등록, 등록정보와 실제 기록물 상태 확인 및 미비점 보완, 열람범위, 공개여부 등을 확인하여 변경이 필요한 경우 수정, 전자적으로 생산되지 않은 기록물의 쪽수를 확인하여 기록물철 단위의 면표시를 최종적으로 확정·표기, 보존상자 편성(생산연도별, 보존기간별) 등을 실시하여야 함
2. 처리과의 기록물관리책임자는 어떤 역할을 수행해야 하는지?
☞ 기록물 및 단위과제카드(기록물철)의 생성·관리, 처리과별 기록관리기준표 작성·관리, 단위과제별 단위과제카드(단위업무별 기록물철) 작성기준의 수립, 기록물의 정리·보관 및 이관, 간행물의 등록 및 관리 등의 처리과의 기록물관리 업무를 수행해야 함</t>
    </r>
  </si>
  <si>
    <t xml:space="preserve">기록물의 보존기간을 업무별로 알려주세요 </t>
  </si>
  <si>
    <t>기록물의 보존기간이 업무 유형별로 어떻게 구분되고, 각 업무별로 적용되는 보존기간은 얼마인가요?</t>
  </si>
  <si>
    <t>기록물의 보존기간은 해당 업무의 중요도와 법적 요구사항에 따라 결정됩니다. 일반적으로 다음과 같은 기준으로 보존기간이 책정됩니다:
영구(永久): 국가적으로 중요한 역사적, 문화적 가치가 있는 기록물로서, 영구히 보존하여 후대에 전해야 하는 기록물입니다. 예를 들어, 국가의 헌법, 법률, 조약, 대통령 기록물 등이 이에 해당합니다.
준영구(準永久): 영구 보존 대상은 아니지만, 장기간 보존이 필요한 기록물로서, 일반적으로 100년 이상의 보존기간을 가집니다. 역사적 가치가 높은 문서나 중요한 정책 결정 과정의 기록물 등이 이에 포함됩니다.
30년(三十年): 중요한 행정적 결정이나 정책 수립에 관련된 기록물로서, 30년 동안 보존됩니다. 예를 들어, 주요 사업 계획이나 대규모 프로젝트의 기록물 등이 이에 해당합니다.
10년(十年): 일반적인 행정 업무 수행에 필요한 기록물로서, 10년 동안 보존됩니다. 일상적인 업무 처리 과정에서 생성되는 문서나 보고서 등이 이에 포함됩니다.
5년(五年): 비교적 중요도가 낮은 기록물로서, 5년 동안 보존됩니다. 예를 들어, 단기적인 행사나 회의 관련 문서 등이 이에 해당합니다.
3년(三年): 보존 필요성이 낮은 기록물로서, 3년 동안 보존됩니다. 일상적인 업무 연락이나 단순 정보 교환에 관련된 문서 등이 이에 포함됩니다.
1년(一年): 보존 가치가 거의 없는 기록물로서, 1년 동안 보존됩니다. 임시적인 업무나 일회성 행사 관련 문서 등이 이에 해당합니다.
이러한 보존기간은 각 업무의 특성과 법적 요구사항을 고려하여 책정되며, 기록물의 중요도와 활용 가능성을 평가하여 결정됩니다. 또한, 특정 업무에 따라 법령이나 지침에서 별도의 보존기간을 지정하는 경우도 있으므로, 해당 업무의 관련 법령이나 지침을 참고하는 것이 중요합니다.</t>
  </si>
  <si>
    <t>ㆍ432_2412_통합민원과_업무메뉴얼_국가기록원_25년_기록물관리_지침.pdf (p.18, 141, 238)
https://busanai.busan.go.kr/download/432_2412_통합민원과_업무메뉴얼_국가기록원_25년_기록물관리_지침.pdf</t>
  </si>
  <si>
    <t>이상없습니다</t>
  </si>
  <si>
    <t>기록물의 보존기간은 해당 업무의 중요도와 법적 요구사항에 따라 결정됩니다. 일반적으로 다음과 같은 기준으로 보존기간이 책정됩니다:
 영구(永久): 국가적으로 중요한 역사적, 문화적 가치가 있는 기록물로서, 영구히 보존하여 후대에 전해야 하는 기록물입니다. 예를 들어, 국가의 헌법, 법률, 조약, 대통령 기록물 등이 이에 해당합니다.
 준영구(準永久): 영구 보존 대상은 아니지만, 장기간 보존이 필요한 기록물로서, 일반적으로 100년 이상의 보존기간을 가집니다. 역사적 가치가 높은 문서나 중요한 정책 결정 과정의 기록물 등이 이에 포함됩니다.
 30년(三十年): 중요한 행정적 결정이나 정책 수립에 관련된 기록물로서, 30년 동안 보존됩니다. 예를 들어, 주요 사업 계획이나 대규모 프로젝트의 기록물 등이 이에 해당합니다.
 10년(十年): 일반적인 행정 업무 수행에 필요한 기록물로서, 10년 동안 보존됩니다. 일상적인 업무 처리 과정에서 생성되는 문서나 보고서 등이 이에 포함됩니다.
 5년(五年): 비교적 중요도가 낮은 기록물로서, 5년 동안 보존됩니다. 예를 들어, 단기적인 행사나 회의 관련 문서 등이 이에 해당합니다.
 3년(三年): 보존 필요성이 낮은 기록물로서, 3년 동안 보존됩니다. 일상적인 업무 연락이나 단순 정보 교환에 관련된 문서 등이 이에 포함됩니다.
 1년(一年): 보존 가치가 거의 없는 기록물로서, 1년 동안 보존됩니다. 임시적인 업무나 일회성 행사 관련 문서 등이 이에 해당합니다.
 이러한 보존기간은 각 업무의 특성과 법적 요구사항을 고려하여 책정되며, 기록물의 중요도와 활용 가능성을 평가하여 결정됩니다. 또한, 특정 업무에 따라 법령이나 지침에서 별도의 보존기간을 지정하는 경우도 있으므로, 해당 업무의 관련 법령이나 지침을 참고하는 것이 중요합니다.</t>
  </si>
  <si>
    <t>236, 237, 238</t>
  </si>
  <si>
    <t>p.236 ~ p.238에 있는 표 데이터 사용</t>
  </si>
  <si>
    <t>업무별 기록물 보존기간에 대한 설명</t>
  </si>
  <si>
    <t>공무원이 의무로 이수하여야 하는 교육이 무엇인가요?</t>
  </si>
  <si>
    <t>공무원이 법령상 반드시 이수해야 하는 의무교육의 종류와 부서별로 적용되는 세부 교육 항목은 무엇인가요?</t>
  </si>
  <si>
    <t>공무원이 의무로 이수해야 하는 교육은 '빛공해 방지 및 좋은빛 조성을 위한 정책 및 관리형 전문가 교육’입니다. 이 교육은 부산시에서 빛공해 문제 해결과 좋은빛 환경 조성을 위해 공무원들의 전문 역량을 강화하기 위해 실시하는 것으로, 빛공해의 기본 이론부터 정책 및 법규, 그리고 현장에서 적용할 수 있는 실무 기술까지 포함하고 있습니다. 이 교육을 통해 공무원들은 빛공해 문제에 대한 기술적 지식과 문제 해결 능력을 향상시키고, 민원에 대한 신속하고 일관된 대응을 할 수 있게 됩니다. 또한, 실무 역량을 갖춘 공무원들이 늘어남에 따라 지속 가능한 좋은빛 조성 관리가 가능해집니다. 이 교육은 매년 1회(4~5일) 실시되며, 예산은 시비 100백만원으로 편성되어 있습니다.</t>
  </si>
  <si>
    <t>ㆍ463_2501_환경정책과_정책용역보고서_환경정책과_빛공해방지계획최종보고서.pdf (p.207, 209)
https://busanai.busan.go.kr/download/463_2501_환경정책과_정책용역보고서_환경정책과_빛공해방지계획최종보고서.pdf</t>
  </si>
  <si>
    <t>부산시청 내 회의장의 수용가능인원을 알려주세요</t>
  </si>
  <si>
    <t>부산시청에서 운영 중인 각 회의실별 정원(수용 가능 인원)을 확인할 수 있나요?</t>
  </si>
  <si>
    <t>기대답변 :
 - 1층 대강당 : 696명
 - 3층 식당 1~3 회의실 : 16명
 - 지하 3층 1-3 회의실 : 10~30명
 - 12층 국제회의장 : 290명 
 - 12층 소회의실-1 : 40명
 - 12층 소회의실-2 : 40명
 - 도모헌 계단식 강연장 : 100명
 - 도모헌 콘퍼런스룸 : 20명
 - 26층 회의실 : 20명
 - 8층 기획조정실 회의실 : 15명
 - 10층 행정자치국 회의실 : 15명
 - 16층 교통혁신국 회의실 : 15명
 - 17층 디지털경제실 회의실 : 15명
 - 18층 해양농수산국 회의실 : 15명
 - 20층(복도) (도시공간계획국) : 20명
 - 22층(복도) (환경물정책실) : 20명
 - 24층(복도) (도시혁신균형실) : 20명
 - 24층 노조 회의실 : 15명
 - 시의회 대회의실 : 60명
 - 시의회 의원회관 지하1층 회의실 : 60명
 - 10,11,14,15,17,18,23층 부스형 회의실 : 10명</t>
  </si>
  <si>
    <t>1281_게시판_시청사_회의장회의실_현황-hwp.pdf</t>
  </si>
  <si>
    <t>본문 표 내용 참조</t>
  </si>
  <si>
    <t>부산시청 회의장 수용가능인원 안내, 부산시청 회의장 예약방법 안내</t>
  </si>
  <si>
    <t>물품·용역 계약 시 일반적인 절차와 유의사항은 무엇인가요?</t>
  </si>
  <si>
    <t>물품·용역 계약을 추진할 때, 담당자가 반드시 따라야 하는 절차와 단계별로 확인해야 할 유의사항은 무엇인가요?</t>
  </si>
  <si>
    <t>물품·용역 계약 시 일반적인 절차와 유의사항은 다음과 같습니다.
계약 목적물의 명확화: 계약의 목적물을 명확히 정의하고, 물품과 용역의 구분을 정확히 해야 합니다. 이는 계약 내용의 혼선을 방지하고, 적절한 발주 방식을 선택하는 데 중요합니다.
관련 법령 및 규정 준수: 계약 체결 시 관련 법령과 규정을 준수해야 합니다. 예를 들어, '중소기업자간 경쟁제품 및 공사용자재 직접구매대상 품목 지정 내역’에 포함된 경우 '중소기업자간 경쟁’으로 발주해야 하며, (소상공인) 중소기업확인서 및 직접생산증명확인서를 확인해야 합니다.
분할계약 금지: 동일 구조물 공사 또는 단일 공사의 분할계약은 금지됩니다. 그러나 다른 법령에 따라 다른 업종의 공사와 분리 발주할 수 있도록 규정된 경우에는 예외적으로 분할계약이 가능합니다. 예를 들어, '전기공사업법’에 따른 전기공사, '정보통신공사업법’에 따른 통신공사, '소방시설공사업법’에 따른 소방시설공사 등이 있습니다.
분할·분리계약 가능 여부 검토: 예산 편성과 기본설계 등 사업의 계획단계부터 분할·분리계약 가능 여부를 검토해야 합니다. 이는 계약 목적물의 일부에 공사가 포함된 경우 관련 법령의 준수 여부, 각 목적물 유형별 독립성 및 가분성, 하자 등 책임 구분의 용이성, 계약 이행 관리의 효율성 등을 고려하여 결정합니다.
예정가격 산정 시 유의사항: 예정가격 산정 시 설치비용 등 부수적인 목적물에 대한 비용이 누락되지 않도록 확인해야 합니다. 또한, 공사가 혼재된 계약의 경우 의무가입이 요구되는 보험료, 환경보전비, 폐기물처리비, 산업안전보건관리비 등을 관련 법령에서 정한 바에 따라 계상해야 합니다.
물품·용역·공사의 혼재된 계약 주의: 계약 목적물이 공사가 명백함에도 불구하고 물품·공사 또는 용역·공사의 혼재된 계약으로 판단하여 물품 또는 용역으로 발주하지 않도록 주의해야 합니다.
적격심사 시 이행실적 및 신인도 평가: 적격심사 시 이행실적 또는 신인도 평가가 있는 경우, 계약담당자는 실적으로 인정하는 범위 등을 공고문에 명시하고, 필요 시 발주담당자에게 그 인정여부를 확인해야 합니다.
복합공종 용역의 발주: 복합공종 용역의 경우 개별 공종의 비율이 적격심사 및 낙찰자 결정에 영향을 미치므로, 발주계획 수립 시 개별 공종의 비율 및 금액을 반드시 명시해야 합니다.
특정 용역의 발주 시 유의사항: 기술·학술연구용역, 건설폐기물처리용역, 일반용역 등 용역의 성격에 따라 발주해야 하며, 각각의 경우 관련 법령 및 예규를 준수해야 합니다.
계약 소요기간 고려: 국제입찰로 진행하는 물품의 경우, 적격심사 시 일반적인 중소기업 신인도 등을 인정하지 않아 계약체결까지 시간이 오래 걸릴 수 있으므로, 발주부서에서는 계약 소요기간을 고려하여 충분한 시간적 여유를 두고 발주계획을 수립해야 합니다.
이러한 절차와 유의사항을 준수함으로써 계약의 효율성과 법적 안정성을 확보할 수 있습니다. 계약 담당자는 관련 법령과 지침을 숙지하고, 계약 진행 과정에서 발생할 수 있는 문제를 사전에 예방하기 위해 노력해야 합니다.</t>
  </si>
  <si>
    <t>ㆍ473_2411_회계재산담당관_업무매뉴얼_한국지방재정공제회_2024년_개정판_용역계약_길라잡이한국지방재정공제회.pdf (p.19)
https://busanai.busan.go.kr/download/473_2411_회계재산담당관_업무매뉴얼_한국지방재정공제회_2024년_개정판_용역계약_길라잡이한국지방재정공제회.pdf
ㆍ478_2505_회계재산담당관_업무매뉴얼_회계재산담당관_계약업무_참고자료회계재산담당관외부용.pdf (p.7)
https://busanai.busan.go.kr/download/478_2505_회계재산담당관_업무매뉴얼_회계재산담당관_계약업무_참고자료회계재산담당관외부용.pdf
ㆍ475_2501_회계재산담당관_업무매뉴얼_회계재산담당관_2025년_계약업무_통합운영_매뉴얼2511_회계재산담당관_계약지원팀.pdf (p.16)
https://busanai.busan.go.kr/download/475_2501_회계재산담당관_업무매뉴얼_회계재산담당관_2025년_계약업무_통합운영_매뉴얼2511_회계재산담당관_계약지원팀.pdf</t>
  </si>
  <si>
    <r>
      <rPr>
        <rFont val="Malgun Gothic"/>
        <color theme="1"/>
        <sz val="11.0"/>
      </rPr>
      <t>근거문서는 맞습니다
기대답변에서 유의사항 위주로 좀 출력이 된거 같은데
계약 절차에 대한 내용도 각각 정리되었으면 합니다
기대답변: 기존 답변에 계약 절차 관련 추가 필요
1. 계약 절차
  ○ 계약심사 : 추정금액 종합공사 5억원, 전문공사 등 3억원, 용역 1억원, 물품 2천만원 이상(조달청 의뢰계약, 협상에 의한 계약 제외) 
    ※ 공사원가 사전검토 : 추정가격 100억원 이상인 공사 → 조달청에 공사원가 사전 검토 요청
  ○ 사전규격공개(5천만원 이상)  :  용역(과업지시서 등), 물품(규격서, 제작시방서 등) g2b 공개 5일(긴급3일)
  ○ 계약심의  : 광역지자체 - 추정가격 공사 70억원, 용역</t>
    </r>
    <r>
      <rPr>
        <rFont val="Tahoma"/>
        <color theme="1"/>
        <sz val="11.0"/>
      </rPr>
      <t>․</t>
    </r>
    <r>
      <rPr>
        <rFont val="맑은 고딕"/>
        <color theme="1"/>
        <sz val="11.0"/>
      </rPr>
      <t xml:space="preserve">물품 20억원 이상(긴급한 재해복구사업, 지역경제 활성화를 위하여 예산을 조기집행할 필요가 있는 사업 제외
  ○ 계약의뢰 : 계약부서로 계약 의뢰
  ○ 일상감사 : 추정가격 종합공사 5억원, 전문공사 등 3억원, 용역 2억원, 물품 2천만원 이상(조달청 의뢰계약 제외), 계약부서에서 입찰공고 직전 일상감사 부서로 일상감사 의뢰(예외 : PQ 설계공모, 협상에 의한 계약은 발주부서가 의뢰, 단, 협상계약(용역2억↑,물품2천만↑은 계약부서 타당성검토 받은 후 요청)  
</t>
    </r>
  </si>
  <si>
    <t>기존 답변에 계약 절차 관련 추가 필요
 1. 계약 절차
  ○ 계약심사 : 추정금액 종합공사 5억원, 전문공사 등 3억원, 용역 1억원, 물품 2천만원 이상(조달청 의뢰계약, 협상에 의한 계약 제외) 
  ※ 공사원가 사전검토 : 추정가격 100억원 이상인 공사 → 조달청에 공사원가 사전 검토 요청
  ○ 사전규격공개(5천만원 이상) : 용역(과업지시서 등), 물품(규격서, 제작시방서 등) g2b 공개 5일(긴급3일)
  ○ 계약심의 : 광역지자체 - 추정가격 공사 70억원, 용역․물품 20억원 이상(긴급한 재해복구사업, 지역경제 활성화를 위하여 예산을 조기집행할 필요가 있는 사업 제외
  ○ 계약의뢰 : 계약부서로 계약 의뢰
  ○ 일상감사 : 추정가격 종합공사 5억원, 전문공사 등 3억원, 용역 2억원, 물품 2천만원 이상(조달청 의뢰계약 제외), 계약부서에서 입찰공고 직전 일상감사 부서로 일상감사 의뢰(예외 : PQ 설계공모, 협상에 의한 계약은 발주부서가 의뢰, 단, 협상계약(용역2억↑,물품2천만↑은 계약부서 타당성검토 받은 후 요청)</t>
  </si>
  <si>
    <t>478_2505_회계재산담당관_업무매뉴얼_회계재산담당관_계약업무_참고자료회계재산담당관외부용.pdf
473_2411_회계재산담당관_업무매뉴얼_한국지방재정공제회_2024년_개정판_용역계약_길라잡이한국지방재정공제회.pdf
472_2411_회계재산담당관_업무매뉴얼_한국지방재정공제회_2024년_개정판_물품계약_길라잡이한국지방재정공제회.pdf</t>
  </si>
  <si>
    <t>9, 10, 11, 12
18~25
20~26</t>
  </si>
  <si>
    <r>
      <rPr>
        <rFont val="Malgun Gothic"/>
        <color theme="1"/>
        <sz val="11.0"/>
      </rPr>
      <t xml:space="preserve">계약절차 - 계약집행 흐름도 본문 전체
유의사항 - 계약 시 유의사항 본문 전체
유의사항 - 계약 시 유의사항 본문 전체 
----------
</t>
    </r>
    <r>
      <rPr>
        <rFont val="Arial"/>
        <color rgb="FF0432FF"/>
        <sz val="11.0"/>
      </rPr>
      <t>[Top5 내에 포함될 수 있도록 문서 수량 조정 필요]</t>
    </r>
    <r>
      <rPr>
        <rFont val="Arial"/>
        <color theme="1"/>
        <sz val="11.0"/>
      </rPr>
      <t xml:space="preserve">
</t>
    </r>
    <r>
      <rPr>
        <rFont val="Arial"/>
        <color rgb="FF00B050"/>
        <sz val="11.0"/>
      </rPr>
      <t xml:space="preserve">&gt;&gt; 계약 절차에 대한 내용은 전체 검색, 유의사항은 각 문서의 목록만 확인(예: 제1장 계약일반 제5절 계약 유의사항)해서 관련 페이지 전달 등으로 대체 가능한지 확인 바랍니다.
</t>
    </r>
    <r>
      <rPr>
        <rFont val="Malgun Gothic"/>
        <color rgb="FFFF0000"/>
        <sz val="11.0"/>
      </rPr>
      <t xml:space="preserve">&gt;&gt; 위의 내용을 반영해 파일과 링크를 안내하는 FAQ를 별도 작성하는게 좋을것 같습니다. 
</t>
    </r>
    <r>
      <rPr>
        <rFont val="Malgun Gothic"/>
        <color rgb="FF00B050"/>
        <sz val="11.0"/>
      </rPr>
      <t>&gt;&gt; FAQ 처리</t>
    </r>
  </si>
  <si>
    <r>
      <rPr>
        <rFont val="Malgun Gothic"/>
        <color rgb="FF000000"/>
        <sz val="11.0"/>
      </rPr>
      <t xml:space="preserve">473_2411_회계재산담당관_업무매뉴얼_한국지방재정공제회_2024년_개정판_용역계약_길라잡이한국지방재정공제회.pdf (p.19)
------
[p.19]
나. 분할발주를 하지 않는 경우 예정가격 작성 시 유의사항
</t>
    </r>
    <r>
      <rPr>
        <rFont val="Segoe UI Symbol"/>
        <color rgb="FF000000"/>
        <sz val="11.0"/>
      </rPr>
      <t>❍</t>
    </r>
    <r>
      <rPr>
        <rFont val="맑은 고딕"/>
        <color rgb="FF000000"/>
        <sz val="11.0"/>
      </rPr>
      <t xml:space="preserve"> 예정가격 산정 시 설치비용 등 부수적인 목적물에 대한 비용의 누락 여부 확인 </t>
    </r>
    <r>
      <rPr>
        <rFont val="Segoe UI Symbol"/>
        <color rgb="FF000000"/>
        <sz val="11.0"/>
      </rPr>
      <t>❍</t>
    </r>
    <r>
      <rPr>
        <rFont val="맑은 고딕"/>
        <color rgb="FF000000"/>
        <sz val="11.0"/>
      </rPr>
      <t xml:space="preserve"> 공사가 혼재된 계약의 예정가격 산정 시 의무가입이 요구되는 보험료 및 환경보전비, 
폐기물처리비, 산업안전보건관리비 등을 </t>
    </r>
    <r>
      <rPr>
        <rFont val="Noto Sans KR"/>
        <color rgb="FF000000"/>
        <sz val="11.0"/>
      </rPr>
      <t>｢</t>
    </r>
    <r>
      <rPr>
        <rFont val="맑은 고딕"/>
        <color rgb="FF000000"/>
        <sz val="11.0"/>
      </rPr>
      <t>건설산업기본법</t>
    </r>
    <r>
      <rPr>
        <rFont val="Noto Sans KR"/>
        <color rgb="FF000000"/>
        <sz val="11.0"/>
      </rPr>
      <t>｣</t>
    </r>
    <r>
      <rPr>
        <rFont val="맑은 고딕"/>
        <color rgb="FF000000"/>
        <sz val="11.0"/>
      </rPr>
      <t xml:space="preserve"> 제22조 제7항 등 관련 법령에서 정한 바에 따라 계상하였는지 여부
</t>
    </r>
    <r>
      <rPr>
        <rFont val="Segoe UI Symbol"/>
        <color rgb="FF000000"/>
        <sz val="11.0"/>
      </rPr>
      <t>❍</t>
    </r>
    <r>
      <rPr>
        <rFont val="맑은 고딕"/>
        <color rgb="FF000000"/>
        <sz val="11.0"/>
      </rPr>
      <t xml:space="preserve"> </t>
    </r>
    <r>
      <rPr>
        <rFont val="Noto Sans KR"/>
        <color rgb="FF000000"/>
        <sz val="11.0"/>
      </rPr>
      <t>｢</t>
    </r>
    <r>
      <rPr>
        <rFont val="맑은 고딕"/>
        <color rgb="FF000000"/>
        <sz val="11.0"/>
      </rPr>
      <t>건설산업기본법</t>
    </r>
    <r>
      <rPr>
        <rFont val="Noto Sans KR"/>
        <color rgb="FF000000"/>
        <sz val="11.0"/>
      </rPr>
      <t>｣</t>
    </r>
    <r>
      <rPr>
        <rFont val="맑은 고딕"/>
        <color rgb="FF000000"/>
        <sz val="11.0"/>
      </rPr>
      <t xml:space="preserve">, </t>
    </r>
    <r>
      <rPr>
        <rFont val="Noto Sans KR"/>
        <color rgb="FF000000"/>
        <sz val="11.0"/>
      </rPr>
      <t>｢</t>
    </r>
    <r>
      <rPr>
        <rFont val="맑은 고딕"/>
        <color rgb="FF000000"/>
        <sz val="11.0"/>
      </rPr>
      <t>전기공사업법</t>
    </r>
    <r>
      <rPr>
        <rFont val="Noto Sans KR"/>
        <color rgb="FF000000"/>
        <sz val="11.0"/>
      </rPr>
      <t>｣</t>
    </r>
    <r>
      <rPr>
        <rFont val="맑은 고딕"/>
        <color rgb="FF000000"/>
        <sz val="11.0"/>
      </rPr>
      <t xml:space="preserve">, </t>
    </r>
    <r>
      <rPr>
        <rFont val="Noto Sans KR"/>
        <color rgb="FF000000"/>
        <sz val="11.0"/>
      </rPr>
      <t>｢</t>
    </r>
    <r>
      <rPr>
        <rFont val="맑은 고딕"/>
        <color rgb="FF000000"/>
        <sz val="11.0"/>
      </rPr>
      <t>정보통신공사업법</t>
    </r>
    <r>
      <rPr>
        <rFont val="Noto Sans KR"/>
        <color rgb="FF000000"/>
        <sz val="11.0"/>
      </rPr>
      <t>｣</t>
    </r>
    <r>
      <rPr>
        <rFont val="맑은 고딕"/>
        <color rgb="FF000000"/>
        <sz val="11.0"/>
      </rPr>
      <t xml:space="preserve"> 등 공사 관련 법령에 따라 계약 목적물이 공사가 명백함에도 물품</t>
    </r>
    <r>
      <rPr>
        <rFont val="Noto Sans KR"/>
        <color rgb="FF000000"/>
        <sz val="11.0"/>
      </rPr>
      <t>･</t>
    </r>
    <r>
      <rPr>
        <rFont val="맑은 고딕"/>
        <color rgb="FF000000"/>
        <sz val="11.0"/>
      </rPr>
      <t>공사 또는 용역</t>
    </r>
    <r>
      <rPr>
        <rFont val="Noto Sans KR"/>
        <color rgb="FF000000"/>
        <sz val="11.0"/>
      </rPr>
      <t>･</t>
    </r>
    <r>
      <rPr>
        <rFont val="맑은 고딕"/>
        <color rgb="FF000000"/>
        <sz val="11.0"/>
      </rPr>
      <t xml:space="preserve">공사의 혼재된 계약으로 판단하여 물품 또는 용역으로 발주하지 않도록 주의
※ </t>
    </r>
    <r>
      <rPr>
        <rFont val="Noto Sans KR"/>
        <color rgb="FF000000"/>
        <sz val="11.0"/>
      </rPr>
      <t>｢</t>
    </r>
    <r>
      <rPr>
        <rFont val="맑은 고딕"/>
        <color rgb="FF000000"/>
        <sz val="11.0"/>
      </rPr>
      <t>지방계약법 시행령</t>
    </r>
    <r>
      <rPr>
        <rFont val="Noto Sans KR"/>
        <color rgb="FF000000"/>
        <sz val="11.0"/>
      </rPr>
      <t>｣</t>
    </r>
    <r>
      <rPr>
        <rFont val="맑은 고딕"/>
        <color rgb="FF000000"/>
        <sz val="11.0"/>
      </rPr>
      <t xml:space="preserve"> 제16조 제3항
계약의 특성상 물품과 용역을 통합 발주하는 것이 효율적이라고 판단되는 경우에는 물품과 용역을 한꺼번에 입찰에 부칠 수 있다.</t>
    </r>
  </si>
  <si>
    <r>
      <rPr>
        <rFont val="Malgun Gothic"/>
        <color rgb="FF000000"/>
        <sz val="11.0"/>
      </rPr>
      <t xml:space="preserve">478_2505_회계재산담당관_업무매뉴얼_회계재산담당관_계약업무_참고자료회계재산담당관외부용.pdf (p.7)
-----
[p.7]
계약 유의사항
(1) 분할계약 금지 
- 동일 구조물 공사 또는 단일 공사의 분할계약 금지
- 분할계약의 예외 (다른 법령에 따라 다른 업종의 공사와 분리 발주할 수 있도로 규정된 공사) ex) </t>
    </r>
    <r>
      <rPr>
        <rFont val="Noto Sans KR"/>
        <color rgb="FF000000"/>
        <sz val="11.0"/>
      </rPr>
      <t>｢</t>
    </r>
    <r>
      <rPr>
        <rFont val="맑은 고딕"/>
        <color rgb="FF000000"/>
        <sz val="11.0"/>
      </rPr>
      <t>전기공사업법</t>
    </r>
    <r>
      <rPr>
        <rFont val="Noto Sans KR"/>
        <color rgb="FF000000"/>
        <sz val="11.0"/>
      </rPr>
      <t>｣</t>
    </r>
    <r>
      <rPr>
        <rFont val="맑은 고딕"/>
        <color rgb="FF000000"/>
        <sz val="11.0"/>
      </rPr>
      <t xml:space="preserve">에 따른 전기공사, </t>
    </r>
    <r>
      <rPr>
        <rFont val="Noto Sans KR"/>
        <color rgb="FF000000"/>
        <sz val="11.0"/>
      </rPr>
      <t>｢</t>
    </r>
    <r>
      <rPr>
        <rFont val="맑은 고딕"/>
        <color rgb="FF000000"/>
        <sz val="11.0"/>
      </rPr>
      <t>정보통신공사업법</t>
    </r>
    <r>
      <rPr>
        <rFont val="Noto Sans KR"/>
        <color rgb="FF000000"/>
        <sz val="11.0"/>
      </rPr>
      <t>｣</t>
    </r>
    <r>
      <rPr>
        <rFont val="맑은 고딕"/>
        <color rgb="FF000000"/>
        <sz val="11.0"/>
      </rPr>
      <t xml:space="preserve">에 따른 통신공사, 
</t>
    </r>
    <r>
      <rPr>
        <rFont val="Noto Sans KR"/>
        <color rgb="FF000000"/>
        <sz val="11.0"/>
      </rPr>
      <t>｢</t>
    </r>
    <r>
      <rPr>
        <rFont val="맑은 고딕"/>
        <color rgb="FF000000"/>
        <sz val="11.0"/>
      </rPr>
      <t>소방시설공사업법</t>
    </r>
    <r>
      <rPr>
        <rFont val="Noto Sans KR"/>
        <color rgb="FF000000"/>
        <sz val="11.0"/>
      </rPr>
      <t>｣</t>
    </r>
    <r>
      <rPr>
        <rFont val="맑은 고딕"/>
        <color rgb="FF000000"/>
        <sz val="11.0"/>
      </rPr>
      <t>에 따른 소방시설공사 등
- 기본설계 등 사업의 계획단계부터 분할계약 가능 여부 검토
(2) 물품·용역·공사가 혼재된 계약의 집행
- 사업 계획단계부터 다음 사항에 따라 분할발주 여부 검토
- 「건설산업기본법」, 「전기공사업법」, 「정보통신공사업법」 등 공사 관련 법령에 따라 계약 목적물이 공사가 명백함에도 물품·공사 또는 용역·공사의 혼재된 계약으로 판단하여 물품 또는 용역으로 발주하지 않도록 주의
· 공사 vs 용역 : 자격과 하자보증 여부
· 물품 vs 용역 : 실물 물품 여부</t>
    </r>
  </si>
  <si>
    <t>475_2501_회계재산담당관_업무매뉴얼_회계재산담당관_2025년_계약업무_통합운영_매뉴얼2511_회계재산담당관_계약지원팀.pdf (p.16)
-----
[p.16]
q 물품 계약
 1. 물품 계약 일반 유의사항은?
 -「중소기업자간 경쟁제품 및 공사용자재 직접구매대상 품목 지정 내역」포함된 경우 : ‘중소기업자간 경쟁’ 발주 ☞ (소상공인)중소기업확인서 및 직접생산증명확인서 - 추정가격에 따른 발주방법
 ① 1억원 ~ 2.3억원 ☞ 중소기업자 우선조달
 ② 3.5원 이상 ☞ 국제입찰
 - 물품의 단순 구매가 아닌 제조로 발주할 경우
 : 제조를 위한 기술인력 및 시설ㆍ장비 기준 명시 ☞ 기술능력 평가기준으로 사용 - 적격심사 시 이행실적 또는 신인도 평가가 있는 물품의 경우 계약담당자는
실적으로 인정하는 물품의 범위 등을 공고문에 명시하고 필요 시, 발주담당자에게 그 인정여부를 확인할 수 있음.
 2. ‘중소기업자간 경쟁’ 물품 발주 시, 유의사항은?
 - 금액과 상관없이 해당 물품이 지정 내역에 포함되어 있을 경우 ‘중소기업자간 경쟁’으로 발주하며, 해당 물품의 추정가격이 3.5억원 이상이더라도 국제입찰 진행하지 않음. 단, 지역제한 조항은 그대로 적용
 3. 국제입찰로 진행하는 물품 발주 시, 유의사항은?
 - 국제입찰 물품의 적격심사 시, 일반적인 중소기업 신인도 등을 미인정하고
있어, 후순위 낙찰예정자까지 적격심사를 진행하는 등 계약체결까지 1개월
이상 소요되는 경우가 대부분임
 - 발주부서에서는 위의 계약 소요기간을 고려하여 계약담당자와 협의 후 시간적 여유를 두고 발주계획 수립 및 계약의뢰 조치</t>
  </si>
  <si>
    <t>공고문 게시 기간과 게시 방법에 대한 법적 기준은 어떻게 되나요?</t>
  </si>
  <si>
    <t>입찰공고를 게시할 때, 법령에서 정한 게시 기간과 게시해야 하는 방법은 무엇인가요?
 공고의 종류가 다양하고 고시공고, 입법예고, 채용공고 등은 관련 법령이 너무 광대하므로 질문을 입찰 공고로 제약하겠습니다.</t>
  </si>
  <si>
    <t>관련 근거 : 지방자치단체를 당사자로 하는 계약에 관한 법률, 시행령, 시행규칙, 지방자치단체 입찰 및 계약 집행기준
기대답변 :
1. 지방자치단체를 당사자로 하는 계약에 관한 법률 제9조
 - 입찰공고 실시 의무에 대한 내용
2. 지방자치단체를 당사자로 하는 계약에 관한 법률 시행령 제33조
 - 공고 방법 및 기간의 기본 기준
3. 지방자치단체를 당사자로 하는 계약에 관한 법률 시행규칙 제28조
 - 공고 세부 절차 및 방법에 대한 내용
4. 지방자치단체 입찰 및 계약 집행기준 제3장
 - 세부 게시 방법 및 집행 절차 안내</t>
  </si>
  <si>
    <t>기대답변 :
 ○ 공고기간
  ▷ 용역․물품 : 입찰서 제출마감일 전일부터 기산하여 7일전(긴급․재공고 5일) 
  ▷ 공사입찰
  - 현장설명 × 
  &gt; 10억원 미만(원칙 7일, 긴급 5일), 10억원 이상 ~ 50억원 미만(원칙 15일, 긴급 5일), 50억원 이상 고시금액 미만(원칙 30일, 긴급 5일), 고시금액 이상(원칙 40일, 긴급 10일)
  - 현장설명 ○
  &gt; 10억원 미만(원칙 7일+현장설명일+7일), 10억원 이상 ~ 50억원 미만(원칙 7일+현장설명일+15일), 50억원 이상 고시금액 미만(원칙 7일+현장설명일+33일), 고시금액 이상(원칙 7일+현장설명일+33일, ※PQ대상공사 : 30일+현장설명일+33일)
  &gt; 긴급(5일+현장설명일+입찰공고에서 정한 기간)
  ※ 추정가격 300억원 이상 공사입찰시 현장설명을 하는 경우 현장설명에 참가한 자만 입찰에 참가하게 하여야 함
  ▷ 협상에 의한 계약 : 1억원미만 10일, 10억원미만 20일, 10억원이상 40일, 긴급·재공고 10일
  ▷ 국제입찰 : 40일(긴급 10일)
  ▷ 전자수의(견적입찰) : 3일이상(공휴일과 토요일 제외)</t>
  </si>
  <si>
    <t>입찰공고의 공고기간 내용 일체</t>
  </si>
  <si>
    <r>
      <rPr>
        <rFont val="Malgun Gothic"/>
        <color theme="1"/>
        <sz val="11.0"/>
      </rPr>
      <t xml:space="preserve">용역 계약 절차 상세 안내, 부서에서 회계과 계약요청 절차 안내, 입찰 공고문 게시 기간에 대한 법적 기준 안내, 입찰 공고문에 게시하는 방법 및 절차 안내
</t>
    </r>
    <r>
      <rPr>
        <rFont val="Malgun Gothic"/>
        <color rgb="FFFF0000"/>
        <sz val="11.0"/>
      </rPr>
      <t>질의문 변경 고려 (시작시 "입찰" 단어 추가)
&gt;&gt;&gt; 입찰 공고문 게시 기간과 게시 방법에 대한 법적 기준은 어떻게 되나요?</t>
    </r>
  </si>
  <si>
    <r>
      <rPr>
        <rFont val="맑은 고딕"/>
        <b/>
        <color theme="1"/>
        <sz val="11.0"/>
      </rPr>
      <t>467_2402_회계재산담당관_법령_법제처_지방자치단체를_당사자로_하는_계약에_관한_법률법률제19634호20240217.pdf[2]</t>
    </r>
    <r>
      <rPr>
        <rFont val="맑은 고딕"/>
        <color theme="1"/>
        <sz val="11.0"/>
      </rPr>
      <t xml:space="preserve">
-----
</t>
    </r>
    <r>
      <rPr>
        <rFont val="맑은 고딕"/>
        <color rgb="FFFF0000"/>
        <sz val="11.0"/>
      </rPr>
      <t xml:space="preserve">[답변불가]
"입찰공고 또는 통지의 방법·내용·시기, 그 밖에 필요한 사항은 대통령령으로 정한다"
게시 기간에 대해서는 찾을수 없음.
</t>
    </r>
    <r>
      <rPr>
        <rFont val="맑은 고딕"/>
        <color theme="1"/>
        <sz val="11.0"/>
      </rPr>
      <t xml:space="preserve">-----
[2p] 하단부
제9조(계약의 방법) ① 지방자치단체의 장 또는 계약담당자는 계약을 체결하려는 경우에는 이를 공고하여 일반입찰에
부쳐야 한다. 다만, 계약의 목적ㆍ성질ㆍ규모 및 지역특수성 등을 고려하여 필요하다고 인정되면 참가자를 지명(指
名)하여 입찰에 부치거나 수의계약을 할 수 있다. &lt;개정 2013. 8. 6.&gt;
② 제1항 본문에 따라 일반입찰에 부치는 경우 대통령령으로 정하는 바에 따라 입찰 참가자격을 사전심사하여 적격
자만을 입찰에 참가하게 하거나 시공능력, 실적, 기술보유상황, 법인등기부상 본점소재지(개인사업자인 경우에는 사
업자등록증 또는 관련 법령에 따른 허가ㆍ인가ㆍ면허ㆍ등록ㆍ신고 등에 관련된 서류에 기재된 사업장의 소재지를
말한다. 이하 같다) 등으로 입찰 참가자격을 제한하여 입찰에 부칠 수 있다.&lt;개정 2018. 12. 24.&gt;
③ 제1항 단서에 따른 지명기준 및 지명절차, 수의계약의 대상범위 및 수의계약상대자의 선정절차, 그 밖에 필요한
사항은 대통령령으로 정한다.
</t>
    </r>
  </si>
  <si>
    <t>공무원 복무규정에 따른 연가, 병가, 특별휴가 등은 며칠인가요?</t>
  </si>
  <si>
    <t>공무원에게 부여되는 연가·병가·특별휴가의 종류별 법정 기준일수와 적용 요건은 어떻게 되나요?</t>
  </si>
  <si>
    <r>
      <rPr>
        <rFont val="Malgun Gothic"/>
        <color theme="1"/>
        <sz val="11.0"/>
      </rPr>
      <t>해당 근거자료는 자치법규 조례 중 부산광역시 공무원 복무 조례에 해당 내용이 있습니다.
특별휴가 : 제 15조, 별표3
병가 : 병가는 관련 근거자료가 따로 없습니다.
 - 해당 답변에 대해 제대로 된 답변을 하려면 제출된 자료가 아닌 지방공무원 복무규정 제7조의5(병가) 제7조의7(특별휴가), 지방공무원 복무에 관한 예규 확인이 필요합니다.
 - 해당 답변에서 어려운 점은 일단 부산시 규정 먼저 확인 한 후 관련 내용이 없으면 상위 규정을 확인해서 답변을 생성해야 합니다. : 특별휴가 임산부 등
 - 또한 같은 내용이 있지만 휴가 일수가 다르다거나 조건이 다르면 부산시 규정을 우선 적용해야합니다. : 특별휴가 경조사별 일수
기대답변 (지방공무원 복무규정, 예규 포함)
연가
- 1개월 이상 1년 미만: 11일
- 1년 이상 3년 미만: 14일
- 3년 이상 4년 미만: 15일
- 4년 이상 5년 미만: 16일
- 5년 이상 6년 미만: 17일
- 6년 이상: 21일입니다.
특별휴가 : 
① 경조사나 그 외 특별한 일이 있을때 
② 지방자치단체의 장과 지방의회의 의장은 소속 공무원이 결혼하거나 그 밖의 경조사가 있는 경우에는 경조사휴가를 주어야 한다. 
 - 경조사별 휴가일수(부산시 기준) : 결혼(본인) 5일, 결혼(자녀) 1일, 출산(배우자) 10일, 둘 이상 출산일경우 15일, 입양(본인) 20일, 사망(배우자, 본인 및 배우자의 부모) 5일, 사망(본인 및 배우자의 조부모</t>
    </r>
    <r>
      <rPr>
        <rFont val="Tahoma"/>
        <color theme="1"/>
        <sz val="11.0"/>
      </rPr>
      <t>․</t>
    </r>
    <r>
      <rPr>
        <rFont val="맑은 고딕"/>
        <color theme="1"/>
        <sz val="11.0"/>
      </rPr>
      <t>외조부모, 자녀와 그 자녀의 배우자, 본인 및 배우자의 형제자매와 그 형제자매의 배우자) 3일, 사망(본인 및 배우자의 부모의 형제자매와 그 형제자매의 배우자) 1일
③ 임신 중인 공무원은 출산 전과 출산 후를 통하여 90일(미숙아를 출산한 경우에는 100일, 한 번에 둘 이상의 자녀를 임신한 경우에는 120일)의 출산휴가를 사용할 수 있으며, 출산 후의 휴가기간이 45일(한 번에 둘 이상의 자녀를 임신한 경우에는 60일) 이상이 되도록 해야 한다. 다만, 임신 중인 공무원은 다음 각 호의 어느 하나에 해당하는 사유로 출산휴가를 신청하는 경우에는 출산 전 어느 때라도 최장 44일(한 번에 둘 이상의 자녀를 임신한 경우에는 59일)의 범위에서 출산휴가를 나누어 사용할 수 있다. 
 1. 임신 중인 공무원이 유산(「모자보건법」 제14조제1항에 따라 허용되는 경우 외의 인공임신중절에 의한 유산은 제외한다. 이하 제3호를 제외하고 같다)ㆍ사산의 경험이 있는 경우
 2. 임신 중인 공무원이 출산휴가를 신청할 당시 연령이 40세 이상인 경우
 3. 임신 중인 공무원이 유산ㆍ사산 또는 조산(早産)의 위험이 있다는 의료기관의 진단서를 제출한 경우
④ 유산하거나 사산한 여성공무원은 다음 각 호의 기준에 따라 유산휴가 또는 사산휴가를 사용할 수 있다.
 1. 임신기간이 15주 이내인 경우: 유산 또는 사산한 날부터 10일까지
 2. 임신기간이 16주 이상 21주 이내인 경우: 유산 또는 사산한 날부터 30일까지
 3. 임신기간이 22주 이상 27주 이내인 경우: 유산 또는 사산한 날부터 60일까지
 4. 임신기간이 28주 이상인 경우: 유산 또는 사산한 날부터 90일까지
⑤ 남성공무원은 배우자가 유산하거나 사산한 경우 제4항 각 호의 구분에 따른 기간 중 3일의 유산휴가 또는 사산휴가를 사용할 수 있다. 
⑥ 인공수정 또는 체외수정 등 난임치료 시술을 받는 공무원은 다음 각 호의 구분에 따라 난임치료시술휴가를 사용할 수 있다. 
 1. 여성공무원: 다음 각 목의 어느 하나에 해당하는 경우 해당 목에서 정한 기간  
  가. 인공수정 등 시술을 받는 경우: 총 2일(시술 당일에 1일과 시술일 전날, 시술일 후 2일 이내이거나 시술 관련 진료일 중에 1일)
  나. 동결 보존된 배아를 이식하는 체외수정 시술을 받는 경우: 총 3일(시술 당일에 1일과 시술일 전날, 시술일 후 2일 이내이거나 시술 관련 진료일 중에 2일)
  다. 난자 채취를 하여 체외수정 시술을 받는 경우: 총 4일(난자 채취일에 1일, 시술 당일에 1일과 시술일 전날, 난자 채취일 전날, 시술일 후 2일 이내, 난자 채취일 후 2일 이내이거나 시술 관련 진료일 중에 2일)
 2. 남성공무원: 정자 채취일에 1일
⑦ 임신 중인 여성공무원은 1일 2시간의 범위에서 휴식이나 병원 진료 등을 위한 모성보호시간을 사용할 수 있다. 이 경우 지방자치단체의 장과 지방의회의 의장은 임신 후 12주 이내 또는 32주 이후에 있는 여성공무원이 모성보호시간의 사용을 신청하면 이를 허가해야 한다. 
⑧ 8세 이하 또는 초등학교 2학년 이하의 자녀를 가진 공무원은 36개월의 범위에서 자녀돌봄, 육아 등을 위한 1일 최대 2시간의 육아시간을 사용할 수 있다. 
⑨ 공무원은 다음 각 호의 어느 하나에 해당하는 경우 연간 10일의 범위에서 가족돌봄휴가를 사용할 수 있다. 
 1. 「영유아보육법」에 따른 어린이집, 「유아교육법」에 따른 유치원 및 「초ㆍ중등교육법」 제2조 각 호의 학교(이하 이 항에서 “어린이집등”이라 한다)의 휴업ㆍ휴원ㆍ휴교 및 그 밖에 이에 준하는 사유로 자녀 또는 손자녀를 돌봐야 하는 경우
 2. 자녀 또는 손자녀가 다니는 어린이집등의 공식 행사 또는 교사와의 상담에 참여하는 경우
 3. 미성년자이거나 「장애인복지법」 제2조제2항에 따른 장애인(이하 이 조에서 “장애인”이라 한다)인 자녀ㆍ손자녀의 병원 진료(「국민건강보험법」 제52조에 따른 건강검진 또는 「감염병의 예방 및 관리에 관한 법률」 제24조 및 제25조에 따른 예방접종을 포함한다)에 동행하는 경우
 4. 질병, 사고, 노령 등의 사유로 조부모, 외조부모, 부모(배우자의 부모를 포함한다), 배우자, 자녀 또는 손자녀를 돌봐야 하는 경우
⑩ 제9항에 따른 가족돌봄휴가는 무급으로 하되, 자녀(같은 항 제4호의 경우에는 미성년자 또는 장애인인 자녀로 한정한다)를 돌보기 위한 가족돌봄휴가는 해당 공무원의 자녀(제9항제1호에 따른 어린이집등에 재학 중이거나 미성년인 자녀 또는 장애인인 자녀를 말한다)수에 1을 더한 일수까지를 연간 유급휴가 일수로 한다. 다만, 장애인인 자녀가 있는 공무원 또는 「한부모가족지원법」 제4조제1호의 모 또는 부에 해당하는 공무원의 경우에는 본문에 따른 연간 유급휴가 일수에 1일을 더한 일수까지 연간 유급휴가 일수로 한다. 
⑪ 여성공무원은 생리기간 중 휴식을 위해 매월 1일의 여성보건휴가를 사용할 수 있다. 이 경우 여성보건휴가는 무급으로 한다. 
⑫ 여성공무원은 임신기간 중 검진을 위해 10일의 범위에서 임신검진휴가를 사용할 수 있다. 
⑬ 「재난 및 안전관리 기본법」 제3조제1호에 따른 재난으로 피해[배우자, 부모(배우자의 부모를 포함한다) 또는 자녀가 입은 피해를 포함한다. 이하 이 항에서 같다]를 입은 공무원과 재난 발생 지역에서 자원봉사활동을 하려는 공무원은 5일(같은 법 제14조제1항에 따른 대규모 재난으로 피해를 입은 공무원으로서 장기간 피해 수습이 필요하다고 소속 지방자치단체의 장이나 지방의회의 의장이 인정하는 경우에는 10일) 이내의 재해구호휴가를 받을 수 있다. 
⑭ 지방자치단체의 장과 지방의회의 의장은 소속 공무원이 다음 각 호의 요건을 모두 충족하는 경우 4일의 범위에서 심리상담, 진료 및 휴식을 위한 심리안정휴가를 줄 수 있다. 
 1. 「공무원 재해보상법」 제5조제1호 및 제6호부터 제11호까지에 해당하는 직무를 수행하는 과정에서 인명피해가 있는 사건ㆍ사고를 경험했을 것
 2. 제1호에 따른 인명피해가 있는 사건ㆍ사고의 경험으로 인해 심리적 안정과 정신적 회복이 필요하다고 인정될 것
⑮ 남성공무원은 배우자의 임신기간 중 검진에 동행하기 위해 10일의 범위에서 임신검진 동행휴가를 사용할 수 있다.
병가 : 
① 질병 또는 부상으로 직무를 수행할 수 없는 경우 또는 감염병에 걸려 다른 공무원의 건강에 영향을 미칠 우려가 있을 때 부여받는 휴가
연 60일의 범위에서 병가를 허가할 수 있다. 이 경우 질병이나 부상으로 인한 지각ㆍ조퇴 및 외출은 누계 8시간을 병가 1일로 계산하고, 연가 일수에서 빼는 병가는 병가 일수에 산입하지 않는다. 
1. 질병이나 부상으로 인하여 직무를 수행할 수 없을 때
2. 감염병에 걸려 그 공무원의 출근이 다른 공무원의 건강에 영향을 미칠 우려가 있을 때
② 지방자치단체의 장과 지방의회의 의장은 소속 공무원이 공무상 부상등으로 직무를 수행할 수 없거나 요양이 필요할 경우에는 연 180일의 범위에서 병가를 허가할 수 있다. 
③ 병가 일수가 연 6일을 초과하는 경우에는 의사의 진단서를 첨부해야 한다.</t>
    </r>
  </si>
  <si>
    <t>기대답변 : 
 연가
 1개월 이상 1년 미만: 연가 11일
 1년 이상 2년 미만: 연가 12일
 2년 이상 3년 미만: 연가 14일
 3년 이상 4년 미만: 연가 15일
 4년 이상 5년 미만: 연가 17일
 5년 이상 6년 미만: 연가 20일
 6년 이상: 연가 21일
 특별휴가 중 경조사 휴가의 경우 부산시 자치법규 중에 경조사 휴가를 따로 지정해둔 항목을 따라야 합니다.
 이러한 부분을 비교해서 작성하기는 어려울 것 같아 지방공무원 예규 상의 특별휴가와 부산시 자치법규 상의 특별휴가에 대해 같이 나열했습니다.
 지방공무원 복무에 관한 예규 관련 특별휴가 : 
 ○ 특별휴가는 복무규정에서 정하는 바에 따르되, 이 복무규정에서 정하지 아니하는 사항은 지방자치단체의 조례로 정하는 바에 따름
 ○ 경조사휴가, 출산 및 유산·사산 휴가, 난임치료시술휴가, 무급 가족돌봄휴가, 여성보건휴가, 재해구호휴가는 일 단위로만 사용할 수 있으며, 해당일에 유연근무제를 활용하지 않도록 사전에 조치하여야 함
 (1) 경조사휴가
  - 결혼 : 본인 5일, 자녀 1일
  - 출산 : 배우자 20일(한번에 둘 이상의 자녀를 출산한 경우에는 25일)
  - 입양 : 본인 20일 &gt; 입양기관의 확인서류
  - 사망 : 본인 및 배우자의 형제, 자매 : 3일
 (2) 출산휴가
  - 출산 전후 90일(출산 후 휴가기간 45일 이상)
  - 미숙아 100일 &gt; 출생증명서 또는 출생보고서, 진단서, 진료비 세부내역서, 입퇴원확인서 등
  - 한번에 둘 이상 자녀 120일(출산 후 휴가기간 60일 이상)
  - 유산 또는 사산한 공무원의 임신기간(이하 “임신기간”이라 한다)이 15주 이내인 경우 : 유산 또는 사산한 날부터 10일까지
  - 임신기간이 16주 이상 21주 이내인 경우 : 유산 또는 사산한 날부터 30일까지
  - 임신기간이 22주 이상 27주 이내인 경우 : 유산 또는 사산한 날부터 60일까지
  - 임신기간이 28주 이상인 경우 : 유산 또는 사산한 날부터 90일까지
  - 유산·사산 휴가일수 계산 : ②∼④의 경우에는 토요일 또는 공휴일 포함하여 사용
  - 배우자가 유산하거나 사산한 경우 남성공무원은 3일의 배우자 유산휴가 또는 사산휴가를 사용할 수 있음
 (3) 난임치료시술휴가
  - 여성공무원의 경우 : 인공수정 등 시술을 받는 경우 2일, 동결 보존된 배아를 이식하는 체외수정 시술을 받는 경우 시술할때마다 총 3일, 난자를 채취하여 체외수정 시술을 받는 경우 시술 할 때마다 총 4일
  - 남성공무원의 경우 : 정자 채취일에 1일
 (4) 모성보호시간
  - 임신 중인 여성공무원 : 1일 2시간의 범위 &gt; 병원에서 발급한 증빙서류(진단서, 임신확인서, 산모수첩 등)
 (5) 육아시간
  - 8세 이하 또는 초등학교 2학년 이하의 자녀를 가진 공무원 : 36개월의 범위에서 1일 2시간 &gt; 병원의 출생증명서 또는 주민등록등본
 (6) 가족돌봄휴가
  - 유급‧무급 포함 연간 총 10일 &gt; 가족관계증명서나 그에 준하는 증빙서류
 (7) 여성보건휴가
  - 여성공무원 : 생리기간 중 매월 1일(무급)
 (8) 임신검진휴가
  - 임신한 여성공무원 : 10일 &gt; 임신확인서 등 제출
 (9) 재해구호휴가
  - 수해·화재·붕괴·폭발 등 재난으로 피해를 입은 공무원 : 5일, 대규모 재난의 경우 10일
  - 재난 발생지역에서 자원봉사활동을 하려는 공무원 : 5일
 (10) 심리안정휴가
  - 중대한 사건 인정 기준 : 사망 또는 중대한 신체 손상 동료 접촉, 그에 준하는 사건 사고
  - 사건사고 발생 후 가급적 1개월 이내 : 4일 범위 &gt; 2일 초과 시 전문가 상담 필요(증빙서류 상담 확인서, 진료 확인서, 관련 예약 확인서)
 (11) 임신검진 동행휴가
  - 남성공무원 : 배우자 임신기간 중 10일 범위 &gt; 가족관계증명서, 임신확인서, 진료내역서 등
 부산광역시 공무원 복무 조례 관련 특별휴가:
 (1) 경조사휴가
  - 결혼 : 본인 5일, 자녀 1일
  - 출산 : 배우자 10일(한번에 둘 이상의 자녀를 출산한 경우에는 15일)
  - 입양 : 본인 20일 &gt; 입양기관의 확인서류
  - 사망 : 배우자, 본인 및 배우자의 부모(5일), 본인 및 배우자의 조부모․외조부모(3일), 자녀와 그 자녀의 배우자(3일), 본인 및 배우자의 형제자매와 그 형제자매의 배우자(3일), 본인 및 배우자의 부모의 형제자매와 그 형제자매의 배우자(1일)
 (2) 한국방송통신대학교 재학 공무원 : 출석수업에 참석하기 위하여 연가일수를 초과하는 출석수업기간에 대한 수업휴가를 사용할 수 있음
 (3) 재직기간이 5년 이상 10년 미만인 5일, 10년 이상 20년 미만 15일, 20년 이상 30년 미만 및 30년 이상 각각 25일
 (4) 군입영 자녀를 입영 당일 1일, 신병훈련수료식 당일 1일
 (5) 남성공무원 : 배우자의 임신검진에 동행 10일 범위
 (6) 9세 이상 10세 이하 또는 초등학교 3학년 이상 초등학교 4학년 이하의 자녀를 가진 공무원 : 12개월의 범위 1일 최대 2시간 학습지도시간 사용 가능
 (7) 탁월한 성과와 공로가 인정되거나 재해·재난 등으로 장기간 격무에 종사하는 공무원 : 7일 이내의 포상휴가 수여 가능
 병가 : 
 연간 누계 6일까지는 진단서의 제출 없이도 병가를 사용할 수 있으나, 7일 이상 연속되는 병가와 병가의 연간 누계가 6일을 초과*하게 되는 경우에는 ｢의료법｣제17조에 의하여 교부된 진단서를 제출하여야 함
 * 병가 전체를 합산하여 연도 중 최초 6일까지만 사전 진단서 제출 없이 병가 사용 가능
 ○ 동일한 사유의 병가는 최초 제출한 진단서로 갈음할 수 있음
 ○ 진단서를 제출하지 못하는 경우에는 연가를 활용
 ○ 동일한 사유 여부는 기관장(허가권자)이 진단서 등의 내용을 감안하여 결정하며, 연가사유의 고의적 병가처리가 발생하지 않도록 하여야 함
 ※ 동일한 사유의 질병임을 검진하기 위한 병가신청시 기관장(허가권자)이 결정하되, 이후 진단서 등을 확인하여야 함</t>
  </si>
  <si>
    <t>264_2401_인사과_법령_행정안전부_지방공무원_인사관계_법령집.pdf
1259_지방공무원_복무에_관한_예규_개정안전문_행정안전부_예규_제340호.pdf
1291_162355_부산광역시의회_공무원_복무_조례_별표_3_경조사별_휴가일수표제15조제1항_관련.pdf</t>
  </si>
  <si>
    <t>403, 404
45, 48
1</t>
  </si>
  <si>
    <r>
      <rPr>
        <rFont val="Malgun Gothic"/>
        <color theme="1"/>
        <sz val="11.0"/>
      </rPr>
      <t xml:space="preserve">연가 - 페이지 내용 전체
</t>
    </r>
    <r>
      <rPr>
        <rFont val="Arial"/>
        <color rgb="FF00B050"/>
        <sz val="11.0"/>
      </rPr>
      <t xml:space="preserve">병가 - (1) 병가의 종류별 내용 까지만 참조
</t>
    </r>
    <r>
      <rPr>
        <rFont val="Arial"/>
        <color rgb="FF0000FF"/>
        <sz val="11.0"/>
      </rPr>
      <t>45페이지 - (1) 병가의 종류별 내용
48페이지 - 라. 특별휴가</t>
    </r>
    <r>
      <rPr>
        <rFont val="Arial"/>
        <color theme="1"/>
        <sz val="11.0"/>
      </rPr>
      <t xml:space="preserve">
 표 내용 전체 참조 
</t>
    </r>
    <r>
      <rPr>
        <rFont val="Arial"/>
        <color rgb="FF0432FF"/>
        <sz val="11.0"/>
      </rPr>
      <t xml:space="preserve">
특별휴가 - &gt;&gt; 문서를 찾을 수 없음
</t>
    </r>
    <r>
      <rPr>
        <rFont val="Arial"/>
        <color rgb="FF00B050"/>
        <sz val="11.0"/>
      </rPr>
      <t xml:space="preserve"> &gt;&gt; 자치법규 부산광역시 공무원 복무 조례 제15조
 &gt;&gt; 경조사 휴가의 경우 자치법규 내 별표3 첨부파일 참조해서 생성
 &gt;&gt; 그 외 특별휴가는 지방공무원 복무에 관한 예규 2P의 차례 참조해서 생성(라. 특별휴가 --- 91)
</t>
    </r>
    <r>
      <rPr>
        <rFont val="Arial"/>
        <color theme="1"/>
        <sz val="11.0"/>
      </rPr>
      <t xml:space="preserve">
----------
</t>
    </r>
    <r>
      <rPr>
        <rFont val="Arial"/>
        <color rgb="FF0432FF"/>
        <sz val="11.0"/>
      </rPr>
      <t xml:space="preserve">
[Top5 내에 포함될 수 있도록 문서 수량 조정 필요]</t>
    </r>
  </si>
  <si>
    <r>
      <rPr>
        <rFont val="맑은 고딕"/>
        <b/>
        <color theme="1"/>
        <sz val="11.0"/>
      </rPr>
      <t>1249_지방공무원_복무규정대통령령제35666호20250722.pdf[8, 9]</t>
    </r>
    <r>
      <rPr>
        <rFont val="맑은 고딕"/>
        <color theme="1"/>
        <sz val="11.0"/>
      </rPr>
      <t xml:space="preserve">
-----
</t>
    </r>
    <r>
      <rPr>
        <rFont val="맑은 고딕"/>
        <color rgb="FFFF0000"/>
        <sz val="11.0"/>
      </rPr>
      <t xml:space="preserve">[기대답변은 이 문서가 맞는것 같은데 확인 필요]
</t>
    </r>
    <r>
      <rPr>
        <rFont val="맑은 고딕"/>
        <color theme="1"/>
        <sz val="11.0"/>
      </rPr>
      <t xml:space="preserve">
제7조의7(특별휴가) ① 공무원의 특별휴가는 이 영에서 정하는 바에 따른다. 다만, 이 영에서 정하지 아니하는 사항은
지방자치단체의 조례로 정하는 바에 따른다.
② 지방자치단체의 장과 지방의회의 의장은 소속 공무원이 결혼하거나 그 밖의 경조사가 있는 경우에는 해당 공무
원의 신청에 따라 별표 1의 기준에 따른 경조사휴가를 주어야 한다.&lt;개정 2017. 4. 25., 2021. 11. 30.&gt;
③ 임신 중인 공무원은 출산 전과 출산 후를 통하여 90일(미숙아를 출산한 경우에는 100일, 한 번에 둘 이상의 자녀
를 임신한 경우에는 120일)의 출산휴가를 사용할 수 있으며, 출산 후의 휴가기간이 45일(한 번에 둘 이상의 자녀를
임신한 경우에는 60일) 이상이 되도록 해야 한다. 다만, 임신 중인 공무원은 다음 각 호의 어느 하나에 해당하는 사
유로 출산휴가를 신청하는 경우에는 출산 전 어느 때라도 최장 44일(한 번에 둘 이상의 자녀를 임신한 경우에는
59일)의 범위에서 출산휴가를 나누어 사용할 수 있다.&lt;개정 2014. 6. 30., 2021. 11. 30., 2021. 12. 31., 2023. 7. 18.,
2024. 7. 2., 2025. 2. 11.&gt;
1. 임신 중인 공무원이 유산(「모자보건법」 제14조제1항에 따라 허용되는 경우 외의 인공임신중절에 의한 유산은 제
외한다. 이하 제3호를 제외하고 같다)ㆍ사산의 경험이 있는 경우
2. 임신 중인 공무원이 출산휴가를 신청할 당시 연령이 40세 이상인 경우
3. 임신 중인 공무원이 유산ㆍ사산 또는 조산(早産)의 위험이 있다는 의료기관의 진단서를 제출한 경우
④ 유산하거나 사산한 여성공무원은 다음 각 호의 기준에 따라 유산휴가 또는 사산휴가를 사용할 수 있다.&lt;개정
2014. 6. 30., 2019. 12. 31., 2024. 7. 2.&gt;
1. 임신기간이 15주 이내인 경우: 유산 또는 사산한 날부터 10일까지
2. 임신기간이 16주 이상 21주 이내인 경우: 유산 또는 사산한 날부터 30일까지
3. 임신기간이 22주 이상 27주 이내인 경우: 유산 또는 사산한 날부터 60일까지
4. 임신기간이 28주 이상인 경우: 유산 또는 사산한 날부터 90일까지
⑤ 남성공무원은 배우자가 유산하거나 사산한 경우 제4항 각 호의 구분에 따른 기간 중 3일의 유산휴가 또는 사산
휴가를 사용할 수 있다.&lt;신설 2019. 12. 31., 2021. 11. 30., 2024. 7. 2.&gt;
⑥ 인공수정 또는 체외수정 등 난임치료 시술을 받는 공무원은 다음 각 호의 구분에 따라 난임치료시술휴가를 사용
할 수 있다.&lt;개정 2018. 12. 18., 2019. 12. 31., 2021. 12. 31., 2024. 7. 2.&gt;
1. 여성공무원: 다음 각 목의 어느 하나에 해당하는 경우 해당 목에서 정한 기간
가. 인공수정 등 시술을 받는 경우: 총 2일(시술 당일에 1일과 시술일 전날, 시술일 후 2일 이내이거나 시술 관련
진료일 중에 1일)
나. 동결 보존된 배아를 이식하는 체외수정 시술을 받는 경우: 총 3일(시술 당일에 1일과 시술일 전날, 시술일 후
2일 이내이거나 시술 관련 진료일 중에 2일)
다. 난자 채취를 하여 체외수정 시술을 받는 경우: 총 4일(난자 채취일에 1일, 시술 당일에 1일과 시술일 전날, 난
자 채취일 전날, 시술일 후 2일 이내, 난자 채취일 후 2일 이내이거나 시술 관련 진료일 중에 2일)
법제처 9 국가법령정보센터
지방공무원 복무규정
2. 남성공무원: 정자 채취일에 1일
⑦ 임신 중인 여성공무원은 1일 2시간의 범위에서 휴식이나 병원 진료 등을 위한 모성보호시간을 사용할 수 있다.
이 경우 지방자치단체의 장과 지방의회의 의장은 임신 후 12주 이내 또는 32주 이후에 있는 여성공무원이 모성보호
시간의 사용을 신청하면 이를 허가해야 한다.&lt;신설 2013. 5. 31., 2018. 12. 18., 2019. 12. 31., 2024. 7. 2., 2025. 7.
22.&gt;
⑧ 8세 이하 또는 초등학교 2학년 이하의 자녀를 가진 공무원은 36개월의 범위에서 자녀돌봄, 육아 등을 위한 1일
최대 2시간의 육아시간을 사용할 수 있다.&lt;신설 2017. 4. 25., 2018. 12. 18., 2019. 12. 31., 2024. 7. 2.&gt;
⑨ 공무원은 다음 각 호의 어느 하나에 해당하는 경우 연간 10일의 범위에서 가족돌봄휴가를 사용할 수 있다.&lt;개정
2020. 10. 20., 2024. 7. 2.&gt;
1. 「영유아보육법」에 따른 어린이집, 「유아교육법」에 따른 유치원 및 「초ㆍ중등교육법」 제2조 각 호의 학교(이하
이 항에서 “어린이집등”이라 한다)의 휴업ㆍ휴원ㆍ휴교 및 그 밖에 이에 준하는 사유로 자녀 또는 손자녀를 돌봐
야 하는 경우
2. 자녀 또는 손자녀가 다니는 어린이집등의 공식 행사 또는 교사와의 상담에 참여하는 경우
3. 미성년자이거나 「장애인복지법」 제2조제2항에 따른 장애인(이하 이 조에서 “장애인”이라 한다)인 자녀ㆍ손자녀
의 병원 진료(「국민건강보험법」 제52조에 따른 건강검진 또는 「감염병의 예방 및 관리에 관한 법률」 제24조 및
제25조에 따른 예방접종을 포함한다)에 동행하는 경우
4. 질병, 사고, 노령 등의 사유로 조부모, 외조부모, 부모(배우자의 부모를 포함한다), 배우자, 자녀 또는 손자녀를 돌
봐야 하는 경우
⑩ 제9항에 따른 가족돌봄휴가는 무급으로 하되, 자녀(같은 항 제4호의 경우에는 미성년자 또는 장애인인 자녀로
한정한다)를 돌보기 위한 가족돌봄휴가는 해당 공무원의 자녀(제9항제1호에 따른 어린이집등에 재학 중이거나 미
성년인 자녀 또는 장애인인 자녀를 말한다)수에 1을 더한 일수까지를 연간 유급휴가 일수로 한다. 다만, 장애인인
자녀가 있는 공무원 또는 「한부모가족지원법」 제4조제1호의 모 또는 부에 해당하는 공무원의 경우에는 본문에 따
른 연간 유급휴가 일수에 1일을 더한 일수까지 연간 유급휴가 일수로 한다.&lt;신설 2020. 10. 20., 2024. 7. 2.&gt;
⑪ 여성공무원은 생리기간 중 휴식을 위해 매월 1일의 여성보건휴가를 사용할 수 있다. 이 경우 여성보건휴가는 무
급으로 한다.&lt;신설 2019. 12. 31., 2020. 10. 20., 2024. 7. 2.&gt;
⑫ 여성공무원은 임신기간 중 검진을 위해 10일의 범위에서 임신검진휴가를 사용할 수 있다.&lt;신설 2019. 12. 31.,
2020. 10. 20., 2024. 7. 2.&gt;
⑬ 「재난 및 안전관리 기본법」 제3조제1호에 따른 재난으로 피해[배우자, 부모(배우자의 부모를 포함한다) 또는 자
녀가 입은 피해를 포함한다. 이하 이 항에서 같다]를 입은 공무원과 재난 발생 지역에서 자원봉사활동을 하려는 공
무원은 5일(같은 법 제14조제1항에 따른 대규모 재난으로 피해를 입은 공무원으로서 장기간 피해 수습이 필요하다
고 소속 지방자치단체의 장이나 지방의회의 의장이 인정하는 경우에는 10일) 이내의 재해구호휴가를 받을 수 있다.
&lt;신설 2020. 10. 20., 2021. 11. 30.&gt;
⑭ 지방자치단체의 장과 지방의회의 의장은 소속 공무원이 다음 각 호의 요건을 모두 충족하는 경우 4일의 범위에
서 심리상담, 진료 및 휴식을 위한 심리안정휴가를 줄 수 있다.&lt;신설 2023. 7. 18.&gt;
1. 「공무원 재해보상법」 제5조제1호 및 제6호부터 제11호까지에 해당하는 직무를 수행하는 과정에서 인명피해가
있는 사건ㆍ사고를 경험했을 것
2. 제1호에 따른 인명피해가 있는 사건ㆍ사고의 경험으로 인해 심리적 안정과 정신적 회복이 필요하다고 인정될 것
⑮ 남성공무원은 배우자의 임신기간 중 검진에 동행하기 위해 10일의 범위에서 임신검진 동행휴가를 사용할 수 있
다.&lt;신설 2025. 7. 22.&gt;
[전문개정 2010. 7. 15.]
[제7조의6에서 이동, 종전 제7조의7은 제7조의8로 이동 &lt;2019. 4. 16.&gt;]</t>
    </r>
  </si>
  <si>
    <r>
      <rPr>
        <rFont val="맑은 고딕"/>
        <b/>
        <color theme="1"/>
        <sz val="11.0"/>
      </rPr>
      <t>199_페이지20_문서9_162426_부산광역시_공무원_복무_조례.pdf[2, 3]</t>
    </r>
    <r>
      <rPr>
        <rFont val="맑은 고딕"/>
        <color theme="1"/>
        <sz val="11.0"/>
      </rPr>
      <t xml:space="preserve">
-----
</t>
    </r>
    <r>
      <rPr>
        <rFont val="맑은 고딕"/>
        <color rgb="FFFF0000"/>
        <sz val="11.0"/>
      </rPr>
      <t>[상세 내용이 없음. 최근 문서가 따로 있는지 확인 필요]</t>
    </r>
    <r>
      <rPr>
        <rFont val="맑은 고딕"/>
        <color theme="1"/>
        <sz val="11.0"/>
      </rPr>
      <t xml:space="preserve">
제15조(특별휴가) ① 소속기관장은 소속 공무원이 결혼을 하거나 그 밖의 경조사가 있는 경우에는 해당 공무원의 신청에 따라 별
표 3의 기준에 따른 경조사휴가를 주어야 한다. &lt;개정 2017. 12. 27.&gt;
② 삭제 &lt;2024. 12. 25.&gt;
③ 삭제 &lt;2017. 12. 27.&gt;
④ 한국방송통신대학교에 재학 중인 공무원은 「한국방송통신대학교 설립 및 운영에 관한 법률」에 따른 출석수업에 참석하기 위하
여 연가일수를 초과하는 출석수업기간에 대한 수업휴가를 사용할 수 있다. &lt;개정 2023. 10. 11., 2024. 12. 25.&gt;
⑤ 삭제 &lt;2024. 12. 25.&gt;
⑥ 소속기관장은 재직기간이 5년 이상 10년 미만인 공무원에게 해당 재직기간 중 5일, 10년 이상 20년 미만인 공무원에게 해당 재
직기간 중 15일, 20년 이상 30년 미만 및 30년 이상 재직한 공무원에게는 해당 재직기간 중 각각 25일의 휴가를 허가할 수 있으며,
운영에 필요한 사항은 시장이 따로 정한다. &lt;신설 2015. 1. 1.&gt;, &lt;개정 2020. 1. 1., 2023. 10. 11., 2024. 12. 25.&gt;
⑦ 군입영 자녀를 둔 공무원은 자녀 입영 당일 1일의 휴가와 신병훈련수료식 당일 1일의 휴가를 사용할 수 있다. &lt;신설 2016. 3. 30.
&gt;, &lt;개정 2020. 1. 1., 2024. 12. 25.&gt;
⑧ 남성공무원은 배우자의 임신검진에 동행하기 위하여 10일의 범위에서 임신검진동행휴가를 사용할 수 있다. 다만, 운영에 필요
한 사항은 시장이 따로 정한다. &lt;신설 2024. 12. 25.&gt;
⑨ 9세 이상 10세 이하 또는 초등학교 3학년 이상 초등학교 4학년 이하의 자녀를 가진 공무원은 12개월의 범위에서 초등학교 학습
적응 및 지도 등을 위한 1일 최대 2시간의 학습지도시간을 사용할 수 있다. &lt;신설 2024. 12. 25.&gt;
⑩ 시장은 시정 업무를 성공적으로 수행하여 탁월한 성과와 공로가 인정되거나 재해·재난 등으로 장기간 격무에 종사하는 공무원에
게 7일 이내의 포상휴가를 줄 수 있다. 다만, 포상휴가 대상자의 선정 등에 대한 사항은 시장이 따로 정한다. &lt;신설 2020. 1. 1.&gt;, &lt;
개정 2023. 10. 11., 2024. 12. 25.&gt;</t>
    </r>
  </si>
  <si>
    <t>업무추진비 집행 시 사용 가능한 항목과 제한 사항은 무엇이며, 지출 시 필요한 증빙 서류는 무엇인가요?</t>
  </si>
  <si>
    <t>업무추진비를 집행할 때 사용 가능한 세부 항목과 제한되는 지출 유형, 그리고 지출 승인을 위해 반드시 갖춰야 하는 증빙서류 종류는 무엇인가요?</t>
  </si>
  <si>
    <t>회계재산담당관 일반지출 절차 및 삭제 파일의 127~128P에 해당 내용이 나와있습니다.
그 외 미 제출한 파일 중 지방회계법시행령 제64조 하위법령 = 지방자치단체 업무추진비 집행에 관한 규칙과 [별표 1]지방자치단체의 장 등 업무추진비 집행대상 직무활동 범위, 지방자치단체 회계관리에 관한 훈령의 [별표3] 세출예산 성질별 분류에 따른 집행기준 14P 참고
기대답변
1. 집행대상 및 범위
업무추진비는 지방자치단체의 직무 수행을 위해 필요한 범위에서만 사용할 수 있습니다.
주요 사용 가능 항목은 다음과 같습니다.
① 재난이나 사고로 인한 이재민, 피해자, 복구 종사자 등에 대한 격려금품 지급 및 식사 제공
② 시책사업이나 지역특산품, 언론 간담회 등 지역 홍보 관련 행사비
③ 체육·문화·학술 분야 유공자나 자원봉사자에 대한 격려금품 또는 식사 제공
④ 시책사업 추진, 각종 회의·행사·간담회 참석자에 대한 식사 또는 기념품 제공
⑤ 경찰서, 소방서 등 현장 근무자 및 유관기관 현장 종사자 격려
⑥ 소속 직원의 부상·사망 위로, 퇴직 예정자나 평가 우수부서 격려, 비상근무자 위문 등 내부 격려
⑦ 타 기관·단체와의 협의, 공동행사, 퇴임·전출입자에 대한 의례적 선물 제공
⑧ 내방객 다과·음료, 결혼·사망 시 축의·부의금품 등 통상적인 직무 관련 경비
⑨ 조례나 법령에 따라 구체적으로 정해진 경우 등입니다.
이외의 용도나 개인적 목적, 정기적인 금품 지급은 허용되지 않습니다.
2. 필요 증빙서류 : 집행목적, 일시, 장소, 집행대상 등이 기재된 증빙서류 필요, 건당 50만원 이상의 경우 주 상대자의 소석 또는 주소, 성명이 기재된 증빙서류 필요</t>
  </si>
  <si>
    <t>1. 집행대상 및 범위
 업무추진비는 지방자치단체의 직무 수행을 위해 필요한 범위에서만 사용할 수 있습니다.
 주요 사용 가능 항목은 다음과 같습니다.
 ① 재난이나 사고로 인한 이재민, 피해자, 복구 종사자 등에 대한 격려금품 지급 및 식사 제공
 ② 시책사업이나 지역특산품, 언론 간담회 등 지역 홍보 관련 행사비
 ③ 체육·문화·학술 분야 유공자나 자원봉사자에 대한 격려금품 또는 식사 제공
 ④ 시책사업 추진, 각종 회의·행사·간담회 참석자에 대한 식사 또는 기념품 제공
 ⑤ 경찰서, 소방서 등 현장 근무자 및 유관기관 현장 종사자 격려
 ⑥ 소속 직원의 부상·사망 위로, 퇴직 예정자나 평가 우수부서 격려, 비상근무자 위문 등 내부 격려
 ⑦ 타 기관·단체와의 협의, 공동행사, 퇴임·전출입자에 대한 의례적 선물 제공
 ⑧ 내방객 다과·음료, 결혼·사망 시 축의·부의금품 등 통상적인 직무 관련 경비
 ⑨ 조례나 법령에 따라 구체적으로 정해진 경우 등입니다.
 이외의 용도나 개인적 목적, 정기적인 금품 지급은 허용되지 않습니다.
 2. 필요 증빙서류 : 집행목적, 일시, 장소, 집행대상 등이 기재된 증빙서류 필요, 건당 50만원 이상의 경우 주 상대자의 소석 또는 주소, 성명이 기재된 증빙서류 필요</t>
  </si>
  <si>
    <t>업무추진비 집행 시 사용 가능한 세부 항목, 업무추진비 제한 지출 유형 안내, 업무추진비 지출 승인 증빙서류 종류 안내</t>
  </si>
  <si>
    <t>출장 시 여비 정산 기준과 지급 절차는 어떻게 되나요?</t>
  </si>
  <si>
    <t>출장 시 여비를 지급·정산할 때 적용되는 기준과 증빙 요건은 무엇인가요?</t>
  </si>
  <si>
    <t>여비정산 기준 &gt; 미제출한 공무원 여비 규정 파일(별표2 포함)을 참고해서 기대답변을 생성하면 될 것 같습니다.
지급 절차 &gt; 출장관리 매뉴얼 참고하시면 됩니다. 등급이 3등급짜리라서 이미지가 많아서 간단하게만 표시되면 될 것 같습니다. 실제 지출 처리는 e호조(지방재정시스템)에서 처리가 가능한데 해당 매뉴얼은 찾을 수 없습니다.
기대답변 :
관내 출장 정산 기준
1. 4시간 미만 : 1만원
2. 4시간 초과 : 2만원
 - 전용 차량 배정자 : 미지급
 - 공무용 차량 이용시 1만원 감액
관외 출장 정산 기준
 - 철도(실비), 선박(실비), 항공(실비), 자동차운임(실비), 일비(1일당 25,000원), 숙박비(1일당 실비, 상한액 : 서울 100,000원, 광역시 80,000원, 그 밖 70,000원), 식비(1일당 25,000원)
지급 절차
 - 첨부파일 출장관리 매뉴얼을 참고하셔서 처리하시면 됩니다. 실제 지출 처리는 관련 매뉴얼이 없으므로 관련 부서나 업무 담당자에게 문의하시기 바랍니다.</t>
  </si>
  <si>
    <t>이전 자료 수정했습니다. 정산방법이 너무 국가공무원 시스템 기준으로 되어 있는거 같고
 질문 의도가 아무래도 출장비 얼만지, 계산 어떻게 해야 하는지에 대한 질문으로 보여서
 아래 답변으로 수정합니다.
 기대답변은 질의문(관내외출장 여비 정산 방법), 업무지침 내용만을 기준으로 범정부AI를 활용해서 생성한 내용입니다.
 기대답변:
 1. 관내 출장 여비 정산 기준 및 처리 절차(근무지내 국내출장)
  - 적용 범위: 동일 시·군·섬(제주 제외) 내 출장 및 왕복 12km 미만 거리 출장. 단, 유료 도로 필수 이용 시 근무지내 출장으로 간주
  - 지급 기준:
  &gt; 시간 기준: 4시간 미만: 1만 원 (식비 1/3 추가 실비 가능), 4시간 이상: 2만 원 (운임·식비 추가 실비 가능)
  &gt; 증빙서류: 교통카드 영수증, 신용카드 매출전표 등으로 입증 필요
  - 운임·식비 실비 처리:
  &gt; 실비 상한액은 시간별로 1만 원/2만 원 (교통비+식비 1/3)
  &gt; 공무용 차량 이용 시 운임 지급 제외
 2. 관외 출장 여비 정산 기준 및 처리 절차(근무지외 국내출장)
  - 지급 항목: 운임, 숙박비, 식비, 일비 (세부 산정 방법 기준별)
  - 운임:
  &gt; 철도: 실비 (차량 발매표 기준, 할인 적용)
  &gt; 항공: 실비 (저비용 항공사 이용 권장, 공적·사적 마일리지 병용 가능)
  &gt; 자동차: 대중교통 기준 또는 연료비 (유가·연비 적용)
  - 숙박비:
  &gt; 실비 또는 지역별 상한액(서울 10만 원, 기타 지역 7만 원 등)
  &gt; 초과 기간 시 감액 적용 (장기 체재 시 10분의 1~3 감액)
  - 식비: 1일당 2만 5천 원 (출장 일자 기준)
  - 일비: 정액(일반 2만 5천 원) + 초과 체재 시 감액
 3. 공통 처리 절차:
  - 증빙서류(매출전표, 승차권 등) 제출
  - 중복 출장 시 최대 지급액(관외 숙박비·식비는 횟수별 누적 가능)
  - 공적 항공마일리지 활용 시 추가 일비 지급 가능 (절약액의 50% 한도)</t>
  </si>
  <si>
    <t>560</t>
  </si>
  <si>
    <r>
      <rPr>
        <rFont val="Malgun Gothic"/>
        <color theme="1"/>
        <sz val="11.0"/>
      </rPr>
      <t xml:space="preserve">페이지 내용 전체
예시 부분 제외 
----------
</t>
    </r>
    <r>
      <rPr>
        <rFont val="Arial"/>
        <color rgb="FF0432FF"/>
        <sz val="11.0"/>
      </rPr>
      <t xml:space="preserve">
[Top5 내에 포함될 수 있도록 문서 수량 조정 필요]
</t>
    </r>
    <r>
      <rPr>
        <rFont val="Arial"/>
        <color rgb="FF00B050"/>
        <sz val="11.0"/>
      </rPr>
      <t xml:space="preserve">&gt;&gt; 여비 정산 기준은 560P의 공무로 여행하는 때에 지급되는 여비항목으로 생성, 세부적인 사항은 링크 문서 참조로 처리
&gt;&gt; 지급 절차는 다음 문서 링크만 안내 : 268_2405_인사과_업무매뉴얼_행정안전부_출장관리_매뉴얼.pdf 
</t>
    </r>
    <r>
      <rPr>
        <rFont val="Arial"/>
        <color rgb="FFFF0000"/>
        <sz val="11.0"/>
      </rPr>
      <t>- 고정답변처리가 아니므로 링크만 제공하는 등의 답변처리가 힘듭니다. FAQ 등으로 해당 파일들의 페이지를 안내하도록 별도로 정리하는게 좋을것 같습니다.</t>
    </r>
    <r>
      <rPr>
        <rFont val="Arial"/>
        <color rgb="FF00B050"/>
        <sz val="11.0"/>
      </rPr>
      <t xml:space="preserve">
</t>
    </r>
    <r>
      <rPr>
        <rFont val="Arial"/>
        <color theme="1"/>
        <sz val="11.0"/>
      </rPr>
      <t xml:space="preserve">
</t>
    </r>
    <r>
      <rPr>
        <rFont val="Malgun Gothic"/>
        <color rgb="FF00B050"/>
        <sz val="11.0"/>
      </rPr>
      <t>&gt;&gt; FAQ 처리</t>
    </r>
  </si>
  <si>
    <r>
      <rPr>
        <rFont val="맑은 고딕"/>
        <b/>
        <color theme="1"/>
        <sz val="11.0"/>
      </rPr>
      <t>1229_공무원_여비_규정대통령령제35811호20251001.pdf[4]</t>
    </r>
    <r>
      <rPr>
        <rFont val="맑은 고딕"/>
        <color theme="1"/>
        <sz val="11.0"/>
      </rPr>
      <t xml:space="preserve">
-----
</t>
    </r>
    <r>
      <rPr>
        <rFont val="맑은 고딕"/>
        <color rgb="FFFF0000"/>
        <sz val="11.0"/>
      </rPr>
      <t>[국내여비만 있음]</t>
    </r>
    <r>
      <rPr>
        <rFont val="맑은 고딕"/>
        <color theme="1"/>
        <sz val="11.0"/>
      </rPr>
      <t xml:space="preserve">
제18조(근무지 내 국내 출장 시의 여비) ① 근무지 내 국내 출장의 경우에는 제16조에도 불구하고 출장 여행시간이 4시
간 이상인 공무원에게는 2만원을 지급하고, 4시간 미만인 공무원에게는 1만원을 지급한다. 다만, 「공무용 차량 관리
규정」 제4조 및 별표에 따른 전용 차량 배정자에게는 이를 지급하지 않으며, 공무용 차량을 이용하는 경우 등 인사
혁신처장이 정하는 바에 따라 출장을 하는 공무원에게는 1만원을 감액하여 지급한다. &lt;개정 2013. 3. 23., 2014. 11.
19., 2021. 11. 30., 2024. 7. 2.&gt;
② 제1항에서 “근무지 내 국내 출장”이란 같은 시(특별시, 광역시 및 특별자치시를 포함한다. 이하 같다)ㆍ군 및 섬
(제주특별자치도는 제외한다. 이하 같다) 안에서의 출장이나 여행거리가 12킬로미터 미만인 출장을 말한다.&lt;개정
2013. 1. 9.&gt;
[전문개정 2010. 11. 10.]</t>
    </r>
  </si>
  <si>
    <r>
      <rPr>
        <rFont val="맑은 고딕"/>
        <b/>
        <color theme="1"/>
        <sz val="11.0"/>
      </rPr>
      <t>1230_공무원여비100문100답.pdf[11]</t>
    </r>
    <r>
      <rPr>
        <rFont val="맑은 고딕"/>
        <color theme="1"/>
        <sz val="11.0"/>
      </rPr>
      <t xml:space="preserve">
-----
</t>
    </r>
    <r>
      <rPr>
        <rFont val="맑은 고딕"/>
        <color rgb="FFFF0000"/>
        <sz val="11.0"/>
      </rPr>
      <t>[여비지급액은 있으나 지급절차가 없음]</t>
    </r>
    <r>
      <rPr>
        <rFont val="맑은 고딕"/>
        <color theme="1"/>
        <sz val="11.0"/>
      </rPr>
      <t xml:space="preserve">
Ⅰ공무원 여비제도 개요
1. 근거규정 : 공무원 여비규정(대통령령)
공무원보수 등의 업무지침 「공무원 여비업무 처리기준」 (예규)
※ 국가공무원이 공무로 출장을 가는 경우에 지급하는 사항
2. 여비등급 : 제1호(국장급 이상), 제2호(과장급 이하)
3. 여비항목별 지급액
구분 지급항목 지급방법 지급액
출장
국내
출장
근무지 내
출장
근무지 내
여비 정액
1만원(4시간 미만), 2만원(4시간 이상)
＊공용차량 이용 시 1만원 삭감
＊왕복 2㎞ 이하의 근거리 출장인 경우 실비 지급
근무지 외
출장
운임 실비
제1호 : 철도 특실, 선박 1등급
제2호 : 철도 일반실, 선박 2등급
＊ 항공 및 선박운임은 실비로 지급하되, 항공운임이 2개 이상의
등급으로 구분되어 있을 때에는 공무원 여비규정 별표3「국외항공
운임 지급기준」에 따름
숙박비 실비
(1夜당)
제1호 : 실비
제2호 : 7~5만원(상한범위 내 실비)
＊업무상 부득이한 경우 30% 추가지급 가능
＊공동숙박 또는 친지집 등에서 숙박 시 1夜당 2만원
일비 정액
(1日당) 2만원 ＊공용차량 이용 시 1/2삭감
식비 정액
(1日당) 제1호 : 2.5만원, 제2호 : 2만원
국외 출장
운임 실비
항공운임 지급기준 : 장관급 이상 1등석, 차관급~국장급 비즈니스석,
과장급 이하 2등석
＊철도, 선박 및 자동차운임은 실비지급
숙박비 실비
(1夜당)
$471~$81 상한범위 내 실비
＊지역, 계급별로 차등 실비지급
＊업무상 부득이한 경우 50% 추가지급 가능
일비 정액
(1日당)
$60~$30
＊계급별로 차등 지급
＊ 공적 항공마일리지 사용하여 항공운임을 절약한 공무원에 대해서는
일비의 50% 추가 지급
식비 정액
(1日당)
$186~$37
＊지역, 계급별로 차등 정액지급
＊업무상 부득이한 경우 50% 추가지급 가능
준비금 실비
국외 출장 시마다 실비로 지급(실비정산)
＊ 비자발급, 예방접종, 여행자보험 가입비, 풍토병 예방약 구입비,
법정감염병 진단검사비 5종
근무지 변경
(신규임용 포함)
부임여비
가족여비
실비
정액
＊ (본인) 국내외 여비기준에 따라 지급
(가족) 운임, 준비금은 본인과 같은 등급
일비·식비·숙박비는 12세 이상은 본인의 2/3, 12세 미만은 1/3
이전비 실비
(화물량)
•국내는 5톤은 실비, 5톤 초과 7.5톤은 실비의 50%
•국외는 15㎥은 실비, 16~25㎥(상한)은 실비의 50%</t>
    </r>
  </si>
  <si>
    <t>각종 정보공개 청구가 들어왔을 때 처리 절차와 비공개 사유에 해당하는 기준은 무엇인가요?</t>
  </si>
  <si>
    <t>정보공개 청구가 접수되었을 때 어떤 순서로 처리해야 하며, 비공개 여부를 판단할 때 적용해야 하는 법적 기준은 무엇인가요?</t>
  </si>
  <si>
    <r>
      <rPr>
        <rFont val="Malgun Gothic"/>
        <color theme="1"/>
        <sz val="11.0"/>
      </rPr>
      <t xml:space="preserve">424_2108_통합민원과_업무매뉴얼_행정안전부_정보공개운영안내서.pdf (p.69, 227, 119~184)
기대답변 :
처리절차 &gt;
1. 정보공개(부분공개) 결정) : 청구한 정보의 내용에 따라 공개, 부분공개를 결정하여 입력(법 제11조, 제14조
 1) 수수료가 있는 경우 정보공개(부분공개) 입력
   ∙ ‘결정’ 버튼을 누른 후 ‘정보공개 수수료 있음’ 선택 
   ∙ ‘공개’ 또는 ‘부분공개’ 결정통지서를 선택한 후 공개내용을 입력하고 공개형태, 공개일시, 수수료 정보를 입력한 후 저장 → 결재 → 통지
   ∙ 통지 후 수수료 납부 처리가 완료되면 ‘공개자료(첨부문서)등록’ 버튼을 눌러 공개 자료(5개 이내)를 첨부한 후 저장 → ‘청구인에게 공개’ 버튼을 클릭하여 완료
 2) 수수료가 없는 경우 정보공개(부분공개) 입력(화면 2)
   ∙ ‘결정’ 버튼을 누른 후 ‘정보공개 수수료 없음’ 선택
   ∙ ‘공개’ 또는 ‘부분공개’ 결정통지서를 선택한 후 공개내용(첨부파일 포함), 공개형태, 공개일시를 입력한 후 저장 → 결재 → 통지
2. 정보 비공개 결정 : 청구한 정보가 비공개대상 정보에 해당되는지 판단하여 비공개 결정 입력(법 제9조 제1항 각 호에 해당하는 정보)
 1) 정보공개(비공개) 입력
   ∙ ‘결정’ 버튼을 누른 후 ‘정보공개 수수료 없음’ 선택(‘정보공개 수수료 있음’을 선택할 경우 비공개 결정 버튼이 활성화 되지 않음)
   ∙ ‘비공개’ 결정통지서를 선택한 후 법 제9조 제1항 각 호의 비공개 근거를 선택하고 내용을 입력한 후 저장 → 결재 → 통지
3. 즉시처리 가능한 정보의 공개 : 공개여부를 별도로 판단할 필요가 없어 청구인에게 즉시 정보를 공개하는 업무(법 제16조)
 1) 즉시공개서 입력 후 저장 → 통지 버튼을 눌러야 결정통지 완료
   ∙ 기 공개되어 있는 정보의 구체적인 위치 및 책자 소재 등을 안내
 2) 즉시처리 대상 및 방법의 세부 내용은 안내서 79쪽 참조
4. 정보공개 결재 및 통지 : 공개·비공개 결정 입력 후 전자문서시스템과 연계하여 결재(자동/수동)를 처리하는 업무
 1) 자동결재
   ∙ ‘공개/비공개 결정입력’ 완료 후 ‘자동결재’ 선택
   ∙ ‘자동결재’ 선택 시 처리자가 작성한 문서(결정통지서, 정보공개심의회, 3자 의견서)가 처리자의 소속기관 전자문서시스템으로 전송됨
   ∙ 처리자는 </t>
    </r>
    <r>
      <rPr>
        <rFont val="MS Gothic"/>
        <color theme="1"/>
        <sz val="11.0"/>
      </rPr>
      <t>｢</t>
    </r>
    <r>
      <rPr>
        <rFont val="맑은 고딕"/>
        <color theme="1"/>
        <sz val="11.0"/>
      </rPr>
      <t>연계기안함(예시 : 온나라시스템)</t>
    </r>
    <r>
      <rPr>
        <rFont val="MS Gothic"/>
        <color theme="1"/>
        <sz val="11.0"/>
      </rPr>
      <t>｣</t>
    </r>
    <r>
      <rPr>
        <rFont val="맑은 고딕"/>
        <color theme="1"/>
        <sz val="11.0"/>
      </rPr>
      <t>으로 전송된 붙임문서를 이용하여 기안문을 작성하고 내부 결재
   ∙ 자동결재 완료 시 전자문서시스템은 결재정보(결재일자, 기안자, 검토자, 결재자, 문서번호)를 정보공개시스템으로 전송하며, 수신된 결재정보를 확인 후 ‘통지’ 처리
 2) 수동결재
   ∙ ‘공개/비공개 결정통지’ 입력 완료 후 ‘수동결재’ 선택
   ∙ 전자문서시스템과 연계가 안 되는 기관은 수동결재로 처리
   ∙ 전자문서시스템으로 내부결재를 받은 후 결재 정보(기안자, 결재자, 문서번호 등)를 입력 후 ‘통지’ 처리
 3) 정보공개 통지
   ∙ 결재 완료 후 [통지] 버튼을 클릭해야 결정통지 처리가 완료
   ∙ 청구인이 청구서 작성 시 선택했던 안내메시지 수령방법(핸드폰, 전자우편, 전체)에 따라 결정통지 안내메시지가 발송됨
 4) 기 타
   ∙ 통지 이후에는 결정통지서 수정이 불가능하므로 공개정보, 수수료 등 수정사항이 없도록 확인 후 처리
   ∙ 자동결재 버튼을 클릭하면 ‘결재중’으로 나타나며, 정상적으로 결재가 안 될 경우, 별도 조치 없이 수동결재로 처리 할 수 있음
5. 제3자 통지 및 의견 등록 : 제3자와 관련된 정보공개 청구의 경우, 제3자에게 청구사실을 통지하고 의견을  등록하여 관리하는 업무(법 제11조 제3항, 시행령 제8조)
 1) 제3자 통보
   ∙ 공개 청구된 공개 대상 정보가 제3자와 관련이 있다고 인정할 때에는 그 사실을 제3자에게 지체 없이 통지
 2) 제3자 의견 청취
   ∙ 문서로 통지하여야 하며, 제3자가 원하는 경우 구술로 할 수 있으나 담당 공무원이 기록하고 본인의 확인을 받아야 함
 3) 제3자 의견 등록
   ∙ 결정통지서 입력 이전에 등록, 제3자 의견은 여러 건 등록·수정·삭제 가능
6. 정보공개심의회 의견 등록 : 이의신청 또는 정보공개 결정이 곤란하여 정보공개심의회를 개최한 경우 심의 내용을 등록·관리하는 업무(법 제12조, 시행령 제11조)
 1) 결정통지서 입력 전에 등록 
 2) 정보공개심의회 운영·심의 기준 등 세부내용은 40~42쪽 참조  
7. 정보공개 실시 정지 : 제3자의 비공개 의견에도 불구하고 기관에서 공개결정시, 제3자로부터 행정심판 또는 행정소송이 제기되어 일시적으로 공개된 정보를 청구인이 열람할 수 없도록 정보공개를 정지하는 업무
 1) 실시정지
   ∙ 제3자가 행정심판/소송을 제기하면서 정보공개 정지를 요청하여 받아들여졌을 경우에 ‘실시정지’(화면 1) 버튼을 클릭하면 청구인이 열람할 수 없음
 2) 정보공개 실시정지 사유(화면 2)를 입력하고 저장
8. 기간연장 처리 : 부득이한 사유로 10일 이내에 공개여부를 결정할 수 없을 때 공개여부 결정기간을 연장 처리하는 업무(법 제11조 제2항)
 1) 기간연장 입력 및 처리
   ∙ 공개여부 결정기간 연장사유를 입력하고(화면 1) 기간연장상세 화면을 눌러(화면 2) 결재를 득한 후(화면 3) 연장통지(화면 4)까지 완료해야 기간연장 통지가 처리되며, 청구인이 청구서 작성 시 선택했던 안내 메시지 수령방법에 따라 안내 메시지가 발송됨
 2) 결재절차는 정보공개 결정통지서 자동·수동결재 처리절차와 동일
 3) 청구 결정기간 연장은 10일이며, 이의신청 결정기간 연장은 7일임. 반드시 ‘결재’ 후 ‘통지’ 버튼을 클릭해야만 처리기간이 연장됨(청구인에게는 문서로 통보)
비공개 사유 &gt;
1. 법령상의 비밀, 비공개 정보
2. 안보, 궁밥, 통일, 외교 관련 정보
3. 국민의 생명, 신체, 재산 보호 침해 관련 정보
4. 진행 중인 재판, 수사 등 관련 정보
5. 감사, 감독, 시험, 입찰계약, 의사결정 관련 정보 등
6. 이름, 주민등록번호 등 개인정보
7. 법인등의 경영, 영업상 비밀 정보
8. 부동산 투기, 매점매석 등 관련 정보</t>
    </r>
  </si>
  <si>
    <t>239. 240. 241. 242. 243. 244. 245. 246. 247. 248. 249. 250. 251. 252, 253</t>
  </si>
  <si>
    <r>
      <rPr>
        <rFont val="Malgun Gothic"/>
        <color rgb="FF000000"/>
        <sz val="11.0"/>
      </rPr>
      <t xml:space="preserve">본문내용 일체
 - Q 숫자로 되어 있는 질문 답변은 제외
 &gt; 의견 : Q001~Q128 의 경우 질의응답용으로 활용하기에
좋을거 같은데 혹시 해당 내역만 처리 가능할지 확인바랍니다 
</t>
    </r>
    <r>
      <rPr>
        <rFont val="Arial"/>
        <color rgb="FF0432FF"/>
        <sz val="11.0"/>
      </rPr>
      <t xml:space="preserve">----------
[Top5에 문서가 들어올 수 있도록 수량 조정 필요] 
</t>
    </r>
    <r>
      <rPr>
        <rFont val="Arial"/>
        <color rgb="FF00B050"/>
        <sz val="11.0"/>
      </rPr>
      <t xml:space="preserve">&gt;&gt; 57P 정보공개업무 처리 절차도(이미지 파일)
해당 페이지만 제공하는게 가능하다면 다음 내용으로만 생성해주세요.
</t>
    </r>
    <r>
      <rPr>
        <rFont val="Arial"/>
        <color rgb="FFFF0000"/>
        <sz val="11.0"/>
      </rPr>
      <t xml:space="preserve">- 이미지 제공 불가능 합니다.
</t>
    </r>
    <r>
      <rPr>
        <rFont val="Arial"/>
        <color rgb="FF00B050"/>
        <sz val="11.0"/>
      </rPr>
      <t xml:space="preserve">
&gt;&gt; 정보공개 청구 처리 절차 요약되어 있는 매뉴얼이 따로 없는거 같습니다. 
&gt;&gt; 아니면 목록 2P, 3P의 정보공개 처리, 정보공개 처리에 대해 간단하게 알려주고 자세한 내용은 해당 페이지를 참조하라고 나올 수 있는지도 확인 바랍니다.
&gt;&gt;비공개는 243P 참조해서 답변 생성
</t>
    </r>
    <r>
      <rPr>
        <rFont val="Malgun Gothic"/>
        <color rgb="FFFF0000"/>
        <sz val="11.0"/>
      </rPr>
      <t xml:space="preserve">-  이런 형태의 안내문은 전부다 FAQ를 별도로 만들어서 관리하는게 맞는것 같습니다. 해당 파일의 2, 3, 243 페이지 이외에 포함되어야할 내용을 알려주시면 해당 내용을 포함해 답변을 생성하겠습니다.
(순번 367 질문도 함께 처리)
</t>
    </r>
    <r>
      <rPr>
        <rFont val="Malgun Gothic"/>
        <color rgb="FF00B050"/>
        <sz val="11.0"/>
      </rPr>
      <t>&gt;&gt; FAQ 처리</t>
    </r>
  </si>
  <si>
    <r>
      <rPr>
        <rFont val="맑은 고딕"/>
        <b/>
        <color rgb="FF000000"/>
        <sz val="11.0"/>
      </rPr>
      <t xml:space="preserve">424_2108_통합민원과_업무매뉴얼_행정안전부_정보공개운영안내서.pdf (p.69)
</t>
    </r>
    <r>
      <rPr>
        <rFont val="맑은 고딕"/>
        <color rgb="FF000000"/>
        <sz val="11.0"/>
      </rPr>
      <t>----
5. 정보공개청구서의 접수 및 이송
∙ 정보공개 청구서를 접수하면 정보공개 처리대장에 기록하고 청구인에게 접수증을 발급 (시행령 제6조 제2항)
∙ 다른 공공기관이 보유·관리하는 정보의 공개 청구를 받았을 때에는 지체 없이 이를 소관 기관으로 이송하여야 하며, 이송한 후에는 지체 없이 소관 기관 및 이송 사유 등을 분명히 밝혀 청구인에게 문서로 통지(법 제11조 제4항)
정보공개 청구서 접수증 발급 생략(시행령 제6조 제2항)
 즉시 또는 말로써 처리가 가능한 정보공개 청구
 우편·팩스 또는 정보통신망을 통한 정보공개 청구
※ 단, 청구인의 요청이 있는 경우에는 교부하여야 함
소관부서 분류
 접수된 청구서는 지체 없이 해당 정보를 보유·관리하는 부서로 분류
 공개청구 내용이 여러 부서에 관련되어 있는 경우에는 기관의 사정에 따라 업무 관련성이 큰 부서, 청구 처리건이 많은 부서, 청구서상에 우선순위로 요구된 정보를 처리하는 부서 등이 주관부서가 되어 신속하게 처리하되 청구정보별 소관부서, 담당자 및 연락처를 반드시 기재
소관 기관 이송25)(법 제11조 제4항)
 접수 기관에서 보유·관리하지 않는 정보를 청구한 경우로서, 다른 공공 기관이 보유·관리하는 정보의 공개 청구를 받은 경우
※ 접수 기관에서 보유</t>
    </r>
    <r>
      <rPr>
        <rFont val="Noto Sans KR"/>
        <color rgb="FF000000"/>
        <sz val="11.0"/>
      </rPr>
      <t>‧</t>
    </r>
    <r>
      <rPr>
        <rFont val="맑은 고딕"/>
        <color rgb="FF000000"/>
        <sz val="11.0"/>
      </rPr>
      <t>관리(생산</t>
    </r>
    <r>
      <rPr>
        <rFont val="Noto Sans KR"/>
        <color rgb="FF000000"/>
        <sz val="11.0"/>
      </rPr>
      <t>‧</t>
    </r>
    <r>
      <rPr>
        <rFont val="맑은 고딕"/>
        <color rgb="FF000000"/>
        <sz val="11.0"/>
      </rPr>
      <t>접수 등)하였으나, 관련 절차에 따라 다른 기관으로 관련 자료를 모두 이관한 경우에는 보유</t>
    </r>
    <r>
      <rPr>
        <rFont val="Noto Sans KR"/>
        <color rgb="FF000000"/>
        <sz val="11.0"/>
      </rPr>
      <t>‧</t>
    </r>
    <r>
      <rPr>
        <rFont val="맑은 고딕"/>
        <color rgb="FF000000"/>
        <sz val="11.0"/>
      </rPr>
      <t>관리하지 않는 정보에 해당 
 이송한 후에는 지체 없이 소관 기관 및 이송 사유, 이송 일시 등을 분명히 밝혀 청구인에게 문서로 통지(정보공개시스템을 통해 신청한 경우에는 시스템을 통한 통지 가능)
※ 별지 제3호의2 서식 
※ 청구를 받기 전에 소관 기관을 알려 줄 수 있는 경우(직접 방문에 의한 청구 등)에는 미리 소관 기관을 안내하여 불필요한 이송을 방지
25) 접수·경유·협의 및 처리하는 기관이 각각 상당히 떨어져 있는 경우 문서의 이송에 소요되는 기간은 처리기간에 미산입(행정절차법 시행령 제11조)</t>
    </r>
  </si>
  <si>
    <r>
      <rPr>
        <rFont val="맑은 고딕"/>
        <b/>
        <color rgb="FF000000"/>
        <sz val="11.0"/>
      </rPr>
      <t>424_2108_통합민원과_업무매뉴얼_행정안전부_정보공개운영안내서.pdf (119~124)</t>
    </r>
    <r>
      <rPr>
        <rFont val="맑은 고딕"/>
        <color rgb="FF000000"/>
        <sz val="11.0"/>
      </rPr>
      <t xml:space="preserve">
----
1. 법령상의 비밀·비공개 정보(제1호)
다른 법률 또는 법률에서 위임한 명령(국회규칙·대법원규칙·헌법재판소규칙·중앙선거관리 위원회규칙·대통령령 및 조례로 한정한다)에 따라 비밀이나 비공개 사항으로 규정된 정보
입법취지
 비밀 또는 비공개 사항을 규정한 개별 법령을 우선 적용하여 정보공개법과의 상호 충돌(마찰)을 피하고자 함(대법원 2004두12629)
※ 여기서 “비밀”이라 함은 단순히 형식적으로 보안업무규정에 따라 Ⅰ, Ⅱ, Ⅲ급 비밀로 분류되어 있다는 사실만으로 비밀 해당성이 인정되는 것이 아니고(형식비), 해당 내용이 지금까지 일반에 공개되어 있지 않았고(비공지성), 계속 비공개를 유지하여야 할 필요성과 상당성이 인정되어야 함(실질비)
비공개 여부의 판단기준
 다른 법률에서 구체적으로 위임을 받았는지 여부(대법원 2003두839562)) ※ 검찰보존사무규칙63), 보안업무규정 시행규칙64), 관세법 시행령 제64조65), 지방자치단체에 대한 행정감사 규정 제17조66)는 다른 법률에서 구체적으로 위임을 받았다고 볼 수 없음
 직무상 비밀엄수 의무를 포괄적으로 규정한 것은 아닌지 여부(직무상 비밀엄수 의무의 포괄적 규정 : 제1호 사유에 해당하지 않음)
※ 민원처리에 관한 법률 제7조67), 형사소송법 제47조68) , 형법 제126조69), 성폭력 방지 및 피해자보호 등에 관한 법률 제30조70), 감정평가 및 감정 평가사에 관한 법률 제26조71), 가정폭력방지 및 피해자보호 등에 관한 법률 제16조72), 감염병의 예방 및 관리에 관한 법률 제74조73), 공직자 등의 병역사항 신고 및 공개에 관한 법률 제13조74), 변호사법 제26조(비밀유지의무 등), 의료법 제19조(정보누설금지), 외국환거래법 제22조 (외국환거래의 비밀보장), 산업안전보건법 제162조(비밀유지), 통신비밀보호법 제11조 (비밀준수의 의무), 사회복지사업법 제47조(비밀누설의 금지), 정신건강복지법 제71조 (비밀누설의 금지), 중앙 및 지자체 자체감사기준 제10조(보안유지 등), 공공 감사에 관한 법률 제29조(비밀유지 의무), 감사활동조정협의회의 구성</t>
    </r>
    <r>
      <rPr>
        <rFont val="Noto Sans KR"/>
        <color rgb="FF000000"/>
        <sz val="11.0"/>
      </rPr>
      <t>‧</t>
    </r>
    <r>
      <rPr>
        <rFont val="맑은 고딕"/>
        <color rgb="FF000000"/>
        <sz val="11.0"/>
      </rPr>
      <t>운영 규칙 제11조(비밀엄수의무 등), 개인정보보호법 제60조(비밀유지 등), 국가 공무원법 제60조(비밀엄수의 의무), 지방공무원법 제52조(비밀엄수의 의무), 공직자윤리법 제14조(비밀엄수) 및 제14조의3(금융거래자료의 제공</t>
    </r>
    <r>
      <rPr>
        <rFont val="Noto Sans KR"/>
        <color rgb="FF000000"/>
        <sz val="11.0"/>
      </rPr>
      <t>‧</t>
    </r>
    <r>
      <rPr>
        <rFont val="맑은 고딕"/>
        <color rgb="FF000000"/>
        <sz val="11.0"/>
      </rPr>
      <t>누설 등 금지) 등은 직무상 비밀엄수 의무를 포괄적으로 규정(제1호에 해당하지 않음)
 비밀 또는 비공개의 범위가 구체적인지 여부
※ 형사소송법 제198조 제2항75) 은 비밀 또는 비공개의 범위가 포괄적임
 비공개 사항으로 규정된 ‘정보’에 해당하는지 여부
※ 공무원 징계령 제20조76)는 ‘회의의 비공개’ 규정으로 회의는 정보공개법 제2조 제1호의 ‘정보’에 해당하지 않음
비공개 대상 정보의 유형(제1호 사유에 해당)
 공직자의 재산등록사항, 금융거래 자료(공직자윤리법 제10조 제3항77))
 기초생활수급권자 및 부양의무자의 소득·재산·생활실태 등에 관한 사항 (국민기초생활보장법 제22조 제6항78))
 납세자가 제출한 자료나 국세의 부과 또는 징수 목적으로 취득한 자료 등을 타인에게 제공 등 금지(국세기본법 제81조의1379))
 도시계획위원회 회의록 중 이름, 주민등록번호, 직위, 주소 등 대통령령으로 정하는 특정인을 식별할 수 있는 개인 식별 정보(국토의 계획 및 이용에 관한 법률 제113조의280))
 법인, 기업, 단체, 개인에 대한 자금지원(금융거래)에 관한 정보(금융실명 거래 및 비밀보장에 관한 법률 제4조 제1항81))
 직무발명을 출원할 때까지 직무발명의 내용에 관한 비밀(발명진흥법 제19조82))
 개별 근로자의 건강진단 결과(산업안전보건법 제132조 제2항83))
 외국에 사무소를 둔 법인의 외국환 거래내역(외국환거래법 제22조84))
 개인위치정보(위치정보의 보호 및 이용 등에 관한 법률 제15조 제1항85))
 컴퓨터 파일에 기록된 전자무역문서 및 데이터베이스에 입력된 무역 정보 (전자무역 촉진에 관한 법률 제21조86))
 납세자가 납세의무를 이행하기 위해 제출한 자료나 지방세의 부과 또는 징수를 목적으로 업무상 취득한 자료(지방세기본법 제86조87))
 통계의 작성을 위하여 수집된 개인이나 법인 또는 단체 등의 비밀에 속하는 자료(통계법 제33조88))
 우편물의 검열·전기통신의 감청 또는 통신사실 확인자료, 공개되지 아니한 타인간의 대화 내용(통신비밀보호법 제3조89))
 행정심판위원회에서 위원이 발언한 내용, 위원회의 심리·재결의 공정성을 해칠 우려가 있는 사항(행정심판법 제41조90))
 환경분쟁조정위원회의 조정절차(환경분쟁 조정법 제25조91))
 에이즈검사결과 회보, 에이즈민원 검사 의뢰서, HIV 양성자 발견 보고, HIV 감염자 진료비 보조금(후천성면역결핍증 예방법 제8조의292))
 지원대상자의 채무액 등 신용정보(긴급복지지원법 제13조 제7항93))
 국정원의 조직·소재지 및 정원(국가정보원법 제8조94))
 국회에서의 비공개 회의내용(국회법 제118조 제4항95))
 학교폭력대책심의위원회 회의록(학교폭력 예방 및 대책에 관한 법률 제21조96) 및 시행령 제33조)
 노동위원회의에서 비공개 의결한 노동위원회 회의록(노동위원회법 제19조97))
 공무원 징계위원회 회의에 참여할 또는 참여한 위원의 명단, 회의록 등 (국가공무원법 제81조, 공무원징계령 제20조)</t>
    </r>
  </si>
  <si>
    <r>
      <rPr>
        <rFont val="맑은 고딕"/>
        <b/>
        <color rgb="FF000000"/>
        <sz val="11.0"/>
      </rPr>
      <t xml:space="preserve">424_2108_통합민원과_업무매뉴얼_행정안전부_정보공개운영안내서.pdf (p.227)
----
</t>
    </r>
    <r>
      <rPr>
        <rFont val="맑은 고딕"/>
        <color rgb="FF000000"/>
        <sz val="11.0"/>
      </rPr>
      <t xml:space="preserve">2. 정보공개 청구 접수
기관에 청구된 모든 청구(온라인, 오프라인)를 확인하여 접수하는 업무 담당자 : 정보공개관리자 
메 뉴 : 청구관리 &gt; 전체청구관리
청구서 조회화면
처리 절차
1) 청구서 접수
∙ 정보공개 관리자만 전체청구관리 메뉴에 접근할 수 있음
∙ 처리상태가 ‘접수대기중’인 것을 확인한 후 제목을 클릭하면 청구내용을 상세조회 할 수 있으며, 처리상태는 접수완료로 변경됨(화면 </t>
    </r>
    <r>
      <rPr>
        <rFont val="Segoe UI Symbol"/>
        <color rgb="FF000000"/>
        <sz val="11.0"/>
      </rPr>
      <t>➊</t>
    </r>
    <r>
      <rPr>
        <rFont val="맑은 고딕"/>
        <color rgb="FF000000"/>
        <sz val="11.0"/>
      </rPr>
      <t>)
※ 접수번호 : 처리내용을 확인하고 추적하기 위하여 부여된 번호 2) 청구취하 방법(통지완료 후에는 취하 불가) 
∙ 오프라인(직접방문·우편·FAX) 청구 : 정보공개접수자 ∙ 온라인(정보공개시스템) 청구 : 청구인</t>
    </r>
  </si>
  <si>
    <t>정보공개법에 따른 정보공개 청구 처리 기한은 며칠인가요?</t>
  </si>
  <si>
    <t>정보공개법에 따라 정보공개 청구가 접수된 후, 기관이 결정·통지해야 하는 법정 처리 기한은 얼마인가요?</t>
  </si>
  <si>
    <t>관련근거 정보공개운영안내서 100P
기대답변 :
정보공개청구의 경우 10일 이내 정보공개 여부를 결정하여야 하나,
∙ 정보부존재 등의 경우에는 민원처리에 관한 법률에 의하여 처리할 수
있도록 규정하여 동법에 따라 7일 이내 처리
다만, 공개·비공개 정보와 부존재 정보가 함께 청구된 경우
∙ 정보공개 또는 비공개 결정통지서에 ‘정보부존재’ 사유를 기재하고
정보공개법 제11조 제1항에 따라 10일 이내 처리</t>
  </si>
  <si>
    <t>정보공개청구의 경우 10일 이내 정보공개 여부를 결정하여야 하나,
 ∙ 정보부존재 등의 경우에는 민원처리에 관한 법률에 의하여 처리할 수
 있도록 규정하여 동법에 따라 7일 이내 처리
 다만, 공개·비공개 정보와 부존재 정보가 함께 청구된 경우
 ∙ 정보공개 또는 비공개 결정통지서에 ‘정보부존재’ 사유를 기재하고
 정보공개법 제11조 제1항에 따라 10일 이내 처리</t>
  </si>
  <si>
    <t>100</t>
  </si>
  <si>
    <t>� 공개 또는 비공개 결정을 할 수 있는 정보와 부존재 정보를 함께 청구한 경우
 ∙ 공개 또는 비공개 결정을 하면서, 결정 통지서에 ‘정보부존재’의 사유를
 공개, 비공개 내용과 명확히 구분하여 구체적으로 설명
 ∙ 정보 부존재는 공개·부분공개·비공개 결정이 아닌 ‘정보부존재’의 사실을 통보
 ※ 예 : 귀하가 청구하신 정보 중 ○○사업계획서는 공개하며, △△사업계획서는 기록물 관리법에
 따라 보존기간의 경과로 폐기되어 정보부존재임을 알려 드립니다.
 정보부존재 처리기간
 청구일부터 7일 이내
 � 정보공개청구의 경우 10일 이내 정보공개 여부를 결정하여야 하나,
 ∙ 정보부존재 등의 경우에는 민원처리에 관한 법률에 의하여 처리할 수
 있도록 규정하여 동법에 따라 7일 이내 처리
 � 다만, 공개·비공개 정보와 부존재 정보가 함께 청구된 경우
 ∙ 정보공개 또는 비공개 결정통지서에 ‘정보부존재’ 사유를 기재하고
 정보공개법 제11조 제1항에 따라 10일 이내 처리
 정보공개시스템에서 정보부존재 처리방법
 정보공개시스템에서 정보부존재 처리 시 구체적인 사유를 들어 결정·통지
 � 청구관리 &gt; 부서청구관리 &gt; 청구제목 선택(상세조회) &gt; 정보부존재 선택</t>
  </si>
  <si>
    <t>「공직자윤리법」에 따라 재산등록 대상자에 해당하는 공무원의 신고 의무와 절차는 어떻게 되나요?</t>
  </si>
  <si>
    <t>「공직자윤리법」에 따른 재산등록 의무 대상 공무원은 어떤 기준으로 결정되며, 최초등록·정기등록·변동신고 등 각 신고 유형별 제출 대상 재산 범위와 처리 절차는 어떻게 구분되나요?</t>
  </si>
  <si>
    <t>청탁금지법상 공무원이 받을 수 없는 금품 등의 기준은 어떻게 되며, 예외 사항은 어떤 경우인가요?</t>
  </si>
  <si>
    <t>청탁금지법에 따라 공무원이 수수할 수 없는 금품의 금지 기준은 어떻게 정해지며, 법에서 허용하는 예외 유형은 어떤 경우에 해당하나요?</t>
  </si>
  <si>
    <t>관련근거 : 청탁금지법은 미제공, 감사담당관 자치법규 - 부산광역시 부정청탁 및 금품등 수수의 신고사무 처리 지침
기대답변 :
1. 공무원이 받을 수 없는 금품 등의 기준
원칙: 공무원은 직무와 관련하여 사적 이익을 목적으로 금품이나 향응을 받는 것이 금지됩니다
대상: 금품, 향응, 경조사비, 사례금, 외부강의 사례금 등 모든 형태의 금전적·물질적 이익
수수 신고: 공무원은 법 제9조제2항 단서, 시행령 제24조 등에서 정한 금품을 받은 경우, 즉시 청탁방지담당관에게 인도해야 하며, 관리대장 기록, 사진·영상 기록 등으로 증빙을 남기도록 규정되어 있습니다
2. 금품 수수 관련 절차
인도: 금품을 받으면 인도확인서 작성 후, 인도자와 연명 서명, 1부는 인도자에게, 1부는 담당관이 보관
관리: 금품등 관리대장 기록, 사진·영상 촬영.
반환·폐기:반환 가능한 경우(반환확인서 작성 후 인도), 폐기 필요 시(폐기처분 동의확인서 작성, 사진·영상 기록 보관)
과태료·징계 관련: 재판 또는 징계 절차 완료 전까지 보관, 완료 후 국고금 관리법에 따라 처리
3. 예외 사항
사회 통념상 인정되는 범위: 경조사비, 부조금 등 사회 통념상 허용되는 수준 내 금품
사전에 신고·승인된 경우: 외부 강의 사례금, 초과사례금 등은 청탁방지담당관에게 사전 신고 후 수령 가능
초과사례금은 정해진 기준을 초과하면 반환해야 함
보관 후 처리 가능: 멸실, 부패 등으로 보관이 어려운 경우 담당관 판단에 따라 폐기 가능</t>
  </si>
  <si>
    <t>미답변 처리
  &gt; 감사담당관, 청렴담당관 제출자료 미해당으로 제외</t>
  </si>
  <si>
    <r>
      <rPr>
        <rFont val="맑은 고딕"/>
        <b/>
        <color theme="1"/>
        <sz val="11.0"/>
      </rPr>
      <t>1155_페이지116_문서5_164215_부산광역시_부정청탁_및_금품등_수수의_신고사무_처리_지침.pdf[]</t>
    </r>
    <r>
      <rPr>
        <rFont val="맑은 고딕"/>
        <color theme="1"/>
        <sz val="11.0"/>
      </rPr>
      <t xml:space="preserve">
-----
</t>
    </r>
    <r>
      <rPr>
        <rFont val="맑은 고딕"/>
        <color rgb="FFFF0000"/>
        <sz val="11.0"/>
      </rPr>
      <t>[답변불가]
신고사무 처리 절차에 관한 내용으로, 금품 수수 기준과 예외사항은 포함되어 있지 않습니다.</t>
    </r>
  </si>
  <si>
    <t>지방공무원법 및 내부 규정에 따라 겸직이나 외부강의 시 사전 신고가 필요한 경우는 어떤 때이며, 절차는 어떻게 되나요?</t>
  </si>
  <si>
    <t>「지방공무원법」 및 관련 내부 규정에 따라 공무원이 겸직 또는 외부강의를 수행할 때, 사전 신고가 필요한 구체적 요건과 신고 절차는 어떻게 되나요?</t>
  </si>
  <si>
    <r>
      <rPr>
        <rFont val="Malgun Gothic"/>
        <color theme="1"/>
        <sz val="11.0"/>
      </rPr>
      <t xml:space="preserve">관련 근거 : 지방공무원법, 지방공무원 복무규정, 자치법규 중 부산광역시 공무원 행동강령
미제출 자료 : 부정청탁 및 금품등 수수의 금지에 관한 법률
위의 법령으로만 내용 생성을 하려고 하니 좀 어려워서
공문중에 정리된 내용이 있어서 해당 파일을 참고해서 답변 생성을 했습니다.
실제로 활용한 미제출 자료
1. 지방공무원의 영리업무 및 겸직 금지 의무 강조(공문)
 - 지방공무원 영리업무 및 겸직 금지 의무 관련 법령(첨부파일)
2. 외부강의등 신고 중요사항 알림(공문)
 - 외부강의등 신고 방법(첨부파일)
 - 외부강의등 관련 규정(첨부파일)
기대답변 :
1. 외부강의 등 신고
(1) 신고 대상
 - 사례금을 받는 외부강의·강연·기고 등
   &gt; 공무원의 직무 관련성 또는 지위·직책에서 유래되는 영향력으로 요청받은 경우
   &gt; 교육, 홍보, 토론회, 세미나, 공청회, 그 외 회의 등에서 진행한 강의나 기고 포함
 - 신고 제외
   &gt; 사례금을 받지 않는 경우
   &gt; 국가나 지방자치단체가 요청한 경우
      ※ 단, 사례금 상한액 제한은 동일하게 적용
(2) 신고 방법 및 절차
 - 신고 기한: 강의를 마친 날로부터 10일 이내 서면 신고 가능 (사전신고도 가능)
 - 신고 경로
</t>
    </r>
    <r>
      <rPr>
        <rFont val="맑은 고딕"/>
        <b/>
        <color theme="1"/>
        <sz val="11.0"/>
      </rPr>
      <t xml:space="preserve">   &gt; </t>
    </r>
    <r>
      <rPr>
        <rFont val="맑은 고딕"/>
        <color theme="1"/>
        <sz val="11.0"/>
      </rPr>
      <t>행정포털 → 감사관리 → 외부강의등 신고등록
   &gt; 온나라 연계기안 작성
   &gt; 공문 발송 (청렴담당관)
 - 유의사항
   &gt; 신청자 복무 결재 전결권자 준수
   &gt; 요청기관 공문 첨부 필수
(3) 사례금 상한
 - 1시간 이내: 최대 40만원
 - 1시간 초과: 최대 60만원 (40만원의 150%)
 - 요청기관이 교통·숙박비를 제공할 경우 사례금과 별도 처리
 - 초과 사례금 수령 시 2일 이내 신고 및 반환
(4) 외부강의 횟수 제한
 - 월 3회 초과 시 사전 승인 필요 (국가·지자체 요청 강의 및 겸직 허가 강의는 제외)
 - 위반 시 「청탁금지법」에 따라 징계·과태료 대상
2. 겸직 허가
(1) 원칙
 - 공무원은 영리업무 및 겸직 원칙적으로 금지
 - 비영리업무도 1개월 이상 계속 활동 시 허가 필요
(2) 근무시간 내 겸직 금지
 - 근무시간 중 겸직 활동은 원칙적으로 금지
 - 예외적 허용: 공익적 성격 비영리법인 당연직 이사, 국가·시 정책 수행 목적
 - 예외적 허가 시 근무시간 겸직은 연가·외출·조퇴 처리
(3) 기타 유의사항
 - 임용 후 기존 영리·비영리업무 계속 종사 희망 시 임용일부터 1개월 내 겸직허가 신청
 - 겸직 허가 기간 중 직무 변경 시 변경일부터 1개월 내 재심사 신청</t>
    </r>
  </si>
  <si>
    <t>1. 외부강의 등 신고
 (1) 신고 대상
  - 사례금을 받는 외부강의·강연·기고 등
  &gt; 공무원의 직무 관련성 또는 지위·직책에서 유래되는 영향력으로 요청받은 경우
  &gt; 교육, 홍보, 토론회, 세미나, 공청회, 그 외 회의 등에서 진행한 강의나 기고 포함
  - 신고 제외
  &gt; 사례금을 받지 않는 경우
  &gt; 국가나 지방자치단체가 요청한 경우
  ※ 단, 사례금 상한액 제한은 동일하게 적용
 (2) 신고 방법 및 절차
  - 신고 기한: 강의를 마친 날로부터 10일 이내 서면 신고 가능 (사전신고도 가능)
  - 신고 경로
  &gt; 행정포털 → 감사관리 → 외부강의등 신고등록
  &gt; 온나라 연계기안 작성
  &gt; 공문 발송 (청렴담당관)
  - 유의사항
  &gt; 신청자 복무 결재 전결권자 준수
  &gt; 요청기관 공문 첨부 필수
 (3) 사례금 상한
  - 1시간 이내: 최대 40만원
  - 1시간 초과: 최대 60만원 (40만원의 150%)
  - 요청기관이 교통·숙박비를 제공할 경우 사례금과 별도 처리
  - 초과 사례금 수령 시 2일 이내 신고 및 반환
 (4) 외부강의 횟수 제한
  - 월 3회 초과 시 사전 승인 필요 (국가·지자체 요청 강의 및 겸직 허가 강의는 제외)
  - 위반 시 「청탁금지법」에 따라 징계·과태료 대상
 2. 겸직 허가
 (1) 원칙
  - 공무원은 영리업무 및 겸직 원칙적으로 금지
  - 비영리업무도 1개월 이상 계속 활동 시 허가 필요
 (2) 근무시간 내 겸직 금지
  - 근무시간 중 겸직 활동은 원칙적으로 금지
  - 예외적 허용: 공익적 성격 비영리법인 당연직 이사, 국가·시 정책 수행 목적
  - 예외적 허가 시 근무시간 겸직은 연가·외출·조퇴 처리
 (3) 기타 유의사항
  - 임용 후 기존 영리·비영리업무 계속 종사 희망 시 임용일부터 1개월 내 겸직허가 신청
  - 겸직 허가 기간 중 직무 변경 시 변경일부터 1개월 내 재심사 신청</t>
  </si>
  <si>
    <t>1251_지방공무원의_영리업무_및_겸직_금지_의무_강조.pdf
1224_외부강의등_신고_중요사항_알림.pdf</t>
  </si>
  <si>
    <t>1
1</t>
  </si>
  <si>
    <t>지방공무원법 및 내부 규정에 따른 공무원 겸직, 외부강의 시 사전 신고에 대한 구체적인 요건과 신고 절차 안내
지방공무원법 및 내부 규정에 따른 공무원 겸직, 외부강의 시 사전 신고에 대한 구체적인 요건과 신고 절차 안내</t>
  </si>
  <si>
    <r>
      <rPr>
        <rFont val="맑은 고딕"/>
        <b/>
        <color theme="1"/>
        <sz val="11.0"/>
      </rPr>
      <t>1251_지방공무원의_영리업무_및_겸직_금지_의무_강조.pdf[1]</t>
    </r>
    <r>
      <rPr>
        <rFont val="맑은 고딕"/>
        <color theme="1"/>
        <sz val="11.0"/>
      </rPr>
      <t xml:space="preserve">
-----
부 산 광 역 시
수신 수신자 참조
(경유)
제목 지방공무원의 영리업무 및 겸직 금지 의무 강조
「지방공무원법」 제56조, 「지방공무원 복무규정」 제10조 및 제11조에 따라 지방공무원은 영리업무와 겸직이 금지되어 있음에도 불구하고 허가를 받지 않고 겸직 활동을
하는 등 복무 관리가 미비한 사례가 있습니다. 이와 관련하여 다음과 같이 유의사항을
안내드리니, 각 부서 및 구</t>
    </r>
    <r>
      <rPr>
        <rFont val="Ebrima"/>
        <color theme="1"/>
        <sz val="11.0"/>
      </rPr>
      <t>ߵ</t>
    </r>
    <r>
      <rPr>
        <rFont val="맑은 고딕"/>
        <color theme="1"/>
        <sz val="11.0"/>
      </rPr>
      <t>군에서는 소속 직원의 복무관리에 철저를 기하여 주시기
바랍니다.
 □ 유의사항
 가. 영리업무 및 겸직의 원칙적 금지, 예외적 허가
 - 공무원이 직무에 전념하게 하도록 공무 이외 직무에 종사를 규제하는 것
 - 영리업무뿐만 아니라 비영리업무도 계속성*이 있다면 사전에 허가 필요
* 월 활동 횟수에 상관없이 1개월을 초과하여 주기적 또는 계속적으로 활동하는 경우등
 나. 근무시간 내에 겸직업무에 종사하는 것은 원칙적 금지
 - 공익적 성격의 비영리법인의 당연직 이사 등으로 참여하여 공익을 대변하는 경우, 국가 또는 시 정책 수행 목적상 필요한 경우 등에 한하여 예외적으로 허용 - 단, 예외적으로 허용한 경우에도 근무시간 중 겸직 활동을 할 때는 연가·외출· 조퇴 등으로 처리
 다. 기타 유의사항
 - 공무원으로 임용된 자가 기존 영리·비영리업무에 계속 종사하기를 원하는 경우
임용된 날부터 1개월 이내에 겸직허가 신청
 - 겸직허가를 받은 공무원이 겸직허가 기간 중 담당직무가 변경된 경우에는 직무가 변경된 날부터 1개월 이내에 겸직허가 재심사 신청</t>
    </r>
  </si>
  <si>
    <r>
      <rPr>
        <rFont val="맑은 고딕"/>
        <b/>
        <color theme="1"/>
        <sz val="11.0"/>
      </rPr>
      <t>1224_외부강의등_신고_중요사항_알림.pdf[1]</t>
    </r>
    <r>
      <rPr>
        <rFont val="맑은 고딕"/>
        <color theme="1"/>
        <sz val="11.0"/>
      </rPr>
      <t xml:space="preserve">
-----
제목 「외부강의등 신고」 중요사항 알림
1. 「부정청탁 및 금품등 수수의 금지에 관한 법률」 제10조 및 「부산광역시 공무원
행동강령」 제16조 등과 관련입니다. 2. 우리 시 소속 공무원의 직무 관련 외부 활동이 활발해짐에 따라 건전한 공직풍토
조성을 위해 “외부강의등 신고”에 대한 주요 내용을 아래와 같이 알려드리니, 관련
내용을 숙지하셔서, 향후 법령위반으로 인한 징계 등의 불이익 처분이 발생하지
않도록 유의하여 주시기 바랍니다.
공무원의 외부강의등 중요사항
○ 외부강의등 신고대상 : 사례금을 받는 외부강의 등 - 공무원 자신의 직무와 관련되거나 그 지위</t>
    </r>
    <r>
      <rPr>
        <rFont val="Yu Gothic"/>
        <color theme="1"/>
        <sz val="11.0"/>
      </rPr>
      <t>･</t>
    </r>
    <r>
      <rPr>
        <rFont val="맑은 고딕"/>
        <color theme="1"/>
        <sz val="11.0"/>
      </rPr>
      <t>직책 등에서 유래되는 사실상의 영향력을 통하여 요청받은
 교육</t>
    </r>
    <r>
      <rPr>
        <rFont val="Yu Gothic"/>
        <color theme="1"/>
        <sz val="11.0"/>
      </rPr>
      <t>･</t>
    </r>
    <r>
      <rPr>
        <rFont val="맑은 고딕"/>
        <color theme="1"/>
        <sz val="11.0"/>
      </rPr>
      <t>홍보</t>
    </r>
    <r>
      <rPr>
        <rFont val="Yu Gothic"/>
        <color theme="1"/>
        <sz val="11.0"/>
      </rPr>
      <t>･</t>
    </r>
    <r>
      <rPr>
        <rFont val="맑은 고딕"/>
        <color theme="1"/>
        <sz val="11.0"/>
      </rPr>
      <t>토론회</t>
    </r>
    <r>
      <rPr>
        <rFont val="Yu Gothic"/>
        <color theme="1"/>
        <sz val="11.0"/>
      </rPr>
      <t>･</t>
    </r>
    <r>
      <rPr>
        <rFont val="맑은 고딕"/>
        <color theme="1"/>
        <sz val="11.0"/>
      </rPr>
      <t>세미나</t>
    </r>
    <r>
      <rPr>
        <rFont val="Yu Gothic"/>
        <color theme="1"/>
        <sz val="11.0"/>
      </rPr>
      <t>･</t>
    </r>
    <r>
      <rPr>
        <rFont val="맑은 고딕"/>
        <color theme="1"/>
        <sz val="11.0"/>
      </rPr>
      <t>공청회 또는 그 밖의 회의 등에서 한 강의</t>
    </r>
    <r>
      <rPr>
        <rFont val="Yu Gothic"/>
        <color theme="1"/>
        <sz val="11.0"/>
      </rPr>
      <t>･</t>
    </r>
    <r>
      <rPr>
        <rFont val="맑은 고딕"/>
        <color theme="1"/>
        <sz val="11.0"/>
      </rPr>
      <t>강연</t>
    </r>
    <r>
      <rPr>
        <rFont val="Yu Gothic"/>
        <color theme="1"/>
        <sz val="11.0"/>
      </rPr>
      <t>･</t>
    </r>
    <r>
      <rPr>
        <rFont val="맑은 고딕"/>
        <color theme="1"/>
        <sz val="11.0"/>
      </rPr>
      <t>기고 등
 - (신고 제외) ① 사례금을 받지 않는 경우, ② 요청기관이 국가나 지방자치단체인 경우 등
 ※ 국가 또는 지자체 요청 강의는 신고의무는 없으나 상한액 제한은 동일하게 적용됨. ○ 신고방법 : 외부강의등을 마친 날로부터 10일 이내 서면 신고(사전신고도 가능) - 신고절차 : 행정포털 &gt; 감사관리 &gt; 외부강의등 신고등록 &gt; 온나라 연계기안 &gt; 공문발송(청렴담당관) - (유의사항) ① 신청자 복무 결재 전결권자 준수, ② 요청기관의 공문 반드시 첨부
○ 외부강의등 사례금 상한액 : 세전 금액 신고
 - 직급 구분 없이 1시간 이내(기고 1건당) 최대 40만원, 1시간 초과 최대 60만원(40만원의 150%) - (유의사항) ① 요청기관이 교통/숙박비 등 제공 시 사례금과 별도(여비 중복 수령 불가) ② 초과사례금 수령 시 받은 사실을 안 날로부터 2일 이내 행동강령책임관에게
 신고 및 제공자(외부강의 요청기관)에 즉시 반납
○ 외부강의등 횟수 상한 : 월 3회
 - 월 3회 초과 시 미리 행동강령책임관의 승인을 받아야 함. - (횟수 불포함) ① 국가 또는 지자체가 요청한 경우 ② 겸직 허가를 받은 외부강의등
※위반시 제재(「청탁금지법」제21조 내지 제24조) - 징계 대상 : 외부강의 신고의무 위반
 - 징계 및 과태료 대상 : 초과사례금 신고 및 반환의무 위반</t>
    </r>
  </si>
  <si>
    <t>공식행사, 외교, 정부행사 추진시 의전방법은 어떻게 되나요?</t>
  </si>
  <si>
    <t>공식행사·외교행사·정부행사 추진 시 적용해야 하는 의전 기준과 절차는 무엇인가요?</t>
  </si>
  <si>
    <r>
      <rPr>
        <rFont val="Malgun Gothic"/>
        <color theme="1"/>
        <sz val="11.0"/>
      </rPr>
      <t xml:space="preserve">관련 근거 : 부산시 방문 주요 인사 의전 매뉴얼 수립 보고자료(공문)
 - 부산시 의전실무 매뉴얼은 참고만 했습니다
기대답변 :
행사 전(행사 주관부서)
</t>
    </r>
    <r>
      <rPr>
        <rFont val="Segoe UI Symbol"/>
        <color theme="1"/>
        <sz val="11.0"/>
      </rPr>
      <t>▸</t>
    </r>
    <r>
      <rPr>
        <rFont val="맑은 고딕"/>
        <color theme="1"/>
        <sz val="11.0"/>
      </rPr>
      <t xml:space="preserve"> 방문 인사 및 동행인 정보(차량, 연락처) 확인
</t>
    </r>
    <r>
      <rPr>
        <rFont val="Segoe UI Symbol"/>
        <color theme="1"/>
        <sz val="11.0"/>
      </rPr>
      <t>▸</t>
    </r>
    <r>
      <rPr>
        <rFont val="맑은 고딕"/>
        <color theme="1"/>
        <sz val="11.0"/>
      </rPr>
      <t xml:space="preserve"> 총무과에 행사내용 공유, 영접 부분 협의
</t>
    </r>
    <r>
      <rPr>
        <rFont val="Segoe UI Symbol"/>
        <color theme="1"/>
        <sz val="11.0"/>
      </rPr>
      <t>▸</t>
    </r>
    <r>
      <rPr>
        <rFont val="맑은 고딕"/>
        <color theme="1"/>
        <sz val="11.0"/>
      </rPr>
      <t xml:space="preserve"> 의전계획 수립 후 행사보고서에 첨부
행사 전(의전부서 총무과)
</t>
    </r>
    <r>
      <rPr>
        <rFont val="Segoe UI Symbol"/>
        <color theme="1"/>
        <sz val="11.0"/>
      </rPr>
      <t>▸</t>
    </r>
    <r>
      <rPr>
        <rFont val="맑은 고딕"/>
        <color theme="1"/>
        <sz val="11.0"/>
      </rPr>
      <t xml:space="preserve"> 영접 총괄 검토(참석간부, 퍼포먼스 여부 등)
</t>
    </r>
    <r>
      <rPr>
        <rFont val="Segoe UI Symbol"/>
        <color theme="1"/>
        <sz val="11.0"/>
      </rPr>
      <t>▸</t>
    </r>
    <r>
      <rPr>
        <rFont val="맑은 고딕"/>
        <color theme="1"/>
        <sz val="11.0"/>
      </rPr>
      <t xml:space="preserve"> 방문 인사 이동차량 배차, 공항 주차장 등 지원
</t>
    </r>
    <r>
      <rPr>
        <rFont val="Segoe UI Symbol"/>
        <color theme="1"/>
        <sz val="11.0"/>
      </rPr>
      <t>▸</t>
    </r>
    <r>
      <rPr>
        <rFont val="맑은 고딕"/>
        <color theme="1"/>
        <sz val="11.0"/>
      </rPr>
      <t xml:space="preserve"> 승·하차, 주차, EV, 대기실, 환경정비 상태 등 확인
영 접(행사 주관부서)
</t>
    </r>
    <r>
      <rPr>
        <rFont val="Segoe UI Symbol"/>
        <color theme="1"/>
        <sz val="11.0"/>
      </rPr>
      <t>▸</t>
    </r>
    <r>
      <rPr>
        <rFont val="맑은 고딕"/>
        <color theme="1"/>
        <sz val="11.0"/>
      </rPr>
      <t xml:space="preserve"> 방문 인사 도착시간 확인, 영접 참석간부 지정
</t>
    </r>
    <r>
      <rPr>
        <rFont val="Segoe UI Symbol"/>
        <color theme="1"/>
        <sz val="11.0"/>
      </rPr>
      <t>▸</t>
    </r>
    <r>
      <rPr>
        <rFont val="맑은 고딕"/>
        <color theme="1"/>
        <sz val="11.0"/>
      </rPr>
      <t xml:space="preserve"> 필요시 환영 퍼포먼스(꽃다발 증정 등) 실시
</t>
    </r>
    <r>
      <rPr>
        <rFont val="Segoe UI Symbol"/>
        <color theme="1"/>
        <sz val="11.0"/>
      </rPr>
      <t>▸</t>
    </r>
    <r>
      <rPr>
        <rFont val="맑은 고딕"/>
        <color theme="1"/>
        <sz val="11.0"/>
      </rPr>
      <t xml:space="preserve"> 외국 인사의 경우 통역인 배치 여부 확인
영 접(총무과)
</t>
    </r>
    <r>
      <rPr>
        <rFont val="Segoe UI Symbol"/>
        <color theme="1"/>
        <sz val="11.0"/>
      </rPr>
      <t>▸</t>
    </r>
    <r>
      <rPr>
        <rFont val="맑은 고딕"/>
        <color theme="1"/>
        <sz val="11.0"/>
      </rPr>
      <t xml:space="preserve"> 영접위치, 참석자 복장, 하차·주차 공간 등 확인
영 접(대변인실)
</t>
    </r>
    <r>
      <rPr>
        <rFont val="Segoe UI Symbol"/>
        <color theme="1"/>
        <sz val="11.0"/>
      </rPr>
      <t>▸</t>
    </r>
    <r>
      <rPr>
        <rFont val="맑은 고딕"/>
        <color theme="1"/>
        <sz val="11.0"/>
      </rPr>
      <t xml:space="preserve"> 방문 기념사진 촬영
이 동(의전부서 총무과)
 </t>
    </r>
    <r>
      <rPr>
        <rFont val="Segoe UI Symbol"/>
        <color theme="1"/>
        <sz val="11.0"/>
      </rPr>
      <t>▸</t>
    </r>
    <r>
      <rPr>
        <rFont val="맑은 고딕"/>
        <color theme="1"/>
        <sz val="11.0"/>
      </rPr>
      <t xml:space="preserve"> 지정 EV 담당 직원 소통, 동선 안내 등 지원
행사 진행(행사 주관부서)
</t>
    </r>
    <r>
      <rPr>
        <rFont val="Segoe UI Symbol"/>
        <color theme="1"/>
        <sz val="11.0"/>
      </rPr>
      <t>▸</t>
    </r>
    <r>
      <rPr>
        <rFont val="맑은 고딕"/>
        <color theme="1"/>
        <sz val="11.0"/>
      </rPr>
      <t xml:space="preserve"> 행사장 상황 공유를 통한 주요 인사 이동시간 공유
행사 진행(기획관실)
</t>
    </r>
    <r>
      <rPr>
        <rFont val="Segoe UI Symbol"/>
        <color theme="1"/>
        <sz val="11.0"/>
      </rPr>
      <t>▸</t>
    </r>
    <r>
      <rPr>
        <rFont val="맑은 고딕"/>
        <color theme="1"/>
        <sz val="11.0"/>
      </rPr>
      <t xml:space="preserve"> 시정 보고자료, 지역현안 건의사항 등 지원
행사 진행(총무과)
</t>
    </r>
    <r>
      <rPr>
        <rFont val="Segoe UI Symbol"/>
        <color theme="1"/>
        <sz val="11.0"/>
      </rPr>
      <t>▸</t>
    </r>
    <r>
      <rPr>
        <rFont val="맑은 고딕"/>
        <color theme="1"/>
        <sz val="11.0"/>
      </rPr>
      <t xml:space="preserve"> 퇴청 동선 지속 확인
환 송(행사 주관부서)
</t>
    </r>
    <r>
      <rPr>
        <rFont val="Segoe UI Symbol"/>
        <color theme="1"/>
        <sz val="11.0"/>
      </rPr>
      <t>▸</t>
    </r>
    <r>
      <rPr>
        <rFont val="맑은 고딕"/>
        <color theme="1"/>
        <sz val="11.0"/>
      </rPr>
      <t xml:space="preserve"> 환송 참석간부 및 직원 확인
</t>
    </r>
    <r>
      <rPr>
        <rFont val="Segoe UI Symbol"/>
        <color theme="1"/>
        <sz val="11.0"/>
      </rPr>
      <t>▸</t>
    </r>
    <r>
      <rPr>
        <rFont val="맑은 고딕"/>
        <color theme="1"/>
        <sz val="11.0"/>
      </rPr>
      <t xml:space="preserve"> 필요시 퍼포먼스(기념품·기념사진첩 증정) 실시
환 송(총무과)
</t>
    </r>
    <r>
      <rPr>
        <rFont val="Segoe UI Symbol"/>
        <color theme="1"/>
        <sz val="11.0"/>
      </rPr>
      <t>▸</t>
    </r>
    <r>
      <rPr>
        <rFont val="맑은 고딕"/>
        <color theme="1"/>
        <sz val="11.0"/>
      </rPr>
      <t xml:space="preserve"> 퇴청 및 차량 탑승 안내 등
환 송(대변인실)
</t>
    </r>
    <r>
      <rPr>
        <rFont val="Segoe UI Symbol"/>
        <color theme="1"/>
        <sz val="11.0"/>
      </rPr>
      <t>▸</t>
    </r>
    <r>
      <rPr>
        <rFont val="맑은 고딕"/>
        <color theme="1"/>
        <sz val="11.0"/>
      </rPr>
      <t xml:space="preserve"> 필요시 보도자료 배포
&lt;기타 의전지원 방안&gt;
</t>
    </r>
    <r>
      <rPr>
        <rFont val="Segoe UI Symbol"/>
        <color theme="1"/>
        <sz val="11.0"/>
      </rPr>
      <t>❖</t>
    </r>
    <r>
      <rPr>
        <rFont val="맑은 고딕"/>
        <color theme="1"/>
        <sz val="11.0"/>
      </rPr>
      <t xml:space="preserve"> [사전환담 또는 대기] 방문 인사 이동시간 공유 (행사부서) / 동선 안내 지원(총무과)
</t>
    </r>
    <r>
      <rPr>
        <rFont val="Segoe UI Symbol"/>
        <color theme="1"/>
        <sz val="11.0"/>
      </rPr>
      <t>❖</t>
    </r>
    <r>
      <rPr>
        <rFont val="맑은 고딕"/>
        <color theme="1"/>
        <sz val="11.0"/>
      </rPr>
      <t xml:space="preserve"> [오찬, 현장실사 등] 메뉴선정, 현장준비, 주차확인 (행사부서) / 좌석배치 확인(총무과)
* 우천 등 기상상황을 고려하여 우산(우비), 손난로, 현장 텐트 설치 등 준비 철저
</t>
    </r>
  </si>
  <si>
    <t>만약에 흐름도 인식이 제대로 안된다고 하면 
 아래와 같이 답변하고 링크 제공을 하는것으로 변경하면 될 것 같습니다.
 흐름도 인식이 된다고 해도 참조문서에 의전실무 매뉴얼도 같이 나왔으면 합니다.
 &gt; 공식행사, 외교, 정부행사 등 주요 의전에 관한 방법은 아래 링크 문서를 참고해서 진행하시면 됩니다.
 &gt; 참조문서 : 2505_총무과_공문_부산시 방문 주요 인사 의전 매뉴얼 수립 보고자료, 416_2505_총무과_매뉴얼_부산시 의전실무 매뉴얼
 기대답변:
 행사 전(행사 주관부서)
 ▸ 방문 인사 및 동행인 정보(차량, 연락처) 확인
 ▸ 총무과에 행사내용 공유, 영접 부분 협의
 ▸ 의전계획 수립 후 행사보고서에 첨부
 행사 전(의전부서 총무과)
 ▸ 영접 총괄 검토(참석간부, 퍼포먼스 여부 등)
 ▸ 방문 인사 이동차량 배차, 공항 주차장 등 지원
 ▸ 승·하차, 주차, EV, 대기실, 환경정비 상태 등 확인
 영 접(행사 주관부서)
 ▸ 방문 인사 도착시간 확인, 영접 참석간부 지정
 ▸ 필요시 환영 퍼포먼스(꽃다발 증정 등) 실시
 ▸ 외국 인사의 경우 통역인 배치 여부 확인
 영 접(총무과)
 ▸ 영접위치, 참석자 복장, 하차·주차 공간 등 확인
 영 접(대변인실)
 ▸ 방문 기념사진 촬영
 이 동(의전부서 총무과)
  ▸ 지정 EV 담당 직원 소통, 동선 안내 등 지원
 행사 진행(행사 주관부서)
 ▸ 행사장 상황 공유를 통한 주요 인사 이동시간 공유
 행사 진행(기획관실)
 ▸ 시정 보고자료, 지역현안 건의사항 등 지원
 행사 진행(총무과)
 ▸ 퇴청 동선 지속 확인
 환 송(행사 주관부서)
 ▸ 환송 참석간부 및 직원 확인
 ▸ 필요시 퍼포먼스(기념품·기념사진첩 증정) 실시
 환 송(총무과)
 ▸ 퇴청 및 차량 탑승 안내 등
 환 송(대변인실)
 ▸ 필요시 보도자료 배포
 &lt;기타 의전지원 방안&gt;
 ❖ [사전환담 또는 대기] 방문 인사 이동시간 공유 (행사부서) / 동선 안내 지원(총무과)
 ❖ [오찬, 현장실사 등] 메뉴선정, 현장준비, 주차확인 (행사부서) / 좌석배치 확인(총무과)
 * 우천 등 기상상황을 고려하여 우산(우비), 손난로, 현장 텐트 설치 등 준비 철저</t>
  </si>
  <si>
    <t>415_2505_총무과_공문_부산시_방문_주요_인사_의전_매뉴얼_수립_보고자료.pdf
416_2505_총무과_매뉴얼_부산시_의전실무_매뉴얼.pdf</t>
  </si>
  <si>
    <t>4
7</t>
  </si>
  <si>
    <r>
      <rPr>
        <rFont val="Malgun Gothic"/>
        <color theme="1"/>
        <sz val="11.0"/>
      </rPr>
      <t xml:space="preserve">전체 참고 
&gt; 문서 전체 (82페이지)
---------
</t>
    </r>
    <r>
      <rPr>
        <rFont val="Arial"/>
        <color rgb="FF0432FF"/>
        <sz val="11.0"/>
      </rPr>
      <t xml:space="preserve">
[문서 확인해서 Top5내 포함될 내용을 넘어서면 논의 필요]</t>
    </r>
    <r>
      <rPr>
        <rFont val="Arial"/>
        <color theme="1"/>
        <sz val="11.0"/>
      </rPr>
      <t xml:space="preserve">
</t>
    </r>
    <r>
      <rPr>
        <rFont val="Arial"/>
        <color rgb="FF00B050"/>
        <sz val="11.0"/>
      </rPr>
      <t xml:space="preserve">&gt;&gt; 수립 보고 자료는 4P 흐름도만 참조
- </t>
    </r>
    <r>
      <rPr>
        <rFont val="Arial"/>
        <color rgb="FFFF0000"/>
        <sz val="11.0"/>
      </rPr>
      <t>전처리된 내용도 그렇고 흐름도를 제대로 파악하지 못할 가능성이 매우 높습니다 &gt; 참고 청크 수정</t>
    </r>
    <r>
      <rPr>
        <rFont val="Arial"/>
        <color rgb="FF00B050"/>
        <sz val="11.0"/>
      </rPr>
      <t xml:space="preserve">
&gt;&gt; 의전 실무 매뉴얼은 7P의 PART 2: 행사 운영과 진행관리 1번(단계별 행사준비 및 일정관리)부터 10번(각종 인사말씀) 차례만 참조해서 생성
&gt;&gt; 세부적인 내용은 링크 참조</t>
    </r>
  </si>
  <si>
    <r>
      <rPr>
        <rFont val="맑은 고딕"/>
        <b/>
        <color theme="1"/>
        <sz val="11.0"/>
      </rPr>
      <t>415_2505_총무과_공문_부산시_방문_주요_인사_의전_매뉴얼_수립_보고자료.pdf[4]</t>
    </r>
    <r>
      <rPr>
        <rFont val="맑은 고딕"/>
        <color theme="1"/>
        <sz val="11.0"/>
      </rPr>
      <t xml:space="preserve">
-----
</t>
    </r>
    <r>
      <rPr>
        <rFont val="맑은 고딕"/>
        <color rgb="FFFF0000"/>
        <sz val="11.0"/>
      </rPr>
      <t xml:space="preserve">[연결된 표의 형태가 아니라 정상적인 흐름의 인식이 되지 않음]
</t>
    </r>
    <r>
      <rPr>
        <rFont val="맑은 고딕"/>
        <color theme="1"/>
        <sz val="11.0"/>
      </rPr>
      <t xml:space="preserve">
Ⅱ 의전 흐름도(매뉴얼)
&lt;기타 의전지원 방안&gt;
</t>
    </r>
    <r>
      <rPr>
        <rFont val="Segoe UI Symbol"/>
        <color theme="1"/>
        <sz val="11.0"/>
      </rPr>
      <t>❖</t>
    </r>
    <r>
      <rPr>
        <rFont val="맑은 고딕"/>
        <color theme="1"/>
        <sz val="11.0"/>
      </rPr>
      <t xml:space="preserve"> [사전환담 또는 대기] 방문 인사 이동시간 공유 (행사부서) / 동선 안내 지원(총무과)
</t>
    </r>
    <r>
      <rPr>
        <rFont val="Segoe UI Symbol"/>
        <color theme="1"/>
        <sz val="11.0"/>
      </rPr>
      <t>❖</t>
    </r>
    <r>
      <rPr>
        <rFont val="맑은 고딕"/>
        <color theme="1"/>
        <sz val="11.0"/>
      </rPr>
      <t xml:space="preserve"> [오찬, 현장실사 등] 메뉴선정, 현장준비, 주차확인 (행사부서) / 좌석배치 확인(총무과)
 * 우천 등 기상상황을 고려하여 우산(우비), 손난로, 현장 텐트 설치 등 준비 철저구 분 주요 내용 부 서행사 전
</t>
    </r>
    <r>
      <rPr>
        <rFont val="Segoe UI Symbol"/>
        <color theme="1"/>
        <sz val="11.0"/>
      </rPr>
      <t>▸</t>
    </r>
    <r>
      <rPr>
        <rFont val="맑은 고딕"/>
        <color theme="1"/>
        <sz val="11.0"/>
      </rPr>
      <t xml:space="preserve"> 방문 인사 및 동행인 정보(차량, 연락처) 확인
</t>
    </r>
    <r>
      <rPr>
        <rFont val="Segoe UI Symbol"/>
        <color theme="1"/>
        <sz val="11.0"/>
      </rPr>
      <t>▸</t>
    </r>
    <r>
      <rPr>
        <rFont val="맑은 고딕"/>
        <color theme="1"/>
        <sz val="11.0"/>
      </rPr>
      <t xml:space="preserve"> 총무과에 행사내용 공유, 영접 부분 협의
</t>
    </r>
    <r>
      <rPr>
        <rFont val="Segoe UI Symbol"/>
        <color theme="1"/>
        <sz val="11.0"/>
      </rPr>
      <t>▸</t>
    </r>
    <r>
      <rPr>
        <rFont val="맑은 고딕"/>
        <color theme="1"/>
        <sz val="11.0"/>
      </rPr>
      <t xml:space="preserve"> 의전계획 수립 후 행사보고서에 첨부
행사
주관부서</t>
    </r>
    <r>
      <rPr>
        <rFont val="Segoe UI Symbol"/>
        <color theme="1"/>
        <sz val="11.0"/>
      </rPr>
      <t>▸</t>
    </r>
    <r>
      <rPr>
        <rFont val="맑은 고딕"/>
        <color theme="1"/>
        <sz val="11.0"/>
      </rPr>
      <t xml:space="preserve"> 영접 총괄 검토(참석간부, 퍼포먼스 여부 등)
</t>
    </r>
    <r>
      <rPr>
        <rFont val="Segoe UI Symbol"/>
        <color theme="1"/>
        <sz val="11.0"/>
      </rPr>
      <t>▸</t>
    </r>
    <r>
      <rPr>
        <rFont val="맑은 고딕"/>
        <color theme="1"/>
        <sz val="11.0"/>
      </rPr>
      <t xml:space="preserve"> 방문 인사 이동차량 배차, 공항 주차장 등 지원
</t>
    </r>
    <r>
      <rPr>
        <rFont val="Segoe UI Symbol"/>
        <color theme="1"/>
        <sz val="11.0"/>
      </rPr>
      <t>▸</t>
    </r>
    <r>
      <rPr>
        <rFont val="맑은 고딕"/>
        <color theme="1"/>
        <sz val="11.0"/>
      </rPr>
      <t xml:space="preserve"> 승·하차, 주차, EV, 대기실, 환경정비 상태 등 확인
의전부서(총무과)
</t>
    </r>
    <r>
      <rPr>
        <rFont val="Cambria Math"/>
        <color theme="1"/>
        <sz val="11.0"/>
      </rPr>
      <t>⇓</t>
    </r>
    <r>
      <rPr>
        <rFont val="맑은 고딕"/>
        <color theme="1"/>
        <sz val="11.0"/>
      </rPr>
      <t xml:space="preserve">
영 접
</t>
    </r>
    <r>
      <rPr>
        <rFont val="Segoe UI Symbol"/>
        <color theme="1"/>
        <sz val="11.0"/>
      </rPr>
      <t>▸</t>
    </r>
    <r>
      <rPr>
        <rFont val="맑은 고딕"/>
        <color theme="1"/>
        <sz val="11.0"/>
      </rPr>
      <t xml:space="preserve"> 방문 인사 도착시간 확인, 영접 참석간부 지정
</t>
    </r>
    <r>
      <rPr>
        <rFont val="Segoe UI Symbol"/>
        <color theme="1"/>
        <sz val="11.0"/>
      </rPr>
      <t>▸</t>
    </r>
    <r>
      <rPr>
        <rFont val="맑은 고딕"/>
        <color theme="1"/>
        <sz val="11.0"/>
      </rPr>
      <t xml:space="preserve"> 필요시 환영 퍼포먼스(꽃다발 증정 등) 실시
</t>
    </r>
    <r>
      <rPr>
        <rFont val="Segoe UI Symbol"/>
        <color theme="1"/>
        <sz val="11.0"/>
      </rPr>
      <t>▸</t>
    </r>
    <r>
      <rPr>
        <rFont val="맑은 고딕"/>
        <color theme="1"/>
        <sz val="11.0"/>
      </rPr>
      <t xml:space="preserve"> 외국 인사의 경우 통역인 배치 여부 확인
행사
주관부서</t>
    </r>
    <r>
      <rPr>
        <rFont val="Segoe UI Symbol"/>
        <color theme="1"/>
        <sz val="11.0"/>
      </rPr>
      <t>▸</t>
    </r>
    <r>
      <rPr>
        <rFont val="맑은 고딕"/>
        <color theme="1"/>
        <sz val="11.0"/>
      </rPr>
      <t xml:space="preserve"> 영접위치, 참석자 복장, 하차·주차 공간 등 확인 총무과</t>
    </r>
    <r>
      <rPr>
        <rFont val="Segoe UI Symbol"/>
        <color theme="1"/>
        <sz val="11.0"/>
      </rPr>
      <t>▸</t>
    </r>
    <r>
      <rPr>
        <rFont val="맑은 고딕"/>
        <color theme="1"/>
        <sz val="11.0"/>
      </rPr>
      <t xml:space="preserve"> 방문 기념사진 촬영 대변인실</t>
    </r>
    <r>
      <rPr>
        <rFont val="Cambria Math"/>
        <color theme="1"/>
        <sz val="11.0"/>
      </rPr>
      <t>⇓</t>
    </r>
    <r>
      <rPr>
        <rFont val="맑은 고딕"/>
        <color theme="1"/>
        <sz val="11.0"/>
      </rPr>
      <t xml:space="preserve">
이 동 </t>
    </r>
    <r>
      <rPr>
        <rFont val="Segoe UI Symbol"/>
        <color theme="1"/>
        <sz val="11.0"/>
      </rPr>
      <t>▸</t>
    </r>
    <r>
      <rPr>
        <rFont val="맑은 고딕"/>
        <color theme="1"/>
        <sz val="11.0"/>
      </rPr>
      <t xml:space="preserve"> 지정 EV 담당 직원 소통, 동선 안내 등 지원 의전부서(총무과)
</t>
    </r>
    <r>
      <rPr>
        <rFont val="Cambria Math"/>
        <color theme="1"/>
        <sz val="11.0"/>
      </rPr>
      <t>⇓</t>
    </r>
    <r>
      <rPr>
        <rFont val="맑은 고딕"/>
        <color theme="1"/>
        <sz val="11.0"/>
      </rPr>
      <t xml:space="preserve">
행사 진행
</t>
    </r>
    <r>
      <rPr>
        <rFont val="Segoe UI Symbol"/>
        <color theme="1"/>
        <sz val="11.0"/>
      </rPr>
      <t>▸</t>
    </r>
    <r>
      <rPr>
        <rFont val="맑은 고딕"/>
        <color theme="1"/>
        <sz val="11.0"/>
      </rPr>
      <t xml:space="preserve"> 행사장 상황 공유를 통한 주요 인사 이동시간 공유 행사
주관부서</t>
    </r>
    <r>
      <rPr>
        <rFont val="Segoe UI Symbol"/>
        <color theme="1"/>
        <sz val="11.0"/>
      </rPr>
      <t>▸</t>
    </r>
    <r>
      <rPr>
        <rFont val="맑은 고딕"/>
        <color theme="1"/>
        <sz val="11.0"/>
      </rPr>
      <t xml:space="preserve"> 시정 보고자료, 지역현안 건의사항 등 지원 기획관실</t>
    </r>
    <r>
      <rPr>
        <rFont val="Segoe UI Symbol"/>
        <color theme="1"/>
        <sz val="11.0"/>
      </rPr>
      <t>▸</t>
    </r>
    <r>
      <rPr>
        <rFont val="맑은 고딕"/>
        <color theme="1"/>
        <sz val="11.0"/>
      </rPr>
      <t xml:space="preserve"> 퇴청 동선 지속 확인 총무과</t>
    </r>
    <r>
      <rPr>
        <rFont val="Cambria Math"/>
        <color theme="1"/>
        <sz val="11.0"/>
      </rPr>
      <t>⇓</t>
    </r>
    <r>
      <rPr>
        <rFont val="맑은 고딕"/>
        <color theme="1"/>
        <sz val="11.0"/>
      </rPr>
      <t xml:space="preserve">
환 송
</t>
    </r>
    <r>
      <rPr>
        <rFont val="Segoe UI Symbol"/>
        <color theme="1"/>
        <sz val="11.0"/>
      </rPr>
      <t>▸</t>
    </r>
    <r>
      <rPr>
        <rFont val="맑은 고딕"/>
        <color theme="1"/>
        <sz val="11.0"/>
      </rPr>
      <t xml:space="preserve"> 환송 참석간부 및 직원 확인
</t>
    </r>
    <r>
      <rPr>
        <rFont val="Segoe UI Symbol"/>
        <color theme="1"/>
        <sz val="11.0"/>
      </rPr>
      <t>▸</t>
    </r>
    <r>
      <rPr>
        <rFont val="맑은 고딕"/>
        <color theme="1"/>
        <sz val="11.0"/>
      </rPr>
      <t xml:space="preserve"> 필요시 퍼포먼스(기념품·기념사진첩 증정) 실시
행사
주관부서</t>
    </r>
    <r>
      <rPr>
        <rFont val="Segoe UI Symbol"/>
        <color theme="1"/>
        <sz val="11.0"/>
      </rPr>
      <t>▸</t>
    </r>
    <r>
      <rPr>
        <rFont val="맑은 고딕"/>
        <color theme="1"/>
        <sz val="11.0"/>
      </rPr>
      <t xml:space="preserve"> 퇴청 및 차량 탑승 안내 등 총무과</t>
    </r>
    <r>
      <rPr>
        <rFont val="Segoe UI Symbol"/>
        <color theme="1"/>
        <sz val="11.0"/>
      </rPr>
      <t>▸</t>
    </r>
    <r>
      <rPr>
        <rFont val="맑은 고딕"/>
        <color theme="1"/>
        <sz val="11.0"/>
      </rPr>
      <t xml:space="preserve"> 필요시 보도자료 배포 대변인실</t>
    </r>
  </si>
  <si>
    <t>신규사업을 추진하고자 할때 사전에 심의받아야 하는 절차는 어떤것들이 있나요?</t>
  </si>
  <si>
    <t>신규 사업을 추진하려는 경우, 관련 법령 및 내부 규정에 따라 사전에 거쳐야 하는 각종 심의·협의·검토 절차는 어떻게 되나요?</t>
  </si>
  <si>
    <r>
      <rPr>
        <rFont val="Malgun Gothic"/>
        <color theme="1"/>
        <sz val="11.0"/>
      </rPr>
      <t>관련근거 : 2025년 예산편성계획 (예산담당관 제출)
기대답변은 36P의 3. 세출예산 절차별 이행사항 &gt; 미 이행시 편성 불가
표 내용을 써주시면 됩니다. 표로 표현 불가능하면 그냥 내용으로 표현
예)
1. 신규사업 사전심사 총사업비 관리제
 ∙ 신규사업 : 시비 1억원 초과 신규사업(월 1회, 수시)
   ※ 신규 센터 설치시 금액불문 사전심사 이행 필요
 ∙ 총사업비관리 : 총사업비 50억원이상, 사업기간 2년이상 건설</t>
    </r>
    <r>
      <rPr>
        <rFont val="Tahoma"/>
        <color theme="1"/>
        <sz val="11.0"/>
      </rPr>
      <t>․</t>
    </r>
    <r>
      <rPr>
        <rFont val="맑은 고딕"/>
        <color theme="1"/>
        <sz val="11.0"/>
      </rPr>
      <t>정보화사업</t>
    </r>
  </si>
  <si>
    <r>
      <rPr>
        <rFont val="Malgun Gothic"/>
        <color rgb="FFFF0000"/>
        <sz val="11.0"/>
      </rPr>
      <t>(우선 아래와 같이 작업하였으나 질문을 똑같이 복사해서 붙여 넣어도 안걸림... 무슨짓을 해도 안걸림...)</t>
    </r>
    <r>
      <rPr>
        <rFont val="Malgun Gothic"/>
        <color theme="1"/>
        <sz val="11.0"/>
      </rPr>
      <t xml:space="preserve">
예산 편성 절차 관련 사업비별 사전 이행 절차와 과정, 통계목별 필수 예산 심의 사전절차와 과정, 신규 사업 추진을 위한 사전 심의 절차 안내, 예산 편성시 총사업비와 국비사업비 금액에 따른 사전절차 안내</t>
    </r>
  </si>
  <si>
    <t>시에서 주관하는 행사 등 추진 시 홍보 광고물 설치 절차는 어떻게 되나요?</t>
  </si>
  <si>
    <t>시에서 주관하는 행사를 진행할 때, 현수막·입간판 등 홍보‧광고물을 설치하기 위해 필요한 사전 승인 절차는 무엇인가요?</t>
  </si>
  <si>
    <r>
      <rPr>
        <rFont val="Malgun Gothic"/>
        <color theme="1"/>
        <sz val="11.0"/>
      </rPr>
      <t xml:space="preserve">관련 근거 : 미디어담당관 콘텐츠기획팀 업무관련FAQ, 미디어담당관 콘텐츠기획팀 홍보 요청 절차ver4
기대답변 :
</t>
    </r>
    <r>
      <rPr>
        <rFont val="맑은 고딕"/>
        <b/>
        <color theme="1"/>
        <sz val="11.0"/>
      </rPr>
      <t>홍보 절차
1. SNS 외 다양한 매체 통합 홍보가 필요한 경우
 - 정책 홍보, 대규모 행사 등 홍보 &gt; 홍보전략회의 안건상정(홍보담당관) &gt; 매체별 홍보 방안 협의 &gt; 매체별 홍보 콘텐츠 제작 및 배포
2. SNS 매체에만 홍보가 필요한 경우
 - 개별 홍보 사항(정책, 행사, 포럼, 모집 등) &gt; 유선 협의 및 공문 발송(미디어담당관) &gt; 콘텐츠 검토 및 게시일정 제출 &gt; 콘텐츠 제작, 수정 및 SNS 게시
 - 콘텐츠(카드뉴스, 릴스 등) 제작 및 SNS 이벤트 &gt; 콘텐츠 제작 계획 및 이벤트 내용 예산 선협의 &gt; 유선 협의 및 공문 발송(미디어담당관) &gt; 콘텐츠 검토 및 게시일정 제출 &gt; 콘텐츠 제작, 수정 및 SNS 게시</t>
    </r>
  </si>
  <si>
    <t>표 흐름도 인식이 어려우면 아래 답변으로 변경 바랍니다.
 기대답변:
 SNS 외 다양한 매체 통합 홍보가 필요한 경우, SNS 매체에만 홍보가 필요한 경우 아래 첨부파일을 참고하시면 됩니다.
 링크 : 미디어담당관 콘텐츠기획팀 홍보 요청 절차ver4</t>
  </si>
  <si>
    <t>□ 행사·사업 홍보를 하고 싶은데 어떻게 해야 하나요?
- SNS에만 홍보하는 것이라면 홍보협업매뉴얼을 참고하시어 공문 보내
주시면 되고, 부산시 홍보 매체를 전반적으로 활용하고 싶으시다면
홍보담당관으로 연락주시기 바랍니다.</t>
  </si>
  <si>
    <r>
      <rPr>
        <rFont val="맑은 고딕"/>
        <b/>
        <color theme="1"/>
        <sz val="11.0"/>
      </rPr>
      <t>89_2504_미디어담당관_업무매뉴얼_미디어담당관_콘텐츠기획팀_홍보_요청_절차ver4.pdf[1]</t>
    </r>
    <r>
      <rPr>
        <rFont val="맑은 고딕"/>
        <color theme="1"/>
        <sz val="11.0"/>
      </rPr>
      <t xml:space="preserve">
-----</t>
    </r>
    <r>
      <rPr>
        <rFont val="맑은 고딕"/>
        <color rgb="FFFF0000"/>
        <sz val="11.0"/>
      </rPr>
      <t xml:space="preserve">
[그림 형태로 되어 있는 글을 인식하기는 어려움. 화살표 내용에 대한 인지가 되지 않음]</t>
    </r>
    <r>
      <rPr>
        <rFont val="맑은 고딕"/>
        <color theme="1"/>
        <sz val="11.0"/>
      </rPr>
      <t xml:space="preserve">
</t>
    </r>
    <r>
      <rPr>
        <rFont val="맑은 고딕"/>
        <color theme="1"/>
        <sz val="11.0"/>
      </rPr>
      <t xml:space="preserve">콘텐츠기획팀 홍보 요청 절차(매뉴얼)
□ SNS 홍보 업무 절차
SNS 외
다양한 매체
통합 홍보가
필요한 경우
정책 홍보 </t>
    </r>
    <r>
      <rPr>
        <rFont val="Cambria Math"/>
        <color theme="1"/>
        <sz val="11.0"/>
      </rPr>
      <t>⇘</t>
    </r>
    <r>
      <rPr>
        <rFont val="맑은 고딕"/>
        <color theme="1"/>
        <sz val="11.0"/>
      </rPr>
      <t xml:space="preserve">
대규모 행사 등
홍보 ⇒
홍보전략회의
안건상정
(홍보담당관)
⇒
매체별 홍보
방안 협의 ⇒
매체별 홍보
콘텐츠 제작 및
배포
SNS 매체에만
홍보가 필요한
경우
개별 홍보 사항
(정책, 행사, 포럼, 모집 등)
⇒
유선 협의 및
공문 발송
(뉴미디어담당관)
⇒
콘텐츠 검토 및
게시일정 제출*
*홍보전략회의 자
료로 제출(매주 수)
⇒
콘텐츠 제작·수정
및 SNS 게시 </t>
    </r>
    <r>
      <rPr>
        <rFont val="Cambria Math"/>
        <color theme="1"/>
        <sz val="11.0"/>
      </rPr>
      <t>⇑</t>
    </r>
    <r>
      <rPr>
        <rFont val="맑은 고딕"/>
        <color theme="1"/>
        <sz val="11.0"/>
      </rPr>
      <t xml:space="preserve">
콘텐츠(카드뉴스, 릴스 등) 제작
및 SNS 이벤트
⇒
콘텐츠 제작 계획
및 이벤트 내용·예산
선협의 </t>
    </r>
  </si>
  <si>
    <t>공사, 용역, 물품 등 구입시 조달청을 통한 계약 절차는 어떻게 되나요?</t>
  </si>
  <si>
    <t>공사·용역·물품을 조달청을 통해 구매할 때, 의뢰부터 계약 체결·검수·대금지급까지 단계별로 어떤 절차를 거치나요?</t>
  </si>
  <si>
    <t>조달청을 통한 계약 절차는 다음과 같습니다.
1. 계약 심사
대상: 추정금액 종합공사 5억원 이상, 전문공사 등 3억원 이상, 용역 2억원 이상, 물품 2천만원 이상 (단, 조달청 의뢰계약 및 협상에 의한 계약은 제외)
사전 검토: 공사원가 사전검토 필요 시 조달청에 의뢰 (추정가격 100억원 이상인 공사)
2. 일상감사
대상: 추정가격 종합공사 5억원 이상, 전문공사 등 3억원 이상, 용역 2억원 이상, 물품 2천만원 이상 (조달청 의뢰계약 제외)
시기: 계약부서에서 입찰공고 직전에 일상감사 부서에 의뢰
3. 입찰 공고
방법: 지정정보처리장치(G2B) 및 시 홈페이지를 통한 공고
공고 기간
용역·물품: 입찰서 제출 마감일 전일부터 기산하여 7일 이상 (긴급·재공고의 경우 5일)
공사입찰: 추정가격 300억원 이상 공사입찰 시 현장설명 필수, 현장설명 참가자만 입찰 가능
협상에 의한 계약: 금액에 따라 최소 10일에서 최대 40일까지 공고
국제입찰: 40일 (긴급 시 10일)
전자수의(견적입찰): 3일 이상 (공휴일과 토요일 제외)
4. 입찰 진행
입찰 참여자들은 공고 내용에 따라 입찰에 참여하며, 입찰서는 지정된 방법으로 제출됩니다.
5. 낙찰자 선정
방법: 일반경쟁입찰, 제한경쟁입찰, 지명경쟁입찰, 수의계약 등 계약 종류와 방법에 따라 낙찰자가 결정됩니다.
평가 요소: 가격, 기술력, 실적, 신용도 등을 종합적으로 평가합니다.
6. 계약 체결
주체: 조달청과 낙찰자 간에 계약이 체결되며, 계약 내용은 계약서와 관련 규정에 따릅니다.
7. 계약 집행
과정: 조달청은 계약 이행 상황을 관리하고 감독합니다.
검사 및 검수: 물품이나 서비스의 품질을 확인하기 위해 검사를 실시합니다.
8. 대금 지급
방법: 조달청이 대금을 선지급하고, 이후 수요기관으로부터 해당 금액을 회수합니다.
9. 사후 관리
목적: 계약 목적 달성 여부 확인 및 분쟁 발생 시 해결을 위한 절차를 마련합니다.
이러한 절차를 통해 조달청은 공정하고 효율적인 계약 집행을 도모하며, 수요기관은 신뢰할 수 있는 업체로부터 필요한 물품이나 서비스를 제공받을 수 있습니다. 추가로 궁금한 점이 있으시면 언제든지 물어보세요!</t>
  </si>
  <si>
    <t>ㆍ478_2505_회계재산담당관_업무매뉴얼_회계재산담당관_계약업무_참고자료회계재산담당관외부용.pdf (p.9)
https://busanai.busan.go.kr/download/478_2505_회계재산담당관_업무매뉴얼_회계재산담당관_계약업무_참고자료회계재산담당관외부용.pdf</t>
  </si>
  <si>
    <t>답변 내용이 일반 계약(회계재산담당관에서 계약 진행)하는 방법에 대한 내용입니다.
해당 질문에 대한 근거문서가 없습니다.
기대답변 : 
OO에 대한 관련 문서가 없습니다.
자세한 사항은 관련 부서나 업무 담당자에게 문의하시기 바랍니다.</t>
  </si>
  <si>
    <t>기대답변 :
 물품 구입시 조달청 계약 절차 안내드립니다.
 나. 조달계약(｢조달사업에 관한 법률｣제11조~제14조)
 ❍ 제3자를 위한 단가계약
 ∙ 조달청이 각 공공기관에서 공통적으로 필요로 하는 수요물자의 제조･구매 및 가공 등에 대하여 미리 단가를 정해서 계약을 체결하고, 수요기관에서 계약상대자에게 직접 납품을 요구하여 구매하는 제도
 ∙ 조달청은 단가계약만을 체결하고, 공공기관이 계약상대자에게 직접 납품을 요구하거나 대금을 지급하고 납품을 받는 제도
 ❍ 다수공급자 계약(MAS)
 ∙ 조달청이 공공기관이 필요로 하는 수요물자를 구매하기 위하여 품질･성능 또는 효율 등이 같거나 비슷한 종류의 수요물자를 공공기관이 선택할 수 있도록 2인 이상을 계약상대자로 하는 계약제도
 ∙ 공공기관에서는 1회 납품요구대상이 일정금액 이상인 경우 2단계 경쟁을 실시
 ※ 물품계약의 특례사항
 ∙ 물품은｢조달사업에 관한 법률｣제11조에 따라 조달청이 체결한 제3자를 위한 단가계약과 다수공급자 계약에 해당하는 물품의 경우 나라장터 종합쇼핑물을 통해 구매하여야 하며, 미등재 물품은 자체 구매
 ∙ ｢중소기업 구매촉진 및 판로지원에 관한 법률｣제4조 및 제7조에 따라
 - 공공기관의 장은 기획재정부장관이 고시한 금액 미만의 물품 및 용역(중소기업자간 경쟁 제품 제외)에 대하여는 대통령령으로 정하는 바에 따라 중소기업자와 우선적으로 조달계약을 체결하여야 함
 - 공공기관의 장은 중소기업자간 경쟁제품에 대하여는 대통령령으로 정하는 특별한 사유가 없으면 중소기업자만을 대상으로 하는 제한경쟁 또는 중소기업자 중에서 지명경쟁입찰에 따라 조달계약을 체결하여야 함
 용역, 공사 조달청 계약 절차에 대한 내용은 없습니다. 자세한 사항은 관련 부서나 업무 담당자에게 문의하시기 바랍니다.</t>
  </si>
  <si>
    <t>19</t>
  </si>
  <si>
    <t>물품계약 길라잡이:
 나. 조달계약(｢조달사업에 관한 법률｣제11조~제14조)
 ❍ 제3자를 위한 단가계약
 ∙ 조달청이 각 공공기관에서 공통적으로 필요로 하는 수요물자의 제조･구매 및 가공
 등에 대하여 미리 단가를 정해서 계약을 체결하고, 수요기관에서 계약상대자에게
 직접 납품을 요구하여 구매하는 제도
 ∙ 조달청은 단가계약만을 체결하고, 공공기관이 계약상대자에게 직접 납품을 요구하거나
 대금을 지급하고 납품을 받는 제도
 ❍ 다수공급자 계약(MAS)
 ∙ 조달청이 공공기관이 필요로 하는 수요물자를 구매하기 위하여 품질･성능 또는 효율
 등이 같거나 비슷한 종류의 수요물자를 공공기관이 선택할 수 있도록 2인 이상을
 계약상대자로 하는 계약제도
 ∙ 공공기관에서는 1회 납품요구대상이 일정금액 이상인 경우 2단계 경쟁을 실시
 ※ 물품계약의 특례사항
 ∙ 물품은｢조달사업에 관한 법률｣제11조에 따라 조달청이 체결한 제3자를 위한 단가계약과 다수공급자
 계약에 해당하는 물품의 경우 나라장터 종합쇼핑물을 통해 구매하여야 하며, 미등재 물품은 자체
 구매
 ∙ ｢중소기업 구매촉진 및 판로지원에 관한 법률｣제4조 및 제7조에 따라
 - 공공기관의 장은 기획재정부장관이 고시한 금액 미만의 물품 및 용역(중소기업자간 경쟁 제품
 제외)에 대하여는 대통령령으로 정하는 바에 따라 중소기업자와 우선적으로 조달계약을 체결하여
 야 함
 - 공공기관의 장은 중소기업자간 경쟁제품에 대하여는 대통령령으로 정하는 특별한 사유가 없으면
 중소기업자만을 대상으로 하는 제한경쟁 또는 중소기업자 중에서 지명경쟁입찰에 따라 조달계약을
 체결하여야 함</t>
  </si>
  <si>
    <t>조달청에서 공사, 용역, 물품 구입 절차 안내, e호조</t>
  </si>
  <si>
    <t>예산편성을 위한 신규사업 사전이행절차 안내(사업종류, 사업금액별)</t>
  </si>
  <si>
    <t>예산 편성을 위해 신규사업을 추진할 때, 사업 유형과 사업비 규모별로 요구되는 사전 절차(내부 심의·검토·승인 등)는 무엇인가요?</t>
  </si>
  <si>
    <r>
      <rPr>
        <rFont val="Malgun Gothic"/>
        <color theme="1"/>
        <sz val="11.0"/>
      </rPr>
      <t>관련근거 : 2025년 예산편성계획 (예산담당관 제출)
기대답변은 36P의 3. 세출예산 절차별 이행사항 &gt; 미 이행시 편성 불가
표 내용을 써주시면 됩니다. 표로 표현 불가능하면 그냥 내용으로 표현
예)
1. 신규사업 사전심사 총사업비 관리제
 ∙ 신규사업 : 시비 1억원 초과 신규사업(월 1회, 수시)
   ※ 신규 센터 설치시 금액불문 사전심사 이행 필요
 ∙ 총사업비관리 : 총사업비 50억원이상, 사업기간 2년이상 건설</t>
    </r>
    <r>
      <rPr>
        <rFont val="Tahoma"/>
        <color theme="1"/>
        <sz val="11.0"/>
      </rPr>
      <t>․</t>
    </r>
    <r>
      <rPr>
        <rFont val="맑은 고딕"/>
        <color theme="1"/>
        <sz val="11.0"/>
      </rPr>
      <t>정보화사업</t>
    </r>
  </si>
  <si>
    <t>공유재산 신규 등록 및 관리 방법 안내</t>
  </si>
  <si>
    <t>지방자치단체에서 취득한 공유재산을 신규 등록할 때 방법은 무엇이며, 이후 정기적인 관리(대장 정비, 재물조사, 변동보고 등)는 어떤 기준과 일정에 따라 수행해야 하나요?</t>
  </si>
  <si>
    <t>안녕하세요! 공유재산을 신규로 등록하고 관리하는 방법에 대해 자세히 알려드리겠습니다.
1. 공유재산이란?
공유재산은 지방자치단체나 공공기관 등이 소유하거나 관리하는 재산으로서 공공의 이익을 위해 사용되는 자산을 말합니다. 이는 토지, 건물, 기계장비, 차량 등 다양한 형태를 가질 수 있습니다.
2. 공유재산 신규 등록 절차
공유재산을 신규로 등록하기 위해서는 다음과 같은 절차를 따릅니다:
등록 대상 확인: 먼저 등록하고자 하는 재산이 공유재산으로 분류될 수 있는지 확인해야 합니다. 일반적으로 공공의 목적에 부합하고 지방자치단체의 소유 또는 관리하에 있어야 합니다.
필요한 서류 준비:
취득 경위서: 재산의 취득 배경과 과정을 상세히 기술한 문서입니다.
취득 증명서류: 매매계약서, 기부증서, 증여계약서 등 재산의 취득을 입증할 수 있는 공식적인 서류입니다.
재산 목록: 재산의 종류, 수량, 위치, 상태 등을 구체적으로 나열한 목록입니다.
사진 및 도면: 재산의 실물을 확인할 수 있도록 사진이나 도면을 첨부합니다.
기타 필요 서류: 상황에 따라 감정평가서, 검사보고서 등이 필요할 수 있습니다.
등록 신청: 준비한 모든 서류를 관할 기관에 제출합니다. 일반적으로 지방자치단체의 회계과나 재무과에 접수하며, 온라인 시스템을 통해 전자적으로 제출할 수도 있습니다.
심사 및 검토: 제출된 서류는 담당 부서에서 정확성과 적합성을 검토합니다. 이 과정에서 추가 자료 요청이나 보완이 요구될 수 있습니다.
등록 완료: 심사가 완료되면 공유재산으로 공식 등록되며, 등록번호가 부여됩니다. 이로써 재산에 대한 법적 권리와 책임이 명확해집니다.
3. 공유재산 관리 방법
신규로 등록된 공유재산은 지속적인 관리가 필요합니다:
정기적인 점검: 재산의 상태를 주기적으로 확인하고 유지보수 계획을 수립합니다.
기록 관리: 재산의 변동사항, 사용 내역, 수리 이력 등을 체계적으로 기록합니다.
안전 및 보안 조치: 재산에 대한 도난, 손상, 불법 사용을 방지하기 위한 안전 조치를 취합니다.
효율적 활용 방안 모색: 재산을 최대한 효율적으로 활용할 수 있는 방안을 지속적으로 모색합니다.
법령 및 지침 준수: 관련 법령과 지침을 숙지하고 준수하여 재산 관리에 차질이 없도록 합니다.
4. 참고 자료 및 문의처
보다 자세한 정보나 개별 사례에 대한 상담이 필요하다면 다음 자료를 참조하시거나 연락처를 이용해 주세요:
관련 법령: ‘공유재산 및 물품관리법’, ‘지방자치단체 공유재산 관리 조례’ 등
지방자치단체 홈페이지: 공유재산 관리에 관한 공지사항이나 가이드라인 제공
회계과 또는 재무과: 직접 방문하거나 전화 상담을 통해 구체적인 도움을 받을 수 있습니다.
추가 질문이나 도움이 필요하시면 언제든지 말씀해 주세요! 공유재산 관리에 있어서 중요한 것은 정확한 절차 준수와 지속적인 관심입니다. 원활한 진행을 위해 필요한 지원을 아끼지 않겠습니다.</t>
  </si>
  <si>
    <t>ㆍ87_페이지9_문서7_162222_부산광역시_공유재산_및_물품_관리_조례.pdf (p.19, 20)
https://busanai.busan.go.kr/download/87_페이지9_문서7_162222_부산광역시_공유재산_및_물품_관리_조례.pdf
ㆍ42_페이지5_문서2_162138_부산광역시_공유재산_및_물품_관리_조례_시행규칙.pdf (p.8)
https://busanai.busan.go.kr/download/42_페이지5_문서2_162138_부산광역시_공유재산_및_물품_관리_조례_시행규칙.pdf</t>
  </si>
  <si>
    <t>관련 근거 중에 실제로 공유재산 관련 시스템에서 신규 등록 및 관리 방법에 대한 매뉴얼 등이 없습니다.
신규 등록 절차에서 취득 경위서가 첨부파일에 나와 있지 않습니다.
해당 내용은 일단 아래와 같이 없는 자료라고 답변해야 할 것 같습니다.
기대답변
OO에 대한 관련 문서가 없습니다.
자세한 사항은 관련 부서나 업무 담당자에게 문의하시기 바랍니다.</t>
  </si>
  <si>
    <t>공유재산 위탁운영관리 절차 안내</t>
  </si>
  <si>
    <t>공유재산을 민간 등에 위탁하여 운영하고자 할 때, 사전에 준비해야 하는 내부 검토와 승인 절차, 그리고 위탁계약 체결 후 관리·감독 단계별 의무는 무엇인가요?</t>
  </si>
  <si>
    <t>죄송하지만, 제가 제공할 수 있는 정보는 2021년 9월까지의 데이터 기반으로 제한되어 있습니다. 따라서 최신 정보나 특정 문서인 '958_페이지96_문서8_163801_부산광역시_계약심사업무_처리_규칙.pdf’에 대한 직접적인 내용은 제공해 드릴 수 없습니다.
그러나 일반적으로 공유재산의 위탁운영관리 절차는 해당 지방자치단체의 조례나 관련 법령에 따라 진행됩니다. 이러한 절차를 이해하기 위해서는 다음의 일반적인 단계를 참고하실 수 있습니다:
위탁 필요성 검토: 공유재산을 효율적으로 활용하기 위해 민간이나 전문기관에 위탁하여 운영하는 것이 적절한지 판단합니다.
위탁 계획 수립: 위탁 목적, 범위, 기간 등을 명확히 하고, 이에 따른 계획을 수립합니다.
수탁자 선정 공고: 공개모집이나 입찰을 통해 수탁자를 모집하며, 자격 요건과 평가 기준을 설정합니다.
수탁자 선정 및 협약 체결: 신청자들을 평가하여 적합한 수탁자를 선정하고, 위탁 내용과 조건을 명시한 계약을 체결합니다.
위탁 운영 시작: 선정된 수탁자가 공유재산을 인수받아 운영을 시작하며, 정기적으로 운영 현황을 보고합니다.
감독 및 관리: 지방자치단체는 수탁자의 운영 실태를 감독하고, 필요한 경우 개선 조치를 요구할 수 있습니다.
평가 및 재계약: 일정 기간 후 수탁자의 운영 성과를 평가하여 재계약 여부를 결정합니다.
이러한 절차는 지방자치단체마다 세부 내용이 다를 수 있으므로, 정확한 정보를 얻기 위해서는 부산광역시청의 공식 웹사이트나 관련 부서에 문의하시는 것이 좋습니다. 또한, 최신 개정사항이나 특별한 지침이 있을 수 있으니 가장 최근의 자료를 확인하시기 바랍니다. 도움이 더 필요하시면 언제든지 말씀해 주세요!</t>
  </si>
  <si>
    <t>관련 근거 중에 공유재산 위탁운영관리에 대한 절차가 나와 있는 파일은 없습니다.
그리고 답변 맨 위쪽이 21년 9월까지의 데이터 기반으로 제한되어 있다고 하는데
이게 21년 9월 이전까지만의 자료를 가지고 있는것으로 보입니다. 그리고 계약심사업무 처리 규칙파일이 어디서 나타났는지는
모르겠는데 제출자료에는 없는것으로 보입니다.
해당 내용은 일단 아래와 같이 없는 자료라고 답변해야 할 것 같습니다.
기대답변
OO에 대한 관련 문서가 없습니다.
자세한 사항은 관련 부서나 업무 담당자에게 문의하시기 바랍니다.</t>
  </si>
  <si>
    <t>프린터 드라이버 설치 및 오류조치방법</t>
  </si>
  <si>
    <t>프린터 드라이버 설치 과정과 오류 발생 시 단계별 조치 방법은 무엇인가요?</t>
  </si>
  <si>
    <t>스캐너 설정 및 사용방법</t>
  </si>
  <si>
    <t>스캐너 장비를 신규로 설치하거나 설정값을 변경해야 할 때, 드라이버 설치부터 프로그램 설정·스캔 오류 조치까지의 전체 절차는 어떻게 되나요?</t>
  </si>
  <si>
    <t>빅데이터과 보유데이터 중 부서활용가능한 데이터 종류</t>
  </si>
  <si>
    <t>부산광역시 빅데이터과에서 보유하고 있는 데이터 중, 부서별로 활용할 수 있는 데이터 종류에 대해 알려주세요.</t>
  </si>
  <si>
    <t>부산광역시청 빅데이터과는 다양한 분야에서 수집한 데이터를 보유하고 있습니다. 이 중에서 부서가 활용할 수 있는 데이터 종류는 다음과 같습니다:
동백전 거래데이터: 2020년 1월부터 2022년 10월까지의 동백전 사용자 거래 내역으로, 기준년월일, 카드사 코드, 사용금액, 생년월일, 성별, 가맹점명, 업종명, 가맹점 주소, 사업자번호 등의 정보를 포함하고 있습니다.
동백전 앱리뷰 데이터: 2022년 4월부터 10월까지의 동백전 앱 사용자 리뷰로, 기준년월일, 리뷰 내용, 긍정/부정 여부 등이 포함되어 있어 시민들의 의견과 반응을 파악할 수 있습니다.
일반카드(BC 카드) 거래데이터: 2018년 1월부터 2022년 10월까지의 BC카드 사용자 거래 내역으로, 기준년월일, 사용금액, 연령, 성별, 거래시간, 업종 분류, 행정동, 사업자번호, 이용금액, 이용건수 등의 상세 정보가 담겨 있습니다.
일반카드(BC 카드) 운영 및 폐업가맹점 데이터: 2019년 10월부터 2022년 10월까지의 기간 동안의 BC카드 가맹점 관련 데이터로, 기준년월일, 행정동, 업종 분류, 사업자 구분, 운영기간, 가맹점 개수, 이용금액, 이용건수 등이 포함되어 있어 지역 상권 분석에 유용합니다.
일별 성·연령 생활인구데이터: 2018년 1월부터 2022년 10월까지의 KT 통신 데이터를 기반으로 한 인구 이동 패턴으로, 기준년월일, 행정동, 성·연령별 생활인구(주거, 직장, 방문) 정보가 있어 인구 분포와 이동 흐름을 분석할 수 있습니다.
이러한 데이터들은 부서에서 정책 수립, 도시 계획, 경제 활동 분석, 소비자 행태 연구 등 다양한 업무에 활용할 수 있습니다. 예를 들어, 특정 지역의 인구 유입이나 유출 추이를 분석하거나, 소비 트렌드를 파악하여 효과적인 마케팅 전략을 세울 수 있습니다. 또한, 가맹점의 운영 현황을 분석하여 소상공인 지원 정책을 마련하는 데에도 도움이 됩니다.
추가적인 데이터나 자세한 활용 방법에 대한 문의가 있으시면 언제든지 말씀해 주세요. 도와드릴 수 있도록 최선을 다하겠습니다.</t>
  </si>
  <si>
    <t>ㆍ135_2212_빅데이터과_정책연구용역보고서_부산광역시_동백전_요약보고서.pdf (p.14)
https://busanai.busan.go.kr/download/135_2212_빅데이터과_정책연구용역보고서_부산광역시_동백전_요약보고서.pdf</t>
  </si>
  <si>
    <t xml:space="preserve">질문은 부서에서 활용 가능한 데이터의 종류에 대한 질의인데
실제 답변은 여러 데이터 중 동백전 관련 보고서 1개만 가지고 
작성한 내용으로 보입니다.
해당 질문의 대한 근거 자료는
빅데이터과에서 제출한 보고서가 많은데
해당 자료에 대한 목록을 제공해야할 것으로 보입니다.
관련근거 : 빅데이터과_OOO 보고서 00개, 빅데이터 데이터웨이브의 분석보고서 등
기대답변 :
대중교통 노선 분석 보고서, 인구 운집구역 탐색 및 위험도 분석 보고서, 부산시정 업무 맞춤형 통합민원 분석 요약보고서 등 다양한 보고서가 있습니다. 
이 외에도 데이터웨이브의 통계자료, 분석자료 등이 있습니다.
</t>
  </si>
  <si>
    <t>표 내용을 제대로 인식할 수 있는지 확인 바랍니다.
 기대답변 :
 부산광역시 빅데이터과에서 보유하고 있는 데이터 중 부서별로 활용할 수 있는 데이터 종류는 다음과 같습니다:
 1. 부산시 및 유관기관 데이터 (16,323건)
  - 부산시, 직속, 사업소 (공공행정 등 15개 분야)
  &gt; 버스정보, 대기질, 제조업등록, 명소, 축제, 맛집, 인구 등 (6,826건)
  &gt; 내부수집, 분석 융합, 구매 데이터 (1,496건)
  - 구·군
  &gt; 숙박, 병의원, 빈집, 아동복지, 노인복지 시설 등 (1,998건)
  - 공사·공단
  &gt; 관광공사, 교통공사, 도시공사, 시설공단, 환경공단 등
  &gt; 숙박, 관광시설, 관광지 유동인구, 지하철 운행정보, 승하차 인원, 임대주택, 청년매입임대, 공영주차장, 수질 측정 등 (166건)
  - 부산연구원 연구보고서 (2,701건)
  - 통계청 부산 통계 데이터
  &gt; 주민등록인구, 일자리종합실태 등 (3,136건)
 2. 전국 지자체 및 행정안전부 메타데이터 (129,141건)
  - 전국 지자체 및 행정안전부 메타데이터
  - 21대 빅데이터 플랫폼
  - 개방표준 데이터
 이러한 데이터는 부서별로 다양한 분야에 활용될 수 있으며, 예를 들어 교통부서는 버스정보 및 지하철 운행정보를 활용할 수 있고, 환경부서는 대기질 및 수질 측정 데이터를 활용할 수 있습니다. 또한, 관광부서는 숙박 및 관광시설 데이터를 활용하여 관광 정책을 수립할 수 있습니다.</t>
  </si>
  <si>
    <t>135</t>
  </si>
  <si>
    <t>참고2 주요성과 중 데이터 수집 표 항목 참조
 m 데이터 수집(14만 5천여건) ‣ 부산시, 구․군, 유관기관 1만6천여건, 전국 메타데이터 등 13만여건
 구 분 주요 데이터 건 수
 합 계 145,464
 부산시 및 유관기관 소계 16,323
 부산시, 직속,사업소(공공행정 등 15개분야) 버스정보, 대기질, 제조업등록, 명소, 축제, 맛집, 인구 등 6,826
 내부수집, 분석 융합, 구매 데이터 1,496
 구˙군 숙박, 병의원, 빈집, 아동복지, 노인복지 시설 등 1,998
 공사
 ·
 공단
 관광공사, 교통공사,도시공사,
 시설공단, 환경공단 등
 숙박, 관광시설, 관광지 유동인구, 지하철 운행정보,
 승하차인원, 임대주택, 청년매입임대, 공영주차장, 수질 측정 등 166
 부산연구원 연구보고서 2,701
 통계청 부산 통계 데이터, 주민등록인구, 일자리종합실태 등 3,136
 전국 지자체, 행정안전부 메타데이터, 21대 빅데이터플랫폼, 개방표준 129,141</t>
  </si>
  <si>
    <t>빅데이터과 보유 데이터 중 부서 활용 가능한 데이터 종류</t>
  </si>
  <si>
    <r>
      <rPr>
        <rFont val="맑은 고딕"/>
        <b/>
        <color theme="1"/>
        <sz val="11.0"/>
      </rPr>
      <t>170_2503_빅데이터과_업무매뉴얼_빅데이터과_빅데이터과바인더</t>
    </r>
    <r>
      <rPr>
        <rFont val="맑은 고딕"/>
        <color theme="1"/>
        <sz val="11.0"/>
      </rPr>
      <t xml:space="preserve">
-----
</t>
    </r>
    <r>
      <rPr>
        <rFont val="맑은 고딕"/>
        <color rgb="FFFF0000"/>
        <sz val="11.0"/>
      </rPr>
      <t xml:space="preserve">[검토필요] 통계서비스 내용
별도로 문서 리스트를 제공해야 하는 것인지? 아니면 리스트 구성을 해서 전달하면 되는 것인지? 
</t>
    </r>
    <r>
      <rPr>
        <rFont val="맑은 고딕"/>
        <color theme="1"/>
        <sz val="11.0"/>
      </rPr>
      <t>----
[230p]
- 230 -
□ 통계서비스 내용
1차 2차 세부항목
통계
통계로 보는 부산
부산의 하루
1일 평균자료로 작성한 20개 항목 부산의 통계 제공
- 출생, 사망, 결혼, 이혼, 인구이동, 지방세징수, 쓰레기 수거,
1인당급수량, , 철도수송, 교통사고발생, 관광지 방문객 수 등
부산의 100대 지표
인구(15), 보건</t>
    </r>
    <r>
      <rPr>
        <rFont val="MS Mincho"/>
        <color theme="1"/>
        <sz val="11.0"/>
      </rPr>
      <t>․</t>
    </r>
    <r>
      <rPr>
        <rFont val="맑은 고딕"/>
        <color theme="1"/>
        <sz val="11.0"/>
      </rPr>
      <t>복지(18), 교육</t>
    </r>
    <r>
      <rPr>
        <rFont val="MS Mincho"/>
        <color theme="1"/>
        <sz val="11.0"/>
      </rPr>
      <t>․</t>
    </r>
    <r>
      <rPr>
        <rFont val="맑은 고딕"/>
        <color theme="1"/>
        <sz val="11.0"/>
      </rPr>
      <t>노동(11), 여가(4), 주거</t>
    </r>
    <r>
      <rPr>
        <rFont val="MS Mincho"/>
        <color theme="1"/>
        <sz val="11.0"/>
      </rPr>
      <t>․</t>
    </r>
    <r>
      <rPr>
        <rFont val="맑은 고딕"/>
        <color theme="1"/>
        <sz val="11.0"/>
      </rPr>
      <t>교통(11),
범죄</t>
    </r>
    <r>
      <rPr>
        <rFont val="MS Mincho"/>
        <color theme="1"/>
        <sz val="11.0"/>
      </rPr>
      <t>․</t>
    </r>
    <r>
      <rPr>
        <rFont val="맑은 고딕"/>
        <color theme="1"/>
        <sz val="11.0"/>
      </rPr>
      <t>안전(6), 경제일반(14), 농림수산</t>
    </r>
    <r>
      <rPr>
        <rFont val="MS Mincho"/>
        <color theme="1"/>
        <sz val="11.0"/>
      </rPr>
      <t>․</t>
    </r>
    <r>
      <rPr>
        <rFont val="맑은 고딕"/>
        <color theme="1"/>
        <sz val="11.0"/>
      </rPr>
      <t>제조</t>
    </r>
    <r>
      <rPr>
        <rFont val="MS Mincho"/>
        <color theme="1"/>
        <sz val="11.0"/>
      </rPr>
      <t>․</t>
    </r>
    <r>
      <rPr>
        <rFont val="맑은 고딕"/>
        <color theme="1"/>
        <sz val="11.0"/>
      </rPr>
      <t>서비스(11),
환경</t>
    </r>
    <r>
      <rPr>
        <rFont val="MS Mincho"/>
        <color theme="1"/>
        <sz val="11.0"/>
      </rPr>
      <t>․</t>
    </r>
    <r>
      <rPr>
        <rFont val="맑은 고딕"/>
        <color theme="1"/>
        <sz val="11.0"/>
      </rPr>
      <t xml:space="preserve">에너지(6), 공공행정(4) 분야 통계 제공
지역통계 시각화 타시도 비교 통계 시각화해서 보여줌(통계청 링크)
시민 공감지도
행정지도 부산시에서 제작한 연도별 행정지도 제공
통계 총 조사 시각화 지도 전국 지역별 인구, 가구, 주택, 농업, 임업, 어업, 경제
분야별 통계를 시각화 해서 보여줌(통계청 링크)
지도 활용 서비스 일자리맵, 살고싶은 우리동네, 지역현안 소통지도,
정책통계지도(통계청 링크)
통계 자료실
통계보고서
(21종)
주민등록인구통계 기본통계(통계연보) 사업체조사
광업제조업조사 사회조사 사회지표
해양산업조사 구군단위 지역내총생산 구군단위 장래인구추계
베이비부머통계 제조업실태조사 차량교통량조사
수산업통계 부산크루즈통계 광역도시권통계
환경산업조사 일자리종합실태조사 복지실태조사
소상공인통계 부산청년통계 부산장노년통계
통계DB
(18종)
주민등록인구통계 기본통계(통계연보) 사업체조사
사회조사 해양산업조사 구군단위 지역내총생산
구군단위 장래인구추계 제조업실태조사 차량교통량조사
수산업통계 크루즈행정통계 환경산업조사
일자리종합실태조사 복지실태조사 청년통계
장노년통계 경기종합지수 광업제조업조사
통계E-Book
(13종)
주민등록인구통계 부산통계연보 사업체조사
사회지표 사회조사 구군단위지역내총생산
광업제조업조사 해양산업조사 베이비부머통계
도시비교지표(85∼97) 환경산업조사 청년통계
장노년통계
통계소식
통계 공표일정
통계소식
최신통계
인기통계
통계 관련 정보
국가통계
통계 설명자료
통계 용어 소개
관련사이트
</t>
    </r>
  </si>
  <si>
    <t>휴직자 급여 보험료 납부여부를 알려주세요.(보수 전반에 관한 내용)</t>
  </si>
  <si>
    <t>휴직 기간 중 급여 지급과 관련하여 건강보험·연금 등 각종 보험료의 납부 기준은 어떻게 적용되나요?</t>
  </si>
  <si>
    <t>관련근거 : 미제출한 지방공무원보수업무 등 처리지침 65P~66p
해당 페이지의 표가 정리되어서 표출되면 됩니다.
길어서 일부분만 표시합니다.
기대답변 :
1. 직권휴직
 - 질병휴직
   &gt; 근거 : 제1호
   &gt; 요건 : 신체정신상의 장애로 장기 요양을 요할 때
   &gt; 기간 : 1년 이내(1년범위에서 연장 가능)
   &gt; 호봉제적용자 봉급지급 : 1년 이하 봉급 70% 지급
   &gt; 호봉제적용자 수당 등 : 수당규정에 의하여 지급
   &gt; 연봉적용자 : 1년이하 연봉월액 60% 지급, 1~2년 연봉월액 40% 지급
   &gt; 승급기간산입 : 미산입
 - 그 외 휴직도 위와 같이
2. 청원휴직
 - 고용휴직 등 위와 같이 표시</t>
  </si>
  <si>
    <t>휴직자 급여 보험료 납부 여부 확인 방법</t>
  </si>
  <si>
    <t>미답변처리로 변경됨 (12.5)</t>
  </si>
  <si>
    <t>e호조 반납 처리 절차를 알려주세요.(일반, 일상)</t>
  </si>
  <si>
    <t>e호조에서 예산 반납 처리 시, 항목별 반납 절차와 입력 방법은 어떻게 되나요?</t>
  </si>
  <si>
    <t>네, 알겠습니다. e호조를 이용한 반납 처리 절차에 대해 자세히 설명드리겠습니다.
e호조 반납 처리 절차
반납 대상 확인
먼저, 반납해야 할 금액이나 대상이 있는지 확인합니다. 이는 초과 지급된 급여, 수당, 기타 경비 등이 될 수 있습니다.
반납 사유 작성
반납의 이유를 명확하게 기재합니다. 예를 들어, “인사 이동에 따른 급여 차액 반납” 등의 사유를 적습니다.
반납 결의서 작성
e호조의 지출 메뉴에서 반납 결의서를 작성합니다. 여기에는 다음과 같은 정보를 포함해야 합니다:
반납 원인: 어떤 이유로 반납하는지 구체적으로 기술합니다.
반납 금액: 정확한 금액을 기재합니다.
반납 대상자 정보: 반납받을 사람의 이름, 소속, 연락처 등을 정확히 입력합니다.
결재 경로 설정
작성한 반납 결의서는 내부 결재를 거쳐야 합니다. 일반적으로 부서장의 결재를 받습니다.
결재자를 지정하고, 결재 경로를 설정합니다.
결재 요청
결재자에게 결재를 요청합니다. 이때, 관련 문서나 증빙 자료를 함께 첨부합니다.
결재 승인 대기
부서장은 반납 결의서를 확인하고 승인 여부를 결정합니다.
결재 승인 확인
결재가 완료되면, 시스템에서 이를 반영하여 다음 단계로 넘어갈 수 있습니다.
반납 처리 실행
결재가 승인된 반납 결의서를 기반으로 실제 반납 처리를 진행합니다.
e호조 시스템 내에서 반납 처리 버튼을 눌러 실행합니다.
반납 결과 확인
반납 처리 후에는 결과를 확인합니다. 정상적으로 처리되었는지, 반납 금액이 정확하게 반영되었는지 점검합니다.
기록 보관
모든 과정은 문서화하여 보관합니다. 추후 감사나 확인 시 필요할 수 있으므로 중요합니다.
주의 사항
기한 준수: 반납은 법령이나 지침에서 정한 기한 내에 이루어져야 합니다.
정확한 정보 입력: 반납 대상자의 정보와 금액을 정확히 입력해야 하며, 오기가 없도록 주의합니다.
증빙 서류 유지: 반납 처리 과정에서 생성된 모든 증빙 서류를 체계적으로 보관합니다.
추가적인 팁
시스템 업데이트 확인: e호조 시스템의 최신 버전을 사용하고 있는지 확인합니다. 새로운 기능이나 변경 사항이 있을 수 있습니다.
문의처 활용: 처리 과정 중 어려움이 있다면 e호조 헬프데스크나 담당 부서에 문의하여 도움을 받을 수 있습니다.
이렇게 e호조를 통한 반납 처리 절차를 따르면 정확하고 효율적으로 반납 업무를 수행할 수 있습니다. 더 궁금한 점이 있으시면 언제든지 물어보세요! 도움이 필요하시면 언제든 말씀해 주세요.</t>
  </si>
  <si>
    <t>ㆍ328_2503_재정협력담당관_업뮤매뉴얼_행정안전부_2025년_지방보조금_관리가이드.pdf (p.188, 196)
https://busanai.busan.go.kr/download/328_2503_재정협력담당관_업뮤매뉴얼_행정안전부_2025년_지방보조금_관리가이드.pdf
ㆍ215_2501_예산담당관_업무매뉴얼_예산담당관_2025급여_및_수당_관련_FAQ.pdf (p.3)
https://busanai.busan.go.kr/download/215_2501_예산담당관_업무매뉴얼_예산담당관_2025급여_및_수당_관련_FAQ.pdf</t>
  </si>
  <si>
    <t>지방보조금 관리가이드는 보조금 관련 업무의 경우에만 반납 처리가 해당이 되므로
제외 시키거나 아니면 보조금 관련 내용을 추가로 표시할때 필요합니다.
해당 질의는 전체적인 일반회계와 일상경비 관련에 대한 질의이므로
제외시키는게 맞을것 같습니다.
2번째 파일도 급여 관련으로 돈이 잘못 나갔을때에 여입처리 하는 방법으로 
해당 질의 중 일부분만 해당되므로 
해당 질문에 대한 근거문서가 없습니다.
기대답변 : 
OO에 대한 관련 문서가 없습니다.
자세한 사항은 관련 부서나 업무 담당자에게 문의하시기 바랍니다.</t>
  </si>
  <si>
    <t>e호조 과목경정 방법을 알려주세요</t>
  </si>
  <si>
    <t>e호조에서 세출예산의 과목경정을 해야 할 때, 단계별 처리 절차와 필요 승인사항은 무엇인가요?</t>
  </si>
  <si>
    <t>컴보이 설치방법을 알려주세요</t>
  </si>
  <si>
    <t>컴보이(내PC지키미, PC보안점검 프로그램) 프로그램 설치 절차에 대해 알려주세요</t>
  </si>
  <si>
    <t>일반 usb, 보안 usb 사용방법을 알려주세요</t>
  </si>
  <si>
    <t xml:space="preserve">근거문서 : 휴대용저장매체관리시스템 사용자 매뉴얼 18p ~ 26p
일반 USB에 관한 내용은 없습니다
기대답변 :
1. 보안 USB 사용방법
 - 로그인 : uToken아이콘 우 클릭 &gt; 보안USB 비밀번호 입력 후 등록 진행 &gt; 보안USB 로그인
 - 로그아웃 : uToken아이콘 우 클릭 &gt; 로그아웃(안전제거)
 - 보안USB 사용 : 내컴퓨터 SECUREDISK 영역 사용
 - 보안USB 정보확인 : uToken 아이콘 우 클릭 &gt; HOME 탭을 선택하여 정보확인
 - 보안USB 비밀번호변경 : uToken 아이콘 우 클릭 &gt; 비밀번호 변경 탭 클릭 &gt; 비밀번호변경 진행
 - 보안USB 반출 : uToken 아이콘 우 클릭 &gt; 반출신청 탭 클릭 &gt; 반출신청 신청서 작성 &gt; 보안USB 반출 신청 확인
 - 보안USB 반출 시 사용방법 : 보안USB 장착 후 내 디스크 더블 클릭 &gt; Start.exe. 실행 &gt; 설치된 프로그램 로그인 진행 &gt; SecureDisk 사용
 - 보안USB 반입 : uToken 아이콘 우 클릭 &gt; 반입신청 탭 클릭 &gt; 반입 진행
</t>
  </si>
  <si>
    <t>18~30P만 내용을 복사해서 질문에 대한 답을 생성했습니다.(범정부 AI 클로바 활용)
 기대답변 :
 1. 보안 USB 사용법
  - 로그인
  &gt; 작업표시줄의 uToken 아이콘 우클릭 → 로그인 선택
  &gt; 최초 사용 시 보안 USB 비밀번호 지정 후 등록
  &gt; 이후 로그인 시 지정된 비밀번호 입력
  - 안전한 로그아웃
  &gt; uToken 아이콘 우클릭 → 로그아웃(안전 제거) 선택
  &gt; 경고: 로그아웃 없이 제거 시 데이터 손상 위험
  - 사용 방법
  &gt; 로그인 후 활성화된 SecureDisk를 일반 USB처럼 사용 가능
  &gt; 작업표시줄에서 uToken 아이콘 우클릭 → 관리 탭 이용
  - 비밀번호 변경
  &gt; uToken 아이콘 &gt; 관리 → 비밀번호 변경 탭 선택
  &gt; 새 비밀번호 입력 후 저장
  - 반출·반입 절차
  &gt; 반출 신청: 관리 &gt; 반출 신청 탭 작성 후 부서 관리자/총괄자 승인 필요
  &gt; 반입 처리: 승인 완료 후 관리 &gt; 반입 신청으로 복귀 등록
  - 인증서 복사
  &gt; uToken 아이콘 &gt; 인증서 저장 → PC 내 인증서 검색 및 복사 선택
 2. 일반 USB 사용법 (인증서 복사 예시)
  - 작업표시줄 uToken 아이콘 우클릭 → 인증서 영역 열기 선택
  - 하드디스크 탐색으로 원하는 인증서 선택 후 복사하면 USB 저장 완료</t>
  </si>
  <si>
    <r>
      <rPr>
        <rFont val="&quot;Malgun Gothic&quot;"/>
        <color rgb="FF000000"/>
        <sz val="11.0"/>
      </rPr>
      <t xml:space="preserve">일반 USB는 인증서 복사만 참고(29~30P)
보안 USB관련은 18~28P
보안 USB는 사용방법에 대한 내용이 있는데 사용방법인지에 대한 여부 확인이 어렵다는게 어떤 의미인지 모르겠습니다.
그냥 18~30P 내용 메모장에 바로 붙여넣기 후 범정부로 생성한 내용 기대답변으로 첨부합니다. 
------
[Top 5로 정리 가능한지 문의 필요]
</t>
    </r>
    <r>
      <rPr>
        <rFont val="&quot;Malgun Gothic&quot;"/>
        <color rgb="FF00FF00"/>
        <sz val="11.0"/>
      </rPr>
      <t>&gt;&gt; 369_2412_정보화정책과_업무매뉴얼_채울_휴대용저장매체관리시스템 사용자 매뉴얼 2P의 Contents 내용만 활용, 자세한 답변은 링크 참조로 대체
&gt;&gt; 2P 텍스트 복사할 때 순서가 엉망이 되는데 확인 바랍니다.</t>
    </r>
  </si>
  <si>
    <t>(문서 찾아짐. 추가 작업 불필요)</t>
  </si>
  <si>
    <r>
      <rPr>
        <rFont val="맑은 고딕"/>
        <b/>
        <color theme="1"/>
        <sz val="11.0"/>
      </rPr>
      <t>368_2412_정보화정책과_업무매뉴얼_채울_휴대용저장매체관리시스템_부서관리자_매뉴얼.pdf[18~26]</t>
    </r>
    <r>
      <rPr>
        <rFont val="맑은 고딕"/>
        <color theme="1"/>
        <sz val="11.0"/>
      </rPr>
      <t xml:space="preserve">
----
</t>
    </r>
    <r>
      <rPr>
        <rFont val="맑은 고딕"/>
        <color rgb="FFFF0000"/>
        <sz val="11.0"/>
      </rPr>
      <t>[일반 USB 에 대한 정보는 없고 보안 USB의 경우도 사용 방법을 따로 작성하여 사용 방법인지 알기 어려운 문서임]</t>
    </r>
    <r>
      <rPr>
        <rFont val="맑은 고딕"/>
        <color theme="1"/>
        <sz val="11.0"/>
      </rPr>
      <t xml:space="preserve">
----</t>
    </r>
  </si>
  <si>
    <t>인사이동시 개인별/서무담당자 조치방법을 알려주세요</t>
  </si>
  <si>
    <t>인사이동 시 관련 자료로 정리된 내용이 없으므로 이상없습니다</t>
  </si>
  <si>
    <t>gpki 비밀번호 잃어버렸을 떄 조치방법을 알려주세요</t>
  </si>
  <si>
    <t>bsc 공통지표 목록과 점수 산정방식을 알려주세요</t>
  </si>
  <si>
    <t>네, 질문하신 내용에 대해 답변해 드릴게요.
제공해주신 문서에서 언급된 **‘데이터기반행정활성화’**에 대한 BSC(Balanced Score Card) 공통지표 목록과 그 배점은 다음과 같습니다:
평가지표명: 데이터기반행정활성화
평가항목: 데이터분석실적(컨설팅, 분석)
평가배점:
컨설팅 1건: 3점
컨설팅 2건: 4점
분석 1건: 5점
컨설팅 1건 + 분석 1건: 6점
또한 등급별 BSC 점수는 다음과 같이 구분됩니다:
S등급: 9~10점
A등급: 7~8점
B등급: 5~6점
C등급: 4점 미만
이 지표들은 데이터 기반 행정의 활성화를 촉진하기 위해 설정된 것으로 보입니다. 각 기관은 이 지표를 통해 자신의 성과를 측정하고, 필요한 경우 추가적인 개선 활동을 계획할 수 있습니다.
점수 계산 방법은 제공된 평가배점을 기반으로 합니다. 예를 들어, 한 기관이 컨설팅 2건을 수행했다면 4점을 받게 됩니다. 여러 활동이 복합적으로 이루어졌다면 그에 따른 총점을 합산하여 최종 점수를 산출하게 됩니다.
이러한 방식은 기관들이 데이터 분석을 적극 활용하도록 동기를 부여하고, 이를 통해 보다 효율적이고 효과적인 행정 서비스를 제공하는 데 목적이 있습니다.
추가적인 도움이 필요하시면 언제든지 말씀해 주세요!</t>
  </si>
  <si>
    <t>조직담당관에서 제출해야할 자료인데 미제출입니다.
해당 질문에 대한 근거문서가 없습니다.
기대답변 : 
OO에 대한 관련 문서가 없습니다.
자세한 사항은 관련 부서나 업무 담당자에게 문의하시기 바랍니다.</t>
  </si>
  <si>
    <t>필수교육 목록을 정리해주고 직원별 이수교육 목록을 알려주세요.</t>
  </si>
  <si>
    <t>죄송하지만, 제가 직접적으로 문서 파일을 열람하거나 분석할 수는 없습니다. 그러나 제공해주신 문서들을 기반으로 필수교육 목록과 직원별 이수교육 목록을 요약해 드릴 수는 있습니다.
필수교육 목록:
현장 실무
관련 문서: [파일명: 83_2403_맑은물정책과_통계_환경부_2023년_물산업_통계조사_보고서2022년_기준.pdf]
설명: 업무 향상을 위한 필요 교육 중 가장 높은 비율(48.9%)을 차지하며, 업종별로도 가장 많이 요구되는 교육입니다.
안전, 환경
관련 문서: 동일함
설명: 두 번째로 높은 비율(30.5%)을 차지하는 교육으로, 안전과 환경에 대한 이해가 중요합니다.
기술 이론
관련 문서: 동일함
설명: 세 번째로 많은 비율(19.4%)을 차지하며, 기술적인 이론 지식을 습득하기 위한 교육입니다.
경영(무역, 재무, 인사 등)
관련 문서: 동일함
설명: 경영 전반에 걸친 교육으로, 일부 직원들에게 필요합니다.
어학
관련 문서: 동일함
설명: 어학 능력은 국제 교류나 해외 업무를 담당하는 직원들에게 필요할 수 있습니다.
직원별 이수교육 목록:
각 직원의 구체적인 이수교육 목록은 개인정보 보호 등의 이유로 제공할 수 없습니다. 하지만 일반적으로 직원들은 자신의 직무와 관련된 필수교육을 이수하게 됩니다. 예를 들어:
현장 실무 교육: 모든 직원이 기본적으로 이수해야 하는 교육이며, 업무 효율성과 안전성 향상에 기여합니다.
안전, 환경 교육: 작업장에서의 안전을 보장하고 환경을 보호하기 위한 교육으로, 모든 직원이 참여합니다.
전문 분야별 심화 교육: 각자의 전문 분야에서 최신 기술이나 지식을 습득하기 위한 교육으로, 특정 부서나 팀 단위로 진행됩니다.
추가 정보:
공무원 대상 빛공해 정책 및 관리형 전문가 교육: [파일명: 463_2501_환경정책과_정책용역보고서_환경정책과_빛공해방지계획최종보고서.pdf]에서는 공무원을 대상으로 한 빛공해 관련 교육의 중요성을 강조하고 있으며, 이는 환경 정책에 관심 있는 직원들에게 중요한 교육입니다.
하수도 분야 교육: [파일명: 34_2203_공공하수인프라과_중장기기본계획_공공하수인프라과_하수도정비기본계획.pdf]에서는 하수도 분야의 전문 교육을 통해 실무 능력을 강화하려는 계획을 제시하고 있습니다.
이러한 정보를 바탕으로 직원들의 교육 이수를 관리하는 것은 조직의 발전과 개인의 성장에 매우 중요합니다. 추가적인 도움이 필요하시면 언제든지 말씀해 주세요!</t>
  </si>
  <si>
    <t>ㆍ83_2403_맑은물정책과_통계_환경부_2023년_물산업_통계조사_보고서2022년_기준.pdf (p.65)
https://busanai.busan.go.kr/download/83_2403_맑은물정책과_통계_환경부_2023년_물산업_통계조사_보고서2022년_기준.pdf
ㆍ463_2501_환경정책과_정책용역보고서_환경정책과_빛공해방지계획최종보고서.pdf (p.209)
https://busanai.busan.go.kr/download/463_2501_환경정책과_정책용역보고서_환경정책과_빛공해방지계획최종보고서.pdf
ㆍ34_2203_공공하수인프라과_중장기기본계획_공공하수인프라과_하수도정비기본계획.pdf (p.2712)
https://busanai.busan.go.kr/download/34_2203_공공하수인프라과_중장기기본계획_공공하수인프라과_하수도정비기본계획.pdf</t>
  </si>
  <si>
    <t>의회 회기 일정을 알려주세요(상/하반기 업무보고, 결산, 본예산, 추경, 행정사무감사 시기 등)</t>
  </si>
  <si>
    <t>부산광역시의회의 회기 일정은 '부산광역시의회 회의운영 기본 조례’에 따라 정해집니다. 주요 일정으로는 상반기와 하반기 업무보고, 결산, 본예산, 추가경정예산, 행정사무감사 등이 있습니다.
1. 회기 일정
정례회: 매년 두 차례 열리며, 제1차 정례회와 제2차 정례회로 구분됩니다.
제1차 정례회: 보통 6월에 개최되며, 결산 승인 및 그 밖의 의안 심의를 진행합니다.
제2차 정례회: 보통 11월에 개최되며, 예산안의 의결 및 그 밖의 의안 심의를 진행합니다.
2. 업무보고
상반기 업무보고: 제1차 정례회 기간에 시장의 시정 전반에 대한 업무보고가 이루어집니다.
하반기 업무보고: 제2차 정례회 기간에 시장의 시정 추진 상황 및 향후 계획에 대한 업무보고가 이루어집니다.
3. 결산과 예산
결산: 전년도 회계연도의 재정 운용 결과를 심사하고 승인하는 과정으로, 제1차 정례회에서 다루어집니다.
본예산: 다음 해의 전체 예산을 심의하고 의결하는 과정으로, 제2차 정례회에서 주로 논의됩니다.
추가경정예산: 예기치 못한 지출이나 수입 변동에 대응하기 위해 수정된 예산을 편성하며, 필요에 따라 임시회를 통해 심의합니다.
4. 행정사무감사
행정사무감사: 시의 행정 전반을 감시하고 평가하는 과정으로, 제2차 정례회 기간 중에 상임위원회별로 실시됩니다.
감사특위 구성: 특별한 필요가 있을 경우 감사특별위원회를 구성하여 감사를 진행하기도 합니다.
참고사항
구체적인 날짜나 기간은 매년 상황에 따라 조정될 수 있으며, 이는 의회의 결정에 따릅니다.
자세한 일정 확인을 위해서는 부산광역시의회 홈페이지나 관련 보도자료를 참고하시는 것이 좋습니다.
부산광역시의회의 이러한 회기 일정은 시민들에게 투명하고 책임있는 의정활동을 제공하기 위한 것입니다. 궁금하신 점이 더 있으시면 언제든지 물어보세요!</t>
  </si>
  <si>
    <t>ㆍ460_페이지46_문서10_162855_부산광역시의회_회의운영_기본_조례.pdf (p.1)
https://busanai.busan.go.kr/download/460_페이지46_문서10_162855_부산광역시의회_회의운영_기본_조례.pdf
ㆍ625_페이지63_문서5_163112_부산광역시의회_행정사무감사_및_조사에_관한_조례.pdf (p.5)
https://busanai.busan.go.kr/download/625_페이지63_문서5_163112_부산광역시의회_행정사무감사_및_조사에_관한_조례.pdf</t>
  </si>
  <si>
    <t>해당 질문에 대한 근거문서가 없습니다.
정확한 세부 일정은 의회홈페이지와 실시간 연동이 되어야 하므로
없다고 나와야 할 것 같습니다.
기대답변 : 
OO에 대한 관련 문서가 없습니다.
자세한 사항은 관련 부서나 업무 담당자에게 문의하시기 바랍니다.</t>
  </si>
  <si>
    <t>수시인사교류의 절차는 어떻게 되나요</t>
  </si>
  <si>
    <t>수시인사교류의 절차는 다음과 같습니다.
인사교류 수요 발생: 시의회나 시, 구·군 및 구·군의회 중 어느 한 곳에서 인사교류가 필요하다는 판단이 서면, 해당 기관의 장은 인사교류의 필요성을 인지하고 준비에 들어갑니다.
인사교류 요청: 인사교류가 필요하다고 판단한 기관의 장은 다른 기관의 장에게 인사교류를 공식적으로 요청합니다. 예를 들어, 시의회 사무처장이 시청의 인사담당자에게 인사교류를 요청할 수 있습니다.
인사교류 계획 수립: 인사교류를 요청받은 기관의 장은 내부 검토를 통해 인사교류 가능 여부를 확인하고, 필요하다면 인사교류 계획을 수립합니다.
인사교류 협의: 양 기관의 장은 인사교류에 대한 세부 사항을 협의합니다. 이때 대상자의 직급, 직무 내용, 근무 조건 등을 조율합니다.
인사교류 승인: 협의가 완료되면, 양측 기관의 장은 인사교류를 최종 승인합니다.
인사 발령: 승인이 완료되면, 해당 인원에 대한 인사 발령을 진행합니다. 이는 공식적인 문서로 이루어지며, 새로운 근무지로의 이동이나 직무 변경 등이 포함됩니다.
결과 보고: 인사교류가 완료된 후, 해당 사실을 관련 기관에 보고하여 행정 절차를 마무리합니다.
이러한 절차를 통해 수시인사교류는 신속하고 효율적으로 진행되며, 기관 간 인력 활용의 효율성을 높일 수 있습니다. 만약 구체적인 사례나 추가 정보가 필요하시면 언제든지 말씀해 주세요!</t>
  </si>
  <si>
    <t>ㆍ211_페이지22_문서1_162433_부산광역시의회_지방공무원_인사교류_규칙.pdf (p.1)
https://busanai.busan.go.kr/download/211_페이지22_문서1_162433_부산광역시의회_지방공무원_인사교류_규칙.pdf</t>
  </si>
  <si>
    <r>
      <rPr>
        <rFont val="Malgun Gothic"/>
        <color theme="1"/>
        <sz val="11.0"/>
      </rPr>
      <t>관련근거 : 인사과 자주찾는 질문(인사과 전체) 1P
기대답변 : 
 - 수시인사교류는 개인의 적성과 소질을 개발하고 부모봉양, 부부합가 등 개인의 애로사항을 해소하고 공직사회에 활력을 불어넣기 위해 시행하는 제도로서 나라일터시스템*을 통한 상호간 신청</t>
    </r>
    <r>
      <rPr>
        <rFont val="Tahoma"/>
        <color theme="1"/>
        <sz val="11.0"/>
      </rPr>
      <t>․</t>
    </r>
    <r>
      <rPr>
        <rFont val="맑은 고딕"/>
        <color theme="1"/>
        <sz val="11.0"/>
      </rPr>
      <t xml:space="preserve">수락 후 매칭되면 부산시에 공문으로 접수**되고 인사교류 절차에 들어가게 됩니다
*www.gojobs.go.kr, **공문접수 외 개인접수는 불가
 - 1차 서류심사, 2차 면접심사 후 통과 시 상호기관간 상의 후 교류 시기를 협의*하게 됩니다. *통상 3~6개월 소요
 - 수시인사교류는 동일직렬, 동일직급이 원칙이며 직급이 상이할 시 강임의 형식으로 진행 될 수도 있으나 해당 인사부서에 반드시 사전 질의 후 진행 하셔야 합니다.
 - 당연한 얘기지만 수시인사교류를 위해서는 인사관계 법령에 의하여 전보가 제한되는 자, 징계절차 중에 있는 자는 수시인사교류가 진행 될 수 없으며 제한이 없는 신청자라 할지라도 신청 할 수 있는 자격이 있는 것이지 인사교류는 당연한 것이 아니며, 현 기관의 임용권자의 동의 후에 비로소 확정, 진행되게 됩니다.
</t>
    </r>
    <r>
      <rPr>
        <rFont val="Segoe UI Symbol"/>
        <color theme="1"/>
        <sz val="11.0"/>
      </rPr>
      <t>◦</t>
    </r>
    <r>
      <rPr>
        <rFont val="맑은 고딕"/>
        <color theme="1"/>
        <sz val="11.0"/>
      </rPr>
      <t xml:space="preserve"> 지방공무원 임용령 제27조
</t>
    </r>
  </si>
  <si>
    <t>- 수시인사교류는 개인의 적성과 소질을 개발하고 부모봉양, 부부합가 등 개인의 애로사항을 해소하고 공직사회에 활력을 불어넣기 위해 시행하는 제도로서 나라일터시스템*을 통한 상호간 신청․수락 후 매칭되면 부산시에 공문으로 접수**되고 인사교류 절차에 들어가게 됩니다
 *www.gojobs.go.kr, **공문접수 외 개인접수는 불가
  - 1차 서류심사, 2차 면접심사 후 통과 시 상호기관간 상의 후 교류 시기를 협의*하게 됩니다. *통상 3~6개월 소요
  - 수시인사교류는 동일직렬, 동일직급이 원칙이며 직급이 상이할 시 강임의 형식으로 진행 될 수도 있으나 해당 인사부서에 반드시 사전 질의 후 진행 하셔야 합니다.
  - 당연한 얘기지만 수시인사교류를 위해서는 인사관계 법령에 의하여 전보가 제한되는 자, 징계절차 중에 있는 자는 수시인사교류가 진행 될 수 없으며 제한이 없는 신청자라 할지라도 신청 할 수 있는 자격이 있는 것이지 인사교류는 당연한 것이 아니며, 현 기관의 임용권자의 동의 후에 비로소 확정, 진행되게 됩니다.
 ◦ 지방공무원 임용령 제27조</t>
  </si>
  <si>
    <t>질 문
 � 수시인사교류의 절차는 어떻게 되나요
 답 변
 � 수시인사교류는 개인의 적성과 소질을 개발하고 부모봉양, 부부합가
 등 개인의 애로사항을 해소하고 공직사회에 활력을 불어넣기 위해
 시행하는 제도로서
 나라일터시스템*을 통한 상호간 신청․수락 후 매칭되면
 부산시에 공문으로 접수**되고 인사교류 절차에 들어가게 됩니다
 *www.gojobs.go.kr,
 **공문접수 외 개인접수는 불가
 � 1차 서류심사, 2차 면접심사 후 통과 시 상호기관간 상의 후 교류
 시기를 협의*하게 됩니다.
 *통상 3~6개월 소요
 � 수시인사교류는 동일직렬, 동일직급이 원칙이며 직급이 상이할 시
 강임의 형식으로 진행 될 수도 있으나 해당 인사부서에 반드시
 사전 질의 후 진행 하셔야 합니다.
 � 당연한 얘기지만 수시인사교류를 위해서는 인사관계 법령에 의하여
 전보가 제한되는 자, 징계절차 중에 있는 자는 수시인사교류가 진행
 될 수 없으며 제한이 없는 신청자라 할지라도 신청 할 수 있는
 자격이 있는 것이지 인사교류는 당연한 것이 아니며,
 현 기관의 임용권자의 동의 후에 비로소 확정, 진행되게 됩니다.
 ◦ 지방공무원 임용령 제27조</t>
  </si>
  <si>
    <t xml:space="preserve">전문직위 지정 및 전문관 임용은 어떻게 신청하면 되나요? </t>
  </si>
  <si>
    <t>전문직위 지정 및 전문관 임용을 신청하려면 다음과 같은 절차를 따르시면 됩니다.
신청: 먼저, 전문직위가 필요하다고 생각되는 부서나 실·국에서 인사과에 전문직위 신청을 합니다. 이때 해당 직위의 직무 내용과 전문성이 요구되는 이유를 상세히 작성해야 합니다.
1차 심의: 인사과는 제출된 신청서를 바탕으로 1차 심의를 진행합니다. 이 단계에서는 신청 내용의 타당성과 전문직위 지정의 필요성을 검토합니다.
직무분석: 조직담당관은 해당 직무에 대한 분석을 실시합니다. 이는 전문직위 지정을 위해 필요한 직무의 특성, 난이도, 전문성 요구 정도 등을 파악하기 위한 과정입니다.
2차 심의: 인사과는 직무분석 결과를 토대로 2차 심의를 진행합니다. 여기서는 전문직위 지정에 대한 세부 사항을 확정하게 됩니다.
최종심의: 마지막으로 인사위원회는 모든 자료를 종합하여 전문직위 지정 여부를 결정합니다. 이 과정에서 전문직위로서의 적합성 여부가 최종적으로 판가름됩니다.
전문관 선발: 전문직위로 지정된 후에는 해당 직위를 맡을 전문관을 선발해야 합니다. 전문관 선발은 공모를 통해 이루어지며, 개별 신청이나 실·국의 추천을 받을 수 있습니다.
선발 방법:
공모(개별): 관심 있는 직원들이 직접 지원할 수 있습니다.
추천(실·국): 부서에서 적합한 인재를 추천할 수 있습니다.
심의 및 임용: 인사위원회는 전문관 후보자들을 대상으로 직무수행 능력과 적격성을 심사합니다. 각 분야별로 최대 3배수의 적격자를 선정한 뒤, 그 중에서 1명을 전문관으로 임명합니다.
전보제한 및 인센티브: 전문관으로 임명되면 특별한 사유가 없는 한 3년 이내에 다른 직위로 전보가 제한되며, 이에 따른 인센티브(가점, 수당 등)가 제공됩니다.
이러한 절차를 통해 전문직위 지정 및 전문관 임용이 이루어집니다. 더 자세한 안내나 도움이 필요하시면 언제든지 말씀해 주세요!</t>
  </si>
  <si>
    <t>ㆍ257_2207_인사과_계획_인사과_민선8기_부산광역시_인사혁신_추진계획.pdf (p.31)
https://busanai.busan.go.kr/download/257_2207_인사과_계획_인사과_민선8기_부산광역시_인사혁신_추진계획.pdf
ㆍ263_2401_인사과_기본계획_인사과_2024년도_부산광역시_인사운영_기본계획.pdf (p.12)
https://busanai.busan.go.kr/download/263_2401_인사과_기본계획_인사과_2024년도_부산광역시_인사운영_기본계획.pdf
ㆍ258_2301_인사과_기본계획_인사과_2023년도_부산광역시_인사운영_기본계획.pdf (p.10)
https://busanai.busan.go.kr/download/258_2301_인사과_기본계획_인사과_2023년도_부산광역시_인사운영_기본계획.pdf</t>
  </si>
  <si>
    <r>
      <rPr>
        <rFont val="Malgun Gothic"/>
        <color theme="1"/>
        <sz val="11.0"/>
      </rPr>
      <t>관련 근거 2번, 3번이 과거 자료입니다. 25년 기준으로 나와야 합니다.
해당 자료로 작성된 내용이라 내용이 맞긴 한데
인사과에서 작성한 자주찾는 질문에 질의랑 똑같은 내용이 있어서
아래 기대답변 작성했습니다. 기대답변대로 나오는게 젤 좋긴 하지만
생성된 답변도 나쁘지 않습니다
관련 근거 : 인사과 자주찾는 질문(인사과 전체)
기대답변 : 
 - 전문직위 지정은 매년 상</t>
    </r>
    <r>
      <rPr>
        <rFont val="Tahoma"/>
        <color theme="1"/>
        <sz val="11.0"/>
      </rPr>
      <t>‧</t>
    </r>
    <r>
      <rPr>
        <rFont val="맑은 고딕"/>
        <color theme="1"/>
        <sz val="11.0"/>
      </rPr>
      <t>하반기 각 부서로부터 전문직위 신규 지정 해지 관련 접수를 받은 후, 조직담당관의 직무분석을 실시 결과 등을 반영, 인사위원회 심의를 통해 확정합니다
 - 이후 공석 전문 직위에 대한 전문관은 공개모집을 통해 모집하여 실</t>
    </r>
    <r>
      <rPr>
        <rFont val="Tahoma"/>
        <color theme="1"/>
        <sz val="11.0"/>
      </rPr>
      <t>‧</t>
    </r>
    <r>
      <rPr>
        <rFont val="맑은 고딕"/>
        <color theme="1"/>
        <sz val="11.0"/>
      </rPr>
      <t>국</t>
    </r>
    <r>
      <rPr>
        <rFont val="Tahoma"/>
        <color theme="1"/>
        <sz val="11.0"/>
      </rPr>
      <t>‧</t>
    </r>
    <r>
      <rPr>
        <rFont val="맑은 고딕"/>
        <color theme="1"/>
        <sz val="11.0"/>
      </rPr>
      <t xml:space="preserve">본부별 선발심사위를 운영하여 적격자를 선발 후 전문관으로 임용하게 됩니다.
</t>
    </r>
    <r>
      <rPr>
        <rFont val="Segoe UI Symbol"/>
        <color theme="1"/>
        <sz val="11.0"/>
      </rPr>
      <t>◦</t>
    </r>
    <r>
      <rPr>
        <rFont val="맑은 고딕"/>
        <color theme="1"/>
        <sz val="11.0"/>
      </rPr>
      <t xml:space="preserve"> 지방공무원임용령 제7조의3, 지방공무원평정규칙 제24조제4항</t>
    </r>
  </si>
  <si>
    <t>- 전문직위 지정은 매년 상‧하반기 각 부서로부터 전문직위 신규 지정 해지 관련 접수를 받은 후, 조직담당관의 직무분석을 실시 결과 등을 반영, 인사위원회 심의를 통해 확정합니다
  - 이후 공석 전문 직위에 대한 전문관은 공개모집을 통해 모집하여 실‧국‧본부별 선발심사위를 운영하여 적격자를 선발 후 전문관으로 임용하게 됩니다.
 ◦ 지방공무원임용령 제7조의3, 지방공무원평정규칙 제24조제4항</t>
  </si>
  <si>
    <t>질 문
 ◦ 전문직위 지정 및 전문관 임용은 어떻게 신청하면 되나요?
 답 변
 � 전문직위 지정은 매년 상‧하반기 각 부서로부터 전문직위 신규 지정
 해지 관련 접수를 받은 후, 조직담당관의 직무분석을 실시 결과 등을
 반영, 인사위원회 심의를 통해 확정합니다.
 � 이후 공석 전문 직위에 대한 전문관은 공개모집을 통해 모집하여 실‧국‧본부별
 선발심사위를 운영하여 적격자를 선발 후 전문관으로 임용하게 됩니다.
 ◦ 지방공무원임용령 제7조의3, 지방공무원평정규칙 제24조제4항</t>
  </si>
  <si>
    <t>성과상여금 및 연봉결정에 대한 이의신청 방법은?</t>
  </si>
  <si>
    <t>부산광역시청 임직원이 성과상여금 및 연봉결정에 대해 이의신청을 하고자 할 때는 다음과 같은 절차를 따릅니다.
이의신청 대상 확인: 먼저, 본인이 받은 성과상여금 지급등급이나 연봉결정 결과에 대해 이의가 있는지 확인합니다. 이는 개인의 성과평가 결과에 대한 불만족이나 부당한 처우에 대한 문제점을 인식하는 단계입니다.
이의신청서 작성: 이의가 있다고 판단되면, 공식적인 이의신청서를 작성해야 합니다. 이때 사용하는 양식은 '별지 제2호 서식’인 "이의신청서"를 사용합니다. 이 문서에는 다음과 같은 내용이 포함되어야 합니다:
소속: 신청자의 소속 기관과 부서를 명확히 기재합니다.
이의신청 사유 구체적 기재: 이의신청의 이유를 상세하고 구체적으로 기술합니다. 예를 들어, 평가 과정에서의 오류, 객관성이 결여된 평가, 다른 동료와의 형평성 문제 등이 될 수 있습니다.
관련 증빙서류 첨부: 이의신청 사유를 뒷받침할 수 있는 증거 자료나 증빙서류를 함께 제출합니다. 이는 이의신청의 신뢰성을 높이는 중요한 요소입니다.
기타 참고사항: 추가로 고려해야 할 사항이나 특이사항을 기재합니다.
서명: 마지막으로 신청인의 직급, 성명, 그리고 서명을 하여 문서에 법적 효력을 부여합니다.
이의신청서 제출: 작성한 이의신청서는 성과상여금 지급 담당 부서나 인사담당관에게 제출합니다. 일반적으로 성과상여금 지급 전에 이의제기 기간을 7일 이상 두고 있으므로, 이 기간 내에 제출해야 합니다.
재심사 요청: 소속기관의 장이나 인사담당관은 이의신청서를 검토한 후, 이의가 타당하다고 판단하면 성과급심사위원회에 재심사를 요구할 수 있습니다. 이를 통해 처음의 성과상여금 지급등급이나 연봉결정이 재검토됩니다.
재심사 결과 통보: 성과급심사위원회의 재심사 결과는 신청인에게 통보되며, 이에 따라 최종적인 성과상여금 지급등급이나 연봉결정이 이루어집니다.
참고자료:
관련 지침 및 서식 다운로드: 위의 과정에서 사용되는 '별지 제2호 서식’인 "이의신청서"는 “[214_2501_예산담당관_업무매뉴얼_행정안전부_지방공무원보수업무_등_처리지침.pdf]” 파일에서 확인할 수 있습니다. 이 문서는 성과상여금 업무 처리에 대한 자세한 지침을 제공하므로, 이의신청 절차뿐만 아니라 전반적인 이해에도 도움이 됩니다.
추가 정보:
이의신청 기간 엄수: 이의신청 기간은 매우 중요하므로, 지정된 기간 내에 반드시 이의신청서를 제출해야 합니다. 기간이 지나면 이의신청이 받아들여지지 않을 수 있습니다.
객관적이고 구체적인 이유 제시: 이의신청 사유를 작성할 때는 감정적이거나 주관적인 표현보다는 객관적이고 구체적인 사실과 근거를 바탕으로 해야 합니다.
전문가의 도움 받기: 복잡한 절차나 법률적인 부분에 대해서는 인사 담당자나 노사 관계 전문가의 조언을 구하는 것이 좋습니다.
위의 절차를 따르면 부산광역시청 임직원은 성과상여금 및 연봉결정에 대한 이의신청을 효과적으로 진행할 수 있습니다. 만약 추가적인 질문이나 도움이 필요하시다면 언제든지 문의해 주세요.</t>
  </si>
  <si>
    <t>ㆍ214_2501_예산담당관_업무매뉴얼_행정안전부_지방공무원보수업무_등_처리지침.pdf (p.418, 437, 473)
https://busanai.busan.go.kr/download/214_2501_예산담당관_업무매뉴얼_행정안전부_지방공무원보수업무_등_처리지침.pdf</t>
  </si>
  <si>
    <t xml:space="preserve"> 내용 중 이의신청서 제출 부분에 이의제기 기간을 7일 이상 두고 있다고 하는데 근거문서를 확인해보면 성과상여금 지급전에 3일 이상 7일 이내의 이의제기기간을 두어야 한다라고 되어 있습니다.  해당 내용은 오류로 보입니다.
인사담당관이라는 글자도 오류입니다. &gt; 인사과로 변경
그리고 해당 문서는 성과상여금에 관한 내용이므로 연봉 관련 내용은 삭제해주셔야 합니다.
일반직 공무원의 경우 연봉협상은 없다고 보시면 됩니다.</t>
  </si>
  <si>
    <t>참조내용을 근거로 성과상여금과 연봉결정에 대해 질의문 확장된걸로 범정부 활용해서 생성함
 기대답변 : 
 성과상여금 및 연봉결정 이의신청 상세 안내
 1. 이의신청 가능한 사유
  - 공통 사유
  &gt; 평가 과정의 오류 (예: 근거 없는 등급 부여, 점수 계산 착오)
  &gt; 불공정한 기준 적용 또는 차별적 평가 (예: 보직 차별, 동료와의 형평성 문제)
  &gt; 절차적 하자 (예: 통보 일정 미준수, 신청 기회 미부여)
  &gt; 기타 합리적 이유로 증명 가능한 이익 침해 사항
 2. 이의신청 절차
  - 통보 확인
  &gt; 성과급심사위원회는 결과를 소속 부서장에 통보 → 부서장은 즉시 직원에게 알림
  &gt; 최하등급자는 구체적 사유 별도로 설명받음
  - 이의신청서 제출
  &gt; 성과의상여금: 소속 부서장/인사담당관에게 "별지 제2호 서식 이의신청서" 제출
  &gt; 연봉결정: "별지 3 이의신청서" 작성 후 동일한 경로로 제출
  - 타당성 판단 및 재심사 요청
  &gt; 소속 부서장/인사담당관은 이의 타당성을 검토 → 타당하다고 판단되면 성과급심사위원회에 재심사 요청
  - 재심사 및 결과 조정
  &gt; 성과급심사위원회는 요구 사항을 재검토하여 지급 순위/등급 재조정
  &gt; 재조정 원칙: 이의제기하지 않은 직원의 등급은 변동 없음
 3. 필요 서류
  - 공통
  &gt; 이의신청서 (별지 서식별 양식 준수)
  &gt; 증빙 자료: 점수 산출 근거, 비교 대상자 자료, 오류 증빙 서류 등
 4. 처리 기한
  - 성과상여금 이의신청: 3일 이상 7일 이내 (지급 전)
  - 연봉결정(성과연봉 평가) 이의신청: 7일 이내 (통보일 기준)
  - 재심사 결과 통보: 구체적 기한 미정이나, 성과상여금 지급 전 완료되어야 함
 5. 주의 사항
  - 이의신청은 서면 제출만 원칙 (전자문서 가능 여부 확인 필요)
  - 증빙 자료 미제출 시 검토 자체가 기각될 수 있음
  - 재심사 후에도 결과에 불복 시 행정심판 또는 소송으로 진행 가능</t>
  </si>
  <si>
    <t>230, 437</t>
  </si>
  <si>
    <t>성과연봉 평가 등급(230P)
 다. 이의신청
 1) 평가등급결과 통보와 이의제기
 ○ 성과급심사위원회는 성과연봉 평가등급 결정결과를 소속기관(부서)의 장에게
 통보하여야 하며, 소속기관(부서)의 장은 즉시 소속 공무원에게 해당 평가등급을
 알려주고, 최하위등급으로 평가된 자에게는 그 사유를 설명하여야 한다.
 ○ 본인의 평가등급에 대하여 이의가 있는 공무원은 소속기관(부서)의 장이나 인사
 담당관에게 별지 3 “이의신청서”를 작성하여 이의를 제기할 수 있다. 소속
 기관(부서)의 장이나 인사담당관은 이의가 타당하다고 판단하는 경우에는 해당
 성과급심사위원회에 재심사를 요구할 수 있다.
 ○ 그 밖에 구체적인 이의제기 방법과 절차, 이의제기 처리결과 통보 등에
 관한 사항은 지방자치단체의 장과 지방의회의 의장이 정하되, 성과연봉
 지급 전에 이의신청 기간을 7일 이상 두어야 한다.
 2) 성과급심사위원회의 재심사
 ○ 성과급심사위원회는 소속기관(부서)의 장이나 인사담당관으로부터 재심사
 요구가 있는 경우에는 재심사 요구사유 등을 심사하여 지급순위와 평가등급을
 재조정할 수 있다.
 ※ 성과급 재심사 의결서는 제6장 지방공무원성과상여금업무 처리기준 별표2의2 활용 가능
 ○ 이 경우, 과장급이 아닌 4급(상당) 이하 공무원 및 특정직공무원에 대해서는
 이의를 제기하지 않은 사람의 평가등급은 가급적 변경하지 않고 이의를
 제기한 사람의 지급순위와 평가등급을 조정한다(임기제공무원 포함). 다만,
 이의신청 수용에 따른 등급별 인원비율 조정은 자율운영기준 범위 내에서
 정하며, 조정된 인원비율에 따라 지급기준을 조정하여 적용하되, 평가등급을
 재조정하여 소요예산이 부족하게 되는 경우에는 예산범위에서 성과연봉이
 지급될 수 있도록 지급기준액을 재조정하여야 한다.
 성과상여금 이의제기(437P)
 바. 이의제기
 1) 지급등급결과 통보와 이의제기
 가) 성과급심사위원회는 ‘마.’의 성과상여금 지급등급결과를 소속기관(부서)의
 장에게 통보하여야 하며, 소속기관(부서)의 장은 즉시 소속 공무원에게 해당
 지급등급을 알려주고, 최하위등급으로 평가된 자에게는 그 사유를 설명하여야 한다.
 나) 본인의 지급등급에 대하여 이의가 있는 공무원은 소속기관(부서)의 장이나
 인사담당관에게 이의신청서(별지 제2호 서식)를 작성하여 이의를 제기할 수
 있다. 소속기관(부서)의 장이나 인사담당관은 이의가 타당하다고 판단하는
 경우, 해당 성과급심사위원회에 재심사를 요구할 수 있다.
 다) 그 밖의 구체적인 이의제기 방법과 절차 및 이의제기에 대한 심사결과
 통보 등에 관한 사항은 지방자치단체의 장 또는 지방의회의 의장이 정하되,
 성과상여금 지급전에 3일 이상 7일 이내의 이의제기기간을 두어야 한다.
 2) 성과급심사위원회의 재심사
 가) 성과급심사위원회는 소속기관(부서)의 장이나 인사담당관으로부터 재심사
 요구가 있는 경우에는 재심사 요구사유 등을 심사하여 지급순위와 지급 등급을
 재조정할 수 있다.
 ※ 성과급심사위원회 재심사 시 ‘성과급 재심사 의결서’(별지 제2호의2 서식) 활용 가능
 나) 이 경우, 이의를 제기하지 않은 자의 지급등급은 가급적 변경하지 않고 이의를
 제기한 자의 지급순위와 지급등급을 조정한다. 다만, 이의신청 수용에 따른
 등급별 인원비율 조정은 자율운영기준 범위 내에서 정하며, 조정된 인원비율에
 따라 지급기준액을 조정하여 적용하되, 지급등급을 재조정하여 소요 예산이
 부족하게 되는 경우에는 ‘나.2)’의 예에 준하여 예산범위 안에서 성과상여금이
 지급될 수 있도록 지급기준액을 재조정하여야 한다.</t>
  </si>
  <si>
    <t>성과상여금 및 연봉결정에 대한 이의신청 방법</t>
  </si>
  <si>
    <r>
      <rPr>
        <rFont val="맑은 고딕"/>
        <b/>
        <color theme="1"/>
        <sz val="11.0"/>
      </rPr>
      <t>214_2501_예산담당관_업무매뉴얼_행정안전부_지방공무원보수업무_등_처리지침.pdf[437]</t>
    </r>
    <r>
      <rPr>
        <rFont val="맑은 고딕"/>
        <color theme="1"/>
        <sz val="11.0"/>
      </rPr>
      <t xml:space="preserve">
-----
</t>
    </r>
    <r>
      <rPr>
        <rFont val="맑은 고딕"/>
        <color rgb="FFFF0000"/>
        <sz val="11.0"/>
      </rPr>
      <t xml:space="preserve">바. 이의제기
1) 지급등급결과 통보와 이의제기
가) 성과급심사위원회는 ‘마.’의 성과상여금 지급등급결과를 소속기관(부서)의
장에게 통보하여야 하며, 소속기관(부서)의 장은 즉시 소속 공무원에게 해당
지급등급을 알려주고, 최하위등급으로 평가된 자에게는 그 사유를 설명하여야 한다.
나) 본인의 지급등급에 대하여 이의가 있는 공무원은 소속기관(부서)의 장이나
인사담당관에게 이의신청서(별지 제2호 서식)를 작성하여 이의를 제기할 수
있다. 소속기관(부서)의 장이나 인사담당관은 이의가 타당하다고 판단하는
경우, 해당 성과급심사위원회에 재심사를 요구할 수 있다.
다) 그 밖의 구체적인 이의제기 방법과 절차 및 이의제기에 대한 심사결과
통보 등에 관한 사항은 지방자치단체의 장 또는 지방의회의 의장이 정하되,
성과상여금 지급전에 3일 이상 7일 이내의 이의제기기간을 두어야 한다.
</t>
    </r>
    <r>
      <rPr>
        <rFont val="맑은 고딕"/>
        <color theme="1"/>
        <sz val="11.0"/>
      </rPr>
      <t>2) 성과급심사위원회의 재심사
가) 성과급심사위원회는 소속기관(부서)의 장이나 인사담당관으로부터 재심사
요구가 있는 경우에는 재심사 요구사유 등을 심사하여 지급순위와 지급 등급을
재조정할 수 있다.
※ 성과급심사위원회 재심사 시 ‘성과급 재심사 의결서’(별지 제2호의2 서식) 활용 가능
나) 이 경우, 이의를 제기하지 않은 자의 지급등급은 가급적 변경하지 않고 이의를
제기한 자의 지급순위와 지급등급을 조정한다. 다만, 이의신청 수용에 따른
등급별 인원비율 조정은 자율운영기준 범위 내에서 정하며, 조정된 인원비율에
따라 지급기준액을 조정하여 적용하되, 지급등급을 재조정하여 소요 예산이
부족하게 되는 경우에는 ‘나.2)’의 예에 준하여 예산범위 안에서 성과상여금이
지급될 수 있도록 지급기준액을 재조정하여야 한다.</t>
    </r>
  </si>
  <si>
    <t>공무원증 신청방법? 발급되는데 얼마나 걸리나요?</t>
  </si>
  <si>
    <t>안녕하세요! 부산광역시 공무원증 발급에 대해 궁금하신 것 같네요. 하지만 제가 직접적인 정보나 최신 규정을 알 수는 없어요. 그러나 일반적으로 공무원증 발급 절차는 다음과 같습니다:
발급 대상 확인: 먼저, 본인이 공무원증 발급 대상인지 확인해야 합니다. 신규 채용되었거나 직위 변경 등이 있을 경우에 발급 대상이 됩니다.
필요 서류 준비: 공무원증 발급을 위해 필요한 서류를 준비해야 합니다. 보통 신분증 사본, 증명사진 등이 필요합니다.
신청 방법: 소속 부서나 인사 담당 부서에 방문하여 공무원증 발급 신청을 해야 합니다. 온라인 신청이 가능한 경우도 있으니 확인해 보세요.
발급 기간: 신청 후 공무원증이 발급되기까지 소요되는 시간은 기관마다 다를 수 있지만, 일반적으로 몇 주 정도 걸릴 수 있습니다.
보다 정확한 정보는 부산광역시청의 인사과나 관련 부서에 문의하시는 것이 좋습니다. 전화나 이메일로 연락하시면 친절히 안내해 드릴 거예요. 도움이 필요하면 언제든지 말씀해 주세요!</t>
  </si>
  <si>
    <t>규정보다는 인사과에서 정리한 문서를 근거로 답변하면 더 좋을것같습니다
근거문서 : 인사과 자주찾는 질문 7P
기대답변 
1. 실물 공무원증(플라스틱 카드) 신청 절차
 - 차세대 인사랑시스템(인사마당탭-공무원증신청 메뉴)에서 발급 신청을
합니다.
 - 신청구분은 ‘실물공무원증'을 체크합니다.
 - 부서장 결재 등 내부 승인 절차를 거칩니다.
 - 증명사진을 함께 제출하거나 인사정보에 등록된 사진으로 신청할 수
있습니다.
2. 모바일 공무원증 신청 절차
 - 차세대 인사랑시스템(인사마당탭-공무원증신청 메뉴)에서 발급 신청을
합니다.
 - 신청구분은 ‘모바일 공무원증'을 체크합니다.
 - 부서장 결재 등 내부 승인 절차를 거칩니다.
 - 신청이 완료되면 SMS로 발급 준비 완료 안내가 오고, 안내된 설치
 - URL을 통해 모바일 공무원증 앱을 설치합니다.
 - 앱에서 본인 확인 및 비밀번호 설정 후 사용이 가능합니다.
 - 모바일 공무원증으로 청사출입은 현재 불가능합니다.
3. 소요 기간
 - 실물 및 모바일 공무원증 모두 신청 후 수령까지 약 3~4주가 소요됩니다.
 - 실제로는 기관 사정에 따라 3주보다 더 오래 걸릴 수 있습니다.</t>
  </si>
  <si>
    <t>당직 등으로 인한 대체휴무 사용기간은 언제까지인가요?</t>
  </si>
  <si>
    <r>
      <rPr>
        <rFont val="Malgun Gothic"/>
        <color theme="1"/>
        <sz val="11.0"/>
      </rPr>
      <t xml:space="preserve">관련 근거 : 인사과 자주 찾는 질문
기대답변 : 
대체휴무는 해당 기관의 업무사정이나 그 밖의 부득이한 사유로 근무한 날의
다음 정상근무일에 휴무하게 할 수 없을 때에는 그 사유가 해소된 날부터
6주 이내의 다른 정상근무일을 지정하여 휴무하게 할 수 있습니다.
이때, 6주 이내의 기간은 토요일 및 공휴일을 포함한 기간임을 알려
드리니 참고하시기 바랍니다.
</t>
    </r>
    <r>
      <rPr>
        <rFont val="Segoe UI Symbol"/>
        <color theme="1"/>
        <sz val="11.0"/>
      </rPr>
      <t>◦</t>
    </r>
    <r>
      <rPr>
        <rFont val="맑은 고딕"/>
        <color theme="1"/>
        <sz val="11.0"/>
      </rPr>
      <t xml:space="preserve"> 「지방공무원 복무규정」제4조</t>
    </r>
  </si>
  <si>
    <t>대체휴무는 해당 기관의 업무사정이나 그 밖의 부득이한 사유로 근무한 날의
 다음 정상근무일에 휴무하게 할 수 없을 때에는 그 사유가 해소된 날부터
 6주 이내의 다른 정상근무일을 지정하여 휴무하게 할 수 있습니다.
 이때, 6주 이내의 기간은 토요일 및 공휴일을 포함한 기간임을 알려
 드리니 참고하시기 바랍니다.
 ◦ 「지방공무원 복무규정」제4조</t>
  </si>
  <si>
    <t>질 문
 � 당직 등으로 인한 대체휴무 사용기간은 언제까지인가요?
 답 변
 � 대체휴무는 해당 기관의 업무사정이나 그 밖의 부득이한 사유로 근무한 날의
 다음 정상근무일에 휴무하게 할 수 없을 때에는 그 사유가 해소된 날부터
 6주 이내의 다른 정상근무일을 지정하여 휴무하게 할 수 있습니다.
 이때, 6주 이내의 기간은 토요일 및 공휴일을 포함한 기간임을 알려
 드리니 참고하시기 바랍니다.
 ◦ 「지방공무원 복무규정」제4조</t>
  </si>
  <si>
    <t>휴가 마지막 날 18시 이후 초과근무가 가능한지 ?</t>
  </si>
  <si>
    <t>안녕하세요! 휴가 마지막 날에 18시 이후에 초과근무를 할 수 있는지 궁금하시군요.
먼저, 지방공무원의 휴가와 초과근무에 대한 규정을 살펴보겠습니다. '지방공무원 복무규정’과 ‘지방공무원 보수규정’, 그리고 '지방공무원 평정규칙’에서는 공무원의 근무시간, 휴일, 휴가 등에 대해 상세하게 규정하고 있습니다.
일반적으로 연가(휴가)의 경우, 그 기간 동안에는 원칙적으로 근무 의무가 없습니다. 즉, 휴가를 사용하는 기간 중에는 출근하여 근무할 필요가 없으며, 이 시간 동안에는 초과근무도 인정되지 않습니다.
그러나 일부 경우에는 예외가 있을 수 있습니다. 예를 들어, 긴급한 업무나 특별한 사정으로 인해 휴가를 사용 중에도 근무해야 하는 상황이 발생할 수 있습니다. 이러한 경우에는 상급자의 승인 하에 근무 및 초과근무가 가능할 수 있습니다.
하지만 이는 조직 내부의 지침이나 규정에 따라 다를 수 있으므로, 정확한 답변을 위해서는 소속 기관의 인사 담당 부서나 관련 부서에 문의하시는 것이 가장 정확합니다.
또한, 초과근무는 근로기준법 등 관련 법령에서 정한 기준을 준수하여야 하며, 불필요한 초과근무를 지양하도록 권장되고 있습니다.
따라서, 현재 상황에서 휴가 마지막 날 18시 이후에 초과근무를 하기 위해서는 해당 기관의 내부 규정과 절차를 확인하시고, 필요한 승인을 받으시는 것이 중요합니다.
더 궁금하신 사항이 있으시면 언제든지 물어보세요! 도움이 필요하면 말씀해 주세요.</t>
  </si>
  <si>
    <t>ㆍ264_2401_인사과_법령_행정안전부_지방공무원_인사관계_법령집.pdf (p.253, 397, 503)
https://busanai.busan.go.kr/download/264_2401_인사과_법령_행정안전부_지방공무원_인사관계_법령집.pdf</t>
  </si>
  <si>
    <r>
      <rPr>
        <rFont val="Malgun Gothic"/>
        <color theme="1"/>
        <sz val="11.0"/>
      </rPr>
      <t xml:space="preserve">생성된 내용이 맞습니다. 다만 인사과 자주 찾는 질문에 똑같은 질문이 있어서
해당 답변을 기대답변으로 작성했습니다
관련 근거 : 인사과 자주 찾는 질문
기대답변 : 
휴가 중인 공무원에 대하여 휴가 기간 중은 물론 휴가 마지막 날의
근무종료시간 이후에도 초과근무를 명할 수 없도록 규정되어 있습니
다. (휴가는 시간으로 계산하지 않고 일수로 계산하기 때문) 따라서,
휴가기간의 마지막 날 18시이후 초과근무를 명할 수 없습니다.
다만, 휴가 마지막 날 자정 이후 초과근무 명령을 받고 근무를 한다면
해당 근무시간은 초과근무로 인정받을 수 있을 것입니다
</t>
    </r>
    <r>
      <rPr>
        <rFont val="Segoe UI Symbol"/>
        <color theme="1"/>
        <sz val="11.0"/>
      </rPr>
      <t>◦</t>
    </r>
    <r>
      <rPr>
        <rFont val="맑은 고딕"/>
        <color theme="1"/>
        <sz val="11.0"/>
      </rPr>
      <t xml:space="preserve"> 「지방공무원 복무 예규」</t>
    </r>
  </si>
  <si>
    <t>휴가 중인 공무원에 대하여 휴가 기간 중은 물론 휴가 마지막 날의
 근무종료시간 이후에도 초과근무를 명할 수 없도록 규정되어 있습니
 다. (휴가는 시간으로 계산하지 않고 일수로 계산하기 때문) 따라서,
 휴가기간의 마지막 날 18시이후 초과근무를 명할 수 없습니다.
 다만, 휴가 마지막 날 자정 이후 초과근무 명령을 받고 근무를 한다면
 해당 근무시간은 초과근무로 인정받을 수 있을 것입니다
 ◦ 「지방공무원 복무 예규」</t>
  </si>
  <si>
    <t>질 문
 � 휴가 마지막 날 18시 이후 초과근무가 가능한지 ?
 답 변
 � 휴가 중인 공무원에 대하여 휴가 기간 중은 물론 휴가 마지막 날의
 근무종료시간 이후에도 초과근무를 명할 수 없도록 규정되어 있습니
 다. (휴가는 시간으로 계산하지 않고 일수로 계산하기 때문) 따라서,
 휴가기간의 마지막 날 18시이후 초과근무를 명할 수 없습니다.
 � 다만, 휴가 마지막 날 자정 이후 초과근무 명령을 받고 근무를 한다면
 해당 근무시간은 초과근무로 인정받을 수 있을 것입니다
 ◦ 「지방공무원 복무 예규」</t>
  </si>
  <si>
    <t>육아휴직수당의 지급 금액은 얼마인가요?</t>
  </si>
  <si>
    <t>육아휴직수당의 지급 금액은 다음과 같습니다.
일반적인 육아휴직수당:
육아휴직 시작일부터 6개월째까지: 육아휴직 시작일 현재 육아휴직 공무원 호봉 기준 월봉급액의 80%에 해당하는 금액을 지급합니다.
다만, 월봉급액의 80%에 해당하는 금액이 150만원을 초과하는 경우에는 150만원을, 70만원 미만일 경우에는 70만원을 지급합니다.
육아휴직 7개월째 이후: 육아휴직 시작일을 기준으로 한 월봉급액의 80%에 해당하는 금액을 지급하며, 이때 월별 상한액은 160만원입니다.
부모가 순차적으로 육아휴직을 하는 경우:
첫 번째 육아휴직자: 일반 육아휴직수당과 동일하게 지급됩니다.
두 번째 육아휴직자(공무원):
육아휴직 시작일부터 6개월째까지: 육아휴직 시작일 현재 육아휴직 공무원 호봉 기준 월봉급액에 해당하는 금액을 지급합니다.
이때 월별 상한액은 1개월째는 200만원, 2개월째는 250만원, 3개월째는 300만원, 4개월째는 350만원, 5개월째는 400만원, 6개월째는 450만원입니다.
육아휴직 7개월째 이후: 육아휴직 시작일을 기준으로 한 월봉급액의 80%에 해당하는 금액을 지급하며, 월별 상한액은 160만원입니다.
부모가 동일한 날짜에 육아휴직을 하는 경우:
수당은 부부 공무원 중 한 명에게만 지급되며, 이를 위해 상대방의 동의서를 첨부하여 신청해야 합니다.
또한, 육아휴직수당은 육아휴직 시작일부터 12개월(최대 1년)까지 지급되며, 지급액은 휴직발령일 또는 시간선택제 전환공무원 지정일을 기준으로 일할 계산하여 지급됩니다.
참고사항:
육아휴직수당은 매년 법령 개정에 따라 변경될 수 있으므로, 최신 정보를 확인하기 위해서는 가장 최근의 관련 지침을 참고하시는 것이 좋습니다.
위의 내용은 일반적인 지침이며, 구체적인 사항은 각 지방자치단체의 예산 편성 운영 기준 및 행정안전부의 지침에 따라 다를 수 있습니다.
더 궁금한 사항이나 추가 정보가 필요하시면 언제든지 말씀해 주세요!</t>
  </si>
  <si>
    <t>ㆍ212_2407_예산담당관_업무매뉴얼_행정안전부_2025년도_지방자치단체_예산편성_운영기준_및_기금운용계획_수립기준.pdf (p.427)
https://busanai.busan.go.kr/download/212_2407_예산담당관_업무매뉴얼_행정안전부_2025년도_지방자치단체_예산편성_운영기준_및_기금운용계획_수립기준.pdf
ㆍ214_2501_예산담당관_업무매뉴얼_행정안전부_지방공무원보수업무_등_처리지침.pdf (p.307)
https://busanai.busan.go.kr/download/214_2501_예산담당관_업무매뉴얼_행정안전부_지방공무원보수업무_등_처리지침.pdf
ㆍ210_2307_예산담당관_업무매뉴얼_행정안전부_2024년도_지방자치단체_예산편성_운영기준_및_기금운용계획_수립기준.pdf (p.441)
https://busanai.busan.go.kr/download/210_2307_예산담당관_업무매뉴얼_행정안전부_2024년도_지방자치단체_예산편성_운영기준_및_기금운용계획_수립기준.pdf</t>
  </si>
  <si>
    <r>
      <rPr>
        <rFont val="Malgun Gothic"/>
        <color theme="1"/>
        <sz val="11.0"/>
      </rPr>
      <t xml:space="preserve">관련 자료 업데이트가 되어 있어서 근거자료에서 오류가 있습니다.
그래서 생성된 내용도 오류가 있습니다.
인사과에서 제공한 자료를 기준으로 하되 추후 근거 자료가 업데이트 되면
최신 자료를 기준으로 해야할거 같은데 
해당 자료의 최신 버전 구분이 필요할것 같습니다.
관련 근거 : 인사과 자주찾는 질문
기대답변 : 
 - 30일 이상 휴직한 공무원의 육아휴직수당은 육아휴직 시작일부터 6개
월째까지는 월봉급액에 해당하는 금액으로 지급하고, 7개월째 이후는
월봉급액의 80퍼센트에 해당하는 금액으로 지급합니다.
(육아휴직 시작일부터 3개월째까지는 최대 250만원, 4개월째부터 6개월
째까지는 최대 200만원, 7개월째 이후는 최대 160만원)
다만, 같은 자녀에 대하여 부모가 모두 육아휴직을 한 경우로서 두 번째
육아휴직을 한 공무원의 경우, 육아휴직 시작일부터 6개월째까지는 월봉급
액에 해당하는 금액을 지급합니다.
(2개월째까지는 최대 250만원, 3개월째는 최대 300만원, 4개월째는 최대 350만원,
5개월째는 최대 400만원, 6개월째는 최대 450만원)
한부모가족지원법에 따른 모 또는 부인 공무원은 육아휴직 시작일부터
3개월째까지는 월봉금액에 해당하는 금액을 지급합니다.(최대 300만원)
</t>
    </r>
    <r>
      <rPr>
        <rFont val="Segoe UI Symbol"/>
        <color theme="1"/>
        <sz val="11.0"/>
      </rPr>
      <t>◦</t>
    </r>
    <r>
      <rPr>
        <rFont val="맑은 고딕"/>
        <color theme="1"/>
        <sz val="11.0"/>
      </rPr>
      <t xml:space="preserve"> 지방공무원 수당 등에 관한 규정 제11조의2</t>
    </r>
  </si>
  <si>
    <t>- 30일 이상 휴직한 공무원의 육아휴직수당은 육아휴직 시작일부터 6개
 월째까지는 월봉급액에 해당하는 금액으로 지급하고, 7개월째 이후는
 월봉급액의 80퍼센트에 해당하는 금액으로 지급합니다.
 (육아휴직 시작일부터 3개월째까지는 최대 250만원, 4개월째부터 6개월
 째까지는 최대 200만원, 7개월째 이후는 최대 160만원)
 다만, 같은 자녀에 대하여 부모가 모두 육아휴직을 한 경우로서 두 번째
 육아휴직을 한 공무원의 경우, 육아휴직 시작일부터 6개월째까지는 월봉급
 액에 해당하는 금액을 지급합니다.
 (2개월째까지는 최대 250만원, 3개월째는 최대 300만원, 4개월째는 최대 350만원,
 5개월째는 최대 400만원, 6개월째는 최대 450만원)
 한부모가족지원법에 따른 모 또는 부인 공무원은 육아휴직 시작일부터
 3개월째까지는 월봉금액에 해당하는 금액을 지급합니다.(최대 300만원)
 ◦ 지방공무원 수당 등에 관한 규정 제11조의2</t>
  </si>
  <si>
    <t>21</t>
  </si>
  <si>
    <t>질 문
 ◦ 육아휴직수당의 지급 금액은 얼마인가요?
 답 변
 � 30일 이상 휴직한 공무원의 육아휴직수당은 육아휴직 시작일부터 6개
 월째까지는 월봉급액에 해당하는 금액으로 지급하고, 7개월째 이후는
 월봉급액의 80퍼센트에 해당하는 금액으로 지급합니다.
 (육아휴직 시작일부터 3개월째까지는 최대 250만원, 4개월째부터 6개월
 째까지는 최대 200만원, 7개월째 이후는 최대 160만원)
 다만, 같은 자녀에 대하여 부모가 모두 육아휴직을 한 경우로서 두 번째
 육아휴직을 한 공무원의 경우, 육아휴직 시작일부터 6개월째까지는 월봉급
 액에 해당하는 금액을 지급합니다.
 (2개월째까지는 최대 250만원, 3개월째는 최대 300만원, 4개월째는 최대 350만원,
 5개월째는 최대 400만원, 6개월째는 최대 450만원)
 한부모가족지원법에 따른 모 또는 부인 공무원은 육아휴직 시작일부터
 3개월째까지는 월봉금액에 해당하는 금액을 지급합니다.(최대 300만원)
 ◦ 지방공무원 수당 등에 관한 규정 제11조의2</t>
  </si>
  <si>
    <t>214_2501_예산담당관_ 업무매뉴얼_행정안전부_지방공무원보수업무 등 처리지침
------
[307page]
나. 지급액
1) 육아휴직기간 중 지급액
가) 육아휴직 시작일부터 6개월째까지는 육아휴직 시작일 현재 육아휴직 공무원
호봉 기준 월봉급액[성과급적 연봉제 적용대상 공무원은 성과연봉을 제외한
연봉월액의 78%(성과급적 연봉제 대상자 중 기본연봉에 관리업무수당에
해당하는 금액이 포함되지 않은 공무원&lt;‘제5장-Ⅵ-4-가’ 참조&gt;은 84%)]에
해당하는 금액을 지급하고, 육아휴직 7개월째 이후는 육아휴직 시작일을
기준으로 한 월봉급액의 80퍼센트에 해당하는 금액을 지급한다. 이 경우
육아휴직수당의 월별 지급액의 상한액은 다음의 구분에 따라 산정하되,
월별 지급액이 70만원 미만일 경우에는 70만원을 지급한다.
․ 육아휴직 시작일부터 3개월째까지 : 250만원
․ 육아휴직 4개월째부터 6개월째까지 : 200만원
․ 육아휴직 7개월째 이후 : 160만원
나) 같은 자녀에 대하여 부모가 순차적으로 육아휴직을 하여 두 번째 육아휴직을 한
사람이 공무원인 경우 육아휴직수당은 다음의 구분에 따른다.
․ 육아휴직 시작일부터 6개월째까지 : 육아휴직 시작일을 기준으로 한
월봉급액에 해당하는 금액. 이 경우 월별 상한액은 2개월째까지는
250만원, 3개월째는 300만원, 4개월째는 350만원, 5개월째는 400만원,
6개월째는 450만원으로 한다.
․ 육아휴직 7개월째 이후 : 육아휴직 시작일을 기준으로 한 월봉급액의
80퍼센트에 해당하는 금액. 이 경우 월별 상한액은 160만원으로 한다.
다) 부모가 같은 날에 육아휴직을 한 경우에는, 나)의 수당은 부부공무원 중 신청한
1인에게만 지급한다. 따라서 부부 공무원의 경우 누가 수당을 받을 것인지를
결정하여 상대방의 동의서를 첨부하여 신청하여야 한다.
* 나)의 수당을 수령하고자 하는 자는 배우자가 같은 자녀에 대해 육아휴직을 한 사실을
증빙하여야 하므로, 배우자가 공무원인 경우 (육아)휴직증명서, 인사발령(휴직)통지서 등
공문, 공무원이 아닌 경우 「남녀고용평등과 일·가정 양립 지원에 관한 법률」에 따른
육아휴직에 대하여 사업장에서 발행한 육아휴직 확인서 또는 관할 고용복지센터에서
발급한 육아휴직을 입증하는 서류 등을 소속기관장에게 제출하여 신청(육아휴직 기간
및 대상자녀가 기재된 것이어야 함)</t>
  </si>
  <si>
    <t>가족수당의 지급 금액은 어떻게 되나요?</t>
  </si>
  <si>
    <t>가족수당은 지방공무원 수당 등에 관한 규정에 따라 지급되며, 그 금액은 다음과 같습니다:
배우자: 월 40,000원
자녀:
첫째 자녀: 월 30,000원
둘째 자녀: 월 70,000원
셋째 이후 자녀: 월 110,000원
기타 부양가족(직계존속 등): 월 20,000원
또한, 가족수당 지급을 위한 부양가족 수는 배우자를 포함하여 최대 4인이며, 자녀의 경우에는 부양가족 수가 4인을 초과해도 가족수당을 받을 수 있습니다.
이러한 내용은 문서들에서 확인할 수 있으며, 예를 들어 "2025년 가족사업안내"에서는 가족수당에 대한 자세한 규정을 제공하고 있습니다. 이를 통해 정확한 가족수당 지급 금액과 조건을 알 수 있습니다. 더 궁금한 점이 있으면 언제든지 물어보세요!</t>
  </si>
  <si>
    <t>ㆍ241_2025_인구정책담당관_업무매뉴얼_여성가족부_2025년_가족사업안내_1권.pdf (p.393)
https://busanai.busan.go.kr/download/241_2025_인구정책담당관_업무매뉴얼_여성가족부_2025년_가족사업안내_1권.pdf
ㆍ212_2407_예산담당관_업무매뉴얼_행정안전부_2025년도_지방자치단체_예산편성_운영기준_및_기금운용계획_수립기준.pdf (p.426)
https://busanai.busan.go.kr/download/212_2407_예산담당관_업무매뉴얼_행정안전부_2025년도_지방자치단체_예산편성_운영기준_및_기금운용계획_수립기준.pdf
ㆍ210_2307_예산담당관_업무매뉴얼_행정안전부_2024년도_지방자치단체_예산편성_운영기준_및_기금운용계획_수립기준.pdf (p.440)
https://busanai.busan.go.kr/download/210_2307_예산담당관_업무매뉴얼_행정안전부_2024년도_지방자치단체_예산편성_운영기준_및_기금운용계획_수립기준.pdf</t>
  </si>
  <si>
    <r>
      <rPr>
        <rFont val="Malgun Gothic"/>
        <color theme="1"/>
        <sz val="11.0"/>
      </rPr>
      <t xml:space="preserve">해당 내용도 위와 마찬가지입니다
관련 근거 : 인사과 자주 찾는 질문
기대답변 : 
가족수당은 배우자는 월 4만원, 자녀는 5~12만원,
배우자와 자녀를 제외한 부양가족은 월 2만원입니다.
</t>
    </r>
    <r>
      <rPr>
        <rFont val="Segoe UI Symbol"/>
        <color theme="1"/>
        <sz val="11.0"/>
      </rPr>
      <t>◦</t>
    </r>
    <r>
      <rPr>
        <rFont val="맑은 고딕"/>
        <color theme="1"/>
        <sz val="11.0"/>
      </rPr>
      <t xml:space="preserve"> 지방공무원 수당 등에 관한 규정 제10조</t>
    </r>
  </si>
  <si>
    <t>가족수당은 배우자는 월 4만원, 자녀는 5~12만원,
 배우자와 자녀를 제외한 부양가족은 월 2만원입니다.
 ◦ 지방공무원 수당 등에 관한 규정 제10조</t>
  </si>
  <si>
    <t>질 문
 ◦ 가족수당의 지급 금액은 어떻게 되나요?
 답 변
 � 가족수당은 배우자는 월 4만원, 자녀는 5~12만원,
 배우자와 자녀를 제외한 부양가족은 월 2만원입니다.
 ◦ 지방공무원 수당 등에 관한 규정 제10조</t>
  </si>
  <si>
    <t>214_2501_예산담당관_ 업무매뉴얼_행정안전부_지방공무원보수업무 등 처리지침
------
[295page]
다. 지급액
1) 배우자 : 월 40,000원
2) 배우자 및 자녀를 제외한 부양가족(직계존속･비속 등) : 1명당 월 20,000원
3) 자녀
가) 첫째 자녀 : 월 50,000원
나) 둘째 자녀 : 월 80,000원
다) 셋째 이후 자녀 : 월 120,000원
라) “셋째 이후 자녀”란 해당 공무원의 자녀 중 셋째 이후 자녀로서 가족수당
대상자(만 19세 미만)에 해당된 자녀이며, 가족관계증명서 등을 통해 셋째
이후 자녀임을 확인해야 함.</t>
  </si>
  <si>
    <t>복지포인트 영수증 승인 건에 대한 처리(환급 포함) 시기는?</t>
  </si>
  <si>
    <t>안녕하세요! 제가 이해하기로는, 질문하신 내용은 "복지포인트 영수증 승인 건에 대한 처리(환급 포함) 시기"를 알고 싶으신 것 같습니다.
하지만 현재 제공해주신 문서에는 해당 내용에 대한 구체적인 정보가 포함되어 있지 않습니다. 일반적으로 이러한 세부 사항은 기관의 내부 규정이나 지침에서 확인할 수 있습니다.
따라서 정확한 답변을 드리기 위해서는 다음과 같은 추가적인 정보가 필요합니다:
기관의 공식 홈페이지나 공지사항 확인: 부산광역시청의 인사과 또는 관련 부서의 웹사이트에서 최신 안내 사항을 찾아보실 수 있습니다.
담당 부서 문의: 직접 인사과나 복지 담당 부서에 연락하여 문의하시면 가장 정확하고 신속한 정보를 얻으실 수 있습니다.
관련 법령 및 조례 검토: 「부산광역시 공무원 후생복지에 관한 조례」 등의 법적 근거를 통해 필요한 절차를 파악하실 수 있습니다.
제가 도와드릴 수 있는 부분이 있다면 언제든지 말씀해 주세요. 다른 궁금한 점이나 도움이 필요하시면 알려주세요!</t>
  </si>
  <si>
    <t>ㆍ290_2501_인사과_기타_인사과_2025년도_부산광역시_맞춤형복지제도_운영계획.pdf (p.1)
https://busanai.busan.go.kr/download/290_2501_인사과_기타_인사과_2025년도_부산광역시_맞춤형복지제도_운영계획.pdf</t>
  </si>
  <si>
    <t>관련근거: 인사과 자주 찾는 질문
기대답변 :
승인처리 후 익월 결제대금에서 차감되거나, 결제할 대금이 없으면
환급되며, 카드결제대금일은 개인마다 다르기 때문에 추가 문의사항
있으시면 베네피아 고객센터(☏1566-9955)로 문의해 주시기 바랍니다.</t>
  </si>
  <si>
    <t>승인처리 후 익월 결제대금에서 차감되거나, 결제할 대금이 없으면
 환급되며, 카드결제대금일은 개인마다 다르기 때문에 추가 문의사항
 있으시면 베네피아 고객센터(☏1566-9955)로 문의해 주시기 바랍니다.</t>
  </si>
  <si>
    <t>질 문
 � 복지포인트 영수증 승인 건에 대한 처리(환급 포함) 시기는?
 답 변
 � 승인처리 후 익월 결제대금에서 차감되거나, 결제할 대금이 없으면
 환급되며, 카드결제대금일은 개인마다 다르기 때문에 추가 문의사항
 있으시면 베네피아 고객센터(☏1566-9955)로 문의해 주시기 바랍니다.</t>
  </si>
  <si>
    <t>공무직 직원이 휴직하였는데, 기간제 승인을 받을 수 있나요?</t>
  </si>
  <si>
    <t>네, 공무직 직원이 휴직한 경우에도 일정한 조건 하에 기간제 승인을 받아 대체인력을 채용할 수 있습니다. 이는 '부산광역시 공무직 및 기간제노동자 인사관리 규정’에 따라 이루어집니다.
관련 규정 내용:
제19조(휴직자의 결원 보충):
공무직 직원이 휴직 등으로 결원이 발생한 경우, 그 업무를 원활히 수행하기 위해 필요하면 기간제노동자로 대체할 수 있습니다.
이때, 대체 기간은 휴직자의 휴직 기간에 한정되며, 최대 1년을 초과할 수 없습니다.
절차:
대체 필요성 검토: 관리부서의 장은 휴직으로 인한 업무 공백을 최소화하기 위해 기간제노동자 채용의 필요성을 판단해야 합니다.
인사위원회 심의: 기간제노동자 채용이 필요하다고 판단되면, 인사위원회의 심의를 거쳐 승인 절차를 진행합니다.
채용 절차 진행: 승인이 완료되면, 관련 규정에 따라 기간제노동자를 공개모집하거나 추천받아 채용합니다.
주의 사항:
기간 제한: 기간제노동자의 근무 기간은 휴직자의 휴직 기간을 초과할 수 없으며, 최대 1년까지 가능합니다.
업무 연속성 확보: 기간제노동자는 휴직 중인 공무직 직원과 동일한 업무를 수행하며, 전문성이 요구되지 않는 단순 업무여야 합니다.
재고용 제한: 기간제노동자는 원칙적으로 동일 업무에 대해 재고용될 수 없으나, 예외적인 경우에 한해 인사위원회의 승인을 받아 연장 가능할 수 있습니다.
결론적으로, 공무직 직원이 휴직 중일 때 업무 공백이 발생한다면, 위의 절차를 통해 기간제 승인을 받아 대체인력을 채용할 수 있습니다. 이를 통해 조직의 업무 효율성을 유지하고 시민들에게 안정적인 서비스를 제공할 수 있게 됩니다. 더 자세한 사항은 '부산광역시 공무직 및 기간제노동자 인사관리 규정’을 참고하시거나, 인사부서에 문의하시면 정확한 안내를 받으실 수 있습니다. 도움이 되셨길 바랍니다!</t>
  </si>
  <si>
    <t>ㆍ747_페이지75_문서7_163334_부산광역시_공무직_및_기간제노동자_인사관리_규정.pdf (p.1)
https://busanai.busan.go.kr/download/747_페이지75_문서7_163334_부산광역시_공무직_및_기간제노동자_인사관리_규정.pdf</t>
  </si>
  <si>
    <r>
      <rPr>
        <rFont val="Malgun Gothic"/>
        <color theme="1"/>
        <sz val="11.0"/>
      </rPr>
      <t xml:space="preserve">관련 근거는 맞습니다만 내용이 오류입니다.
제19조가 아니고 제11조입니다. 
그리고 대체 기간에서 최대 1년이 어디에서 나왔는지 모르겠습니다.
최대 1년이라는 내용도 위 아래 중복됩니다.
인사위원회의 경우에도 규정에는 공무직 관련 내용인데
생성된 내용에는 기간제 채용에 필요하다고 되어 있습니다.
관련 근거 : 인사과 자주 찾는 질문
기대답변 : 
공무직 휴직 공무직 대체 기간제(구: 처우개선기간제)에 대한 승인 요건은
다음과 같습니다.
- 출산휴가와 육아휴직, 질병휴직, 간병휴직으로 3개월 이상 결원이 발
생한 경우
</t>
    </r>
    <r>
      <rPr>
        <rFont val="Segoe UI Symbol"/>
        <color theme="1"/>
        <sz val="11.0"/>
      </rPr>
      <t>◦</t>
    </r>
    <r>
      <rPr>
        <rFont val="맑은 고딕"/>
        <color theme="1"/>
        <sz val="11.0"/>
      </rPr>
      <t xml:space="preserve"> 「부산광역시 공무직 및 기간제노동자 인사관리 규정」 제11조</t>
    </r>
  </si>
  <si>
    <t>공무직 휴직 공무직 대체 기간제(구: 처우개선기간제)에 대한 승인 요건은
 다음과 같습니다.
 - 출산휴가와 육아휴직, 질병휴직, 간병휴직으로 3개월 이상 결원이 발
 생한 경우
 ◦ 「부산광역시 공무직 및 기간제노동자 인사관리 규정」 제11조</t>
  </si>
  <si>
    <t>747_페이지75_문서7_163334_부산광역시_공무직_및_기간제노동자_인사관리_규정.pdf</t>
  </si>
  <si>
    <t>[p.2] ~ [p.3]
 제11조(기간제노동자의 근무기간 설정) ① 관리부서의 장은 기간제노동자를 근무하게 하는 경우에 매 회계연도 예산의 범위에서 업 무목적에 맞는 근로계약기간을 설정하여야 한다. 이 경우 계속 근무한 총 기간이 2년을 초과하여서는 아니 된다.
 ② 관리부서의 장은 공무원 및 공무직·청원경찰·기간제노동자가 출산휴가와 육아휴직, 질병휴직, 간병휴직으로 3개월 이상 결원이 발생하면 해당 직원이 복귀할 때까지 기간제노동자를 대체인력으로 근무하게 할 수 있다. 이 경우 대체인력의 근무기간은 해당 직 원의 휴가·휴직 등의 기간을 초과할 수 없다.
 ③ 관리부서의 장은 인사부서의 장과 협의하여 제2항의 대체인력을 채용하여야 하며, 소방재난본부·상수도사업본부의 경우에는 자 체예산을 편성하여 대체인력을 채용하여야 한다.④ 관리부서의 장은 제1항의 근로계약기간이 만료되는 경우에 원칙적으로 근로관계를 종료하여야 하며, 불가피하게 근로관계를 연 장할 필요가 있는 경우에는 관리부서의 장이 그 사유를 명시하여 예산부서의 장 및 인사부서의 장과 협의하여야 한다.
 ⑤ 제1항도 불구하고 관리부서의 장은 국가의 고용정책이나 그 밖에 관련 법률의 제·개정 등으로 인해 특히 필요하다고 인정하는 경우 인사부서의 장과 협의하여 기간제노동자의 근무기간을 달리 정할 수 있다.</t>
  </si>
  <si>
    <t>공무직 직원 휴직시 기간제 승인 확인 여부에 대한 설명</t>
  </si>
  <si>
    <t>예산 통계목별 꼭 거쳐야 하는 예산 사전절차는 어떤것들이 있으며, 그 사전절차 과정은 어떻게 되나요?</t>
  </si>
  <si>
    <t>예산 통계목별로 꼭 거쳐야 하는 예산 사전절차와 그 절차 과정에 대해 설명드리겠습니다.
1. 민간이전(307)
필요한 사전절차:
민간위탁 관리위원회 심의
의회 동의
예산안 의결
절차 과정:
원가 계산: 예산 편성 전에 정확한 원가를 계산하여 비용을 산정합니다.
민간위탁 관리위원회 심의: 민간위탁 대상 사업에 대해 내부 심의를 거칩니다.
의회 동의 요청: 심의 결과를 바탕으로 의회에 동의를 구합니다.
예산안 작성 및 의결: 의회의 동의를 받아 예산안을 최종 확정합니다.
2. 민간자본이전(402)
필요한 사전절차:
민간위탁 관리위원회 심의
의회 동의
예산안 의결
절차 과정:
원가 계산: 마찬가지로 예산 편성 전에 원가를 정확히 산정합니다.
민간위탁 관리위원회 심의: 민간위탁 대상 사업에 대한 내부 심의를 실시합니다.
의회 동의 요청: 심의 결과를 토대로 의회에 동의를 요청합니다.
예산안 작성 및 의결: 의회의 동의를 얻어 예산안을 확정합니다.
주의 사항
법령 준수: 보조금으로 지원해야 할 사무를 민간위탁금이나 민간위탁사업비로 편성하면 안 됩니다.
공공기관과의 구분: 공공기관운영법상의 공공기관이나 지방공기업법에 따른 공사·공단, 지방출자출연법에 따른 출자·출연 기관에 위탁하는 경우 민간위탁금이 아닌 다른 방식으로 처리해야 합니다.
관련 규정
지방자치단체 예산편성 운영기준 (행정안전부):
민간이전(307):
민간인에게 위탁관리시키는 사업 중 기금 성격의 사업비를 의미하며, 사업이 종료되면 전액이 국고나 지방비로 회수 가능합니다.
민간자본이전(402):
자치단체가 직접 추진해야 할 사업을 법령에 의해 민간에 위임하거나 위탁, 대행시킬 때 사용하는 자본 형성적 경비를 말합니다.
이러한 절차를 통해 예산의 투명성과 효율성을 높이고, 법적 요건을 충족시켜 적절한 예산 편성이 이루어집니다. 추가적인 질문이나 궁금한 점이 있으시면 언제든지 말씀해 주세요!</t>
  </si>
  <si>
    <t>ㆍ326_2501_재정협력담당관_업무매뉴얼_재정협력담당관_민간위탁업무지침.pdf (p.22)
https://busanai.busan.go.kr/download/326_2501_재정협력담당관_업무매뉴얼_재정협력담당관_민간위탁업무지침.pdf
ㆍ208_2107_예산담당관_업무매뉴얼_행정안전부_2022년도_지방자치단체_예산편성_운영기준_및_기금운용계획_수립기준.pdf (p.365)
https://busanai.busan.go.kr/download/208_2107_예산담당관_업무매뉴얼_행정안전부_2022년도_지방자치단체_예산편성_운영기준_및_기금운용계획_수립기준.pdf
ㆍ209_2207_예산담당관_업무매뉴얼_행정안전부_2023년도_지방자치단체_예산편성_운영기준_및_기금운용계획_수립기준.pdf (p.366)
https://busanai.busan.go.kr/download/209_2207_예산담당관_업무매뉴얼_행정안전부_2023년도_지방자치단체_예산편성_운영기준_및_기금운용계획_수립기준.pdf</t>
  </si>
  <si>
    <r>
      <rPr>
        <rFont val="Malgun Gothic"/>
        <color theme="1"/>
        <sz val="11.0"/>
      </rPr>
      <t>민간위탁 근거 오류입니다.
그리고 업무매뉴얼의 경우 23년도와 22년도 자료가 나오는것도 오류입니다.
해당 내용으로 생성된 내용도 오류입니다.
관련근거 : 2025년 예산편성계획 (예산담당관 제출)
기대답변은 36P의 3. 세출예산 절차별 이행사항 &gt; 미 이행시 편성 불가
표 내용을 써주시면 됩니다. 표로 표현 불가능하면 그냥 내용으로 표현
예)
1. 신규사업 사전심사 총사업비 관리제
 ∙ 신규사업 : 시비 1억원 초과 신규사업(월 1회, 수시)
   ※ 신규 센터 설치시 금액불문 사전심사 이행 필요
 ∙ 총사업비관리 : 총사업비 50억원이상, 사업기간 2년이상 건설</t>
    </r>
    <r>
      <rPr>
        <rFont val="Tahoma"/>
        <color theme="1"/>
        <sz val="11.0"/>
      </rPr>
      <t>․</t>
    </r>
    <r>
      <rPr>
        <rFont val="맑은 고딕"/>
        <color theme="1"/>
        <sz val="11.0"/>
      </rPr>
      <t>정보화사업</t>
    </r>
  </si>
  <si>
    <t>일상경비 감사에서 가장 많이 지적되는 사항은 어떤것들이 있으며, 해당 케이스는 어떻게 처리해야 원칙적으로 처리되는 것인가요?</t>
  </si>
  <si>
    <r>
      <rPr>
        <rFont val="Malgun Gothic"/>
        <color theme="1"/>
        <sz val="11.0"/>
      </rPr>
      <t xml:space="preserve">관련근거 : 미제출한 일상경비 감사 전달사항 파일로 기대답변 생성했습니다.
기대답변 :
1. 물품검수조서 미작성
 </t>
    </r>
    <r>
      <rPr>
        <rFont val="Segoe UI Symbol"/>
        <color theme="1"/>
        <sz val="11.0"/>
      </rPr>
      <t>▢</t>
    </r>
    <r>
      <rPr>
        <rFont val="맑은 고딕"/>
        <color theme="1"/>
        <sz val="11.0"/>
      </rPr>
      <t xml:space="preserve"> 관련규정
 ○ 검사·검수조서의 작성
 - 물품의 검수·검사는 「부산광역시 공유재산 및 물품 관리 조례 시행규칙」 별지 제38호서식(물품검사서)과 별지 제39호서식(물품검수조서)에 따름
 - 계약서의 작성을 생략하는 경우 검수조서 작성을 생략할 수 있고(검사를 생략하는 것은 아님), 물품 구입 지출결의서의 확인자란에 분임물품출납원이 날인함으로써 이를 갈음할 수 있음
- 납품한 물품에 대하여 검수완료 한 날짜를 기재하며, 납품업체가 물품을 납품하고 대금지급을 요청받은 날부터 14일 이내에 검수 완료
☞ 부산광역시 회계 및 계약사무 처리지침 제12조(물품의 납품 등) 제4호
○ 물품의 매입 등 그 밖의 검사 또는 검수는 물품출납원(분임물품출납원이 있는 경우에는 분임물품출납원)이 행함 ☞ 부산광역시 공유재산 및 물품 관리 조례 제 72조(검수)
 </t>
    </r>
    <r>
      <rPr>
        <rFont val="Segoe UI Symbol"/>
        <color theme="1"/>
        <sz val="11.0"/>
      </rPr>
      <t>▢</t>
    </r>
    <r>
      <rPr>
        <rFont val="맑은 고딕"/>
        <color theme="1"/>
        <sz val="11.0"/>
      </rPr>
      <t xml:space="preserve"> 지적사례
 - 000부서는 ‘응급의료위원회 위촉장 제작’건으로 물품 구입 시 물품검수조서를 작성하지 않음
※ 모든 물품은 검수자(물품출납원)가 검수하여야 함. 
   소액인 경우, 물품검수조서 첨부 대신 e호조의 검사(수)결재 기능 적극 활용
2. 업무추진비 용도 외 사용
 </t>
    </r>
    <r>
      <rPr>
        <rFont val="Segoe UI Symbol"/>
        <color theme="1"/>
        <sz val="11.0"/>
      </rPr>
      <t>▢</t>
    </r>
    <r>
      <rPr>
        <rFont val="맑은 고딕"/>
        <color theme="1"/>
        <sz val="11.0"/>
      </rPr>
      <t xml:space="preserve"> 관련 규정
  ▷ 업무추진비 구분
   ① 기관운영업무추진비, 시책업무추진비
    - 불우소외계층에 대한 봉사활동에 종사하는 자(개인</t>
    </r>
    <r>
      <rPr>
        <rFont val="Tahoma"/>
        <color theme="1"/>
        <sz val="11.0"/>
      </rPr>
      <t>‧</t>
    </r>
    <r>
      <rPr>
        <rFont val="맑은 고딕"/>
        <color theme="1"/>
        <sz val="11.0"/>
      </rPr>
      <t>단체</t>
    </r>
    <r>
      <rPr>
        <rFont val="Tahoma"/>
        <color theme="1"/>
        <sz val="11.0"/>
      </rPr>
      <t>‧</t>
    </r>
    <r>
      <rPr>
        <rFont val="맑은 고딕"/>
        <color theme="1"/>
        <sz val="11.0"/>
      </rPr>
      <t xml:space="preserve">센터)에 대한 격려금품 지급 또는 식사 제공
    - 내방객(일반 민원인 제외) 의례적인 수준의 기념품 지급 등
    - 기관운영업무추진비는 소속 상근직원에게 업무추진에 대한 격려를 위한 격려금품 및 식사 제공
   ※ 축의·부의금품은 기관운영업무추진비에서만 집행
    - 시책추진업무추진비는 사업부서에서 시책사업을 원활하게 추진하기 위한 경비이므로 단순히 자치단체 내부공무원에게만 집행할 수 없는 경우가 대부분임
   ② 부서운영업무추진비
    - 통상적인 실·과·소 조직운영에 소요되는 기본 운영경비임
    - 실과소장의 활동경비로 사용할 수 없음(소속 직원, 전출직원 격려품 불가) - 전체직원의 사기양양 경비이며 소수의 직원 격려를 위해 집행할 수 없음
   ③ 정원가산업무추진비
    - 직원사기진작을 위한 경비로서 동호인 취미클럽, 체육대회, 생일 기념품, 불우공무원 지원 등에 사용
   ☞ </t>
    </r>
    <r>
      <rPr>
        <rFont val="Segoe UI Symbol"/>
        <color theme="1"/>
        <sz val="11.0"/>
      </rPr>
      <t>❶</t>
    </r>
    <r>
      <rPr>
        <rFont val="맑은 고딕"/>
        <color theme="1"/>
        <sz val="11.0"/>
      </rPr>
      <t xml:space="preserve"> 지방자치단체 회계관리에 관한 훈령 【별표2】세출예산 성질별 분류에 대한 집행기준  4. 업무추진비 / </t>
    </r>
    <r>
      <rPr>
        <rFont val="Segoe UI Symbol"/>
        <color theme="1"/>
        <sz val="11.0"/>
      </rPr>
      <t>❷</t>
    </r>
    <r>
      <rPr>
        <rFont val="맑은 고딕"/>
        <color theme="1"/>
        <sz val="11.0"/>
      </rPr>
      <t xml:space="preserve">지방자치단체 업무추진비 집행에 관한 규칙(행정안전부령 제381호, 2023. 3. 3. 일부개정 ) / </t>
    </r>
    <r>
      <rPr>
        <rFont val="Segoe UI Symbol"/>
        <color theme="1"/>
        <sz val="11.0"/>
      </rPr>
      <t>❸</t>
    </r>
    <r>
      <rPr>
        <rFont val="맑은 고딕"/>
        <color theme="1"/>
        <sz val="11.0"/>
      </rPr>
      <t xml:space="preserve">24년도 지방자치단체 예산편성기준 및 기금운용계획 수립 기준,  【별표11】세출예산 성질별 분류 중 업무추진비
 </t>
    </r>
    <r>
      <rPr>
        <rFont val="Segoe UI Symbol"/>
        <color theme="1"/>
        <sz val="11.0"/>
      </rPr>
      <t>▢</t>
    </r>
    <r>
      <rPr>
        <rFont val="맑은 고딕"/>
        <color theme="1"/>
        <sz val="11.0"/>
      </rPr>
      <t xml:space="preserve"> 지적사례
  - 000부서 외 다수부서는 부서운영업무추진비가 부서의 소규모 운영비로 전체 직원을 대상으로 사용해야 할 경비지만 소속 일부 직원 간담회, 수능응시 직원 격려품, 명절 직원 격려품, 불꽃 축제 식대, 사회복지시설 격려품 구매 등으로 관행적으로 적정하지 않은 용도로 집행함
3. 여비 지출서류 증빙자료 미첨부
 </t>
    </r>
    <r>
      <rPr>
        <rFont val="Segoe UI Symbol"/>
        <color theme="1"/>
        <sz val="11.0"/>
      </rPr>
      <t>▢</t>
    </r>
    <r>
      <rPr>
        <rFont val="맑은 고딕"/>
        <color theme="1"/>
        <sz val="11.0"/>
      </rPr>
      <t xml:space="preserve"> 관련 규정
  ○ 회계관계공무원은 국내여비를 집행한 경우 출장 증빙서류를 제출 요구하여야 하며, 출장자가 증빙서류 제출을 거부하는 경우 출장비 반납 요구 가능
   - (숙박비) 세금계산서, 신용카드 매출전표, 현금영수증 / (운임) 철도·버스·비행기·선박 승차권 등
 ※ 증빙자료가 없는 경우 개인카드 사용내역서, 방문기관 등 제공자료, 출장복명서 등
 ☞ 지방자치단체 회계관리에 관한 훈령【별표3】3. 여비 (3-1. 국내여비)
 </t>
    </r>
    <r>
      <rPr>
        <rFont val="Segoe UI Symbol"/>
        <color theme="1"/>
        <sz val="11.0"/>
      </rPr>
      <t>▢</t>
    </r>
    <r>
      <rPr>
        <rFont val="맑은 고딕"/>
        <color theme="1"/>
        <sz val="11.0"/>
      </rPr>
      <t xml:space="preserve"> 지적사례
  - 000부서는 ‘직원 관외출장 여비’ 지급 건으로 e호조 전자결재 시 지출서류 증빙자료(승차권, 숙박비 영수증 등) 미첨부함
  - 000부서는 ‘직원 월액여비’ 지급 건으로 개인별 출장일자, 총 출장시간, 출장지, 관용차량 사용여부 등이 명시된 내역서를 미첨부함</t>
    </r>
  </si>
  <si>
    <t>1. 물품검수조서 미작성
  ▢ 관련규정
  ○ 검사·검수조서의 작성
  - 물품의 검수·검사는 「부산광역시 공유재산 및 물품 관리 조례 시행규칙」 별지 제38호서식(물품검사서)과 별지 제39호서식(물품검수조서)에 따름
  - 계약서의 작성을 생략하는 경우 검수조서 작성을 생략할 수 있고(검사를 생략하는 것은 아님), 물품 구입 지출결의서의 확인자란에 분임물품출납원이 날인함으로써 이를 갈음할 수 있음
 - 납품한 물품에 대하여 검수완료 한 날짜를 기재하며, 납품업체가 물품을 납품하고 대금지급을 요청받은 날부터 14일 이내에 검수 완료
 ☞ 부산광역시 회계 및 계약사무 처리지침 제12조(물품의 납품 등) 제4호
 ○ 물품의 매입 등 그 밖의 검사 또는 검수는 물품출납원(분임물품출납원이 있는 경우에는 분임물품출납원)이 행함 ☞ 부산광역시 공유재산 및 물품 관리 조례 제 72조(검수)
  ▢ 지적사례
  - 000부서는 ‘응급의료위원회 위촉장 제작’건으로 물품 구입 시 물품검수조서를 작성하지 않음
 ※ 모든 물품은 검수자(물품출납원)가 검수하여야 함. 
  소액인 경우, 물품검수조서 첨부 대신 e호조의 검사(수)결재 기능 적극 활용
 2. 업무추진비 용도 외 사용
  ▢ 관련 규정
  ▷ 업무추진비 구분
  ① 기관운영업무추진비, 시책업무추진비
  - 불우소외계층에 대한 봉사활동에 종사하는 자(개인‧단체‧센터)에 대한 격려금품 지급 또는 식사 제공
  - 내방객(일반 민원인 제외) 의례적인 수준의 기념품 지급 등
  - 기관운영업무추진비는 소속 상근직원에게 업무추진에 대한 격려를 위한 격려금품 및 식사 제공
  ※ 축의·부의금품은 기관운영업무추진비에서만 집행
  - 시책추진업무추진비는 사업부서에서 시책사업을 원활하게 추진하기 위한 경비이므로 단순히 자치단체 내부공무원에게만 집행할 수 없는 경우가 대부분임
  ② 부서운영업무추진비
  - 통상적인 실·과·소 조직운영에 소요되는 기본 운영경비임
  - 실과소장의 활동경비로 사용할 수 없음(소속 직원, 전출직원 격려품 불가) - 전체직원의 사기양양 경비이며 소수의 직원 격려를 위해 집행할 수 없음
  ③ 정원가산업무추진비
  - 직원사기진작을 위한 경비로서 동호인 취미클럽, 체육대회, 생일 기념품, 불우공무원 지원 등에 사용
  ☞ ❶ 지방자치단체 회계관리에 관한 훈령 【별표2】세출예산 성질별 분류에 대한 집행기준 4. 업무추진비 / ❷지방자치단체 업무추진비 집행에 관한 규칙(행정안전부령 제381호, 2023. 3. 3. 일부개정 ) / ❸24년도 지방자치단체 예산편성기준 및 기금운용계획 수립 기준, 【별표11】세출예산 성질별 분류 중 업무추진비
  ▢ 지적사례
  - 000부서 외 다수부서는 부서운영업무추진비가 부서의 소규모 운영비로 전체 직원을 대상으로 사용해야 할 경비지만 소속 일부 직원 간담회, 수능응시 직원 격려품, 명절 직원 격려품, 불꽃 축제 식대, 사회복지시설 격려품 구매 등으로 관행적으로 적정하지 않은 용도로 집행함
 3. 여비 지출서류 증빙자료 미첨부
  ▢ 관련 규정
  ○ 회계관계공무원은 국내여비를 집행한 경우 출장 증빙서류를 제출 요구하여야 하며, 출장자가 증빙서류 제출을 거부하는 경우 출장비 반납 요구 가능
  - (숙박비) 세금계산서, 신용카드 매출전표, 현금영수증 / (운임) 철도·버스·비행기·선박 승차권 등
  ※ 증빙자료가 없는 경우 개인카드 사용내역서, 방문기관 등 제공자료, 출장복명서 등
  ☞ 지방자치단체 회계관리에 관한 훈령【별표3】3. 여비 (3-1. 국내여비)
  ▢ 지적사례
  - 000부서는 ‘직원 관외출장 여비’ 지급 건으로 e호조 전자결재 시 지출서류 증빙자료(승차권, 숙박비 영수증 등) 미첨부함
  - 000부서는 ‘직원 월액여비’ 지급 건으로 개인별 출장일자, 총 출장시간, 출장지, 관용차량 사용여부 등이 명시된 내역서를 미첨부함</t>
  </si>
  <si>
    <t>1244_일상경비_감사_전달사항.pdf</t>
  </si>
  <si>
    <t>1. 물품검수조서 미작성
 ▢ 관련규정
 ○ 검사·검수조서의 작성
 - 물품의 검수·검사는 「부산광역시 공유재산 및 물품 관리 조례 시행규칙」 별지 제38호서식(물품검사서)과 별지 제39호서식(물품검수조서)에 따름
 - 계약서의 작성을 생략하는 경우 검수조서 작성을 생략할 수 있고(검사를 생략하는 것은 아님), 물품 구입 지출결의서의 확인자란에 분임물품출납원이 날인함으로써 이를
 갈음할 수 있음
 - 납품한 물품에 대하여 검수완료 한 날짜를 기재하며, 납품업체가 물품을 납품하고 대금지급을 요청받은 날부터 14일 이내에 검수 완료
 ☞ 부산광역시 회계 및 계약사무 처리지침 제12조(물품의 납품 등) 제4호
 ○ 물품의 매입 등 그 밖의 검사 또는 검수는 물품출납원(분임물품출납원이 있는 경우에는 분임물품출납원)이 행함 ☞ 부산광역시 공유재산 및 물품 관리 조례 제 72조(검수)
 ▢ 지적사례
 - 000부서는 ‘응급의료위원회 위촉장 제작’건으로 물품 구입 시 물품검수조서를 작성하지 않음※ 모든 물품은 검수자(물품출납원)가 검수하여야 함.
  소액인 경우, 물품검수조서 첨부 대신 e호조의 검사(수)결재 기능 적극 활용
 2. 업무추진비 용도 외 사용
 ▢ 관련 규정
  ▷ 업무추진비 구분
  ① 기관운영업무추진비, 시책업무추진비
  - 불우소외계층에 대한 봉사활동에 종사하는 자(개인‧단체‧센터)에 대한 격려금품
 지급 또는 식사 제공
  - 내방객(일반 민원인 제외) 의례적인 수준의 기념품 지급 등
  - 기관운영업무추진비는 소속 상근직원에게 업무추진에 대한 격려를 위한 격려금품및 식사 제공
  ※ 축의·부의금품은 기관운영업무추진비에서만 집행
  - 시책추진업무추진비는 사업부서에서 시책사업을 원활하게 추진하기 위한 경비이므로단순히 자치단체 내부공무원에게만 집행할 수 없는 경우가 대부분임
  ② 부서운영업무추진비
  - 통상적인 실·과·소 조직운영에 소요되는 기본 운영경비임
  - 실과소장의 활동경비로 사용할 수 없음(소속 직원, 전출직원 격려품 불가) - 전체직원의 사기양양 경비이며 소수의 직원 격려를 위해 집행할 수 없음
  ③ 정원가산업무추진비
  - 직원사기진작을 위한 경비로서 동호인 취미클럽, 체육대회, 생일 기념품, 불우공무원 지원 등에 사용
  ☞ ❶ 지방자치단체 회계관리에 관한 훈령 【별표2】세출예산 성질별 분류에 대한 집행기준 4. 업무추진비 / ❷지방자치단체 업무추진비 집행에 관한 규칙(행정안전부령 제381호, 2023. 3. 3. 일부개정 ) / ❸24년도 지방자치단체 예산편성기준 및
 기금운용계획 수립 기준, 【별표11】세출예산 성질별 분류 중 업무추진비
 ▢ 지적사례
  - 000부서 외 다수부서는 부서운영업무추진비가 부서의 소규모 운영비로 전체 직원을대상으로 사용해야 할 경비지만 소속 일부 직원 간담회, 수능응시 직원 격려품, 명절직원 격려품, 불꽃 축제 식대, 사회복지시설 격려품 구매 등으로 관행적으로 적정하지 않은 용도로 집행함
 3. 여비 지출서류 증빙자료 미첨부
 ▢ 관련 규정
  ○ 회계관계공무원은 국내여비를 집행한 경우 출장 증빙서류를 제출 요구하여야 하며, 출장자가 증빙서류 제출을 거부하는 경우 출장비 반납 요구 가능
  - (숙박비) 세금계산서, 신용카드 매출전표, 현금영수증 / (운임) 철도·버스·비행기·선박
 승차권 등
 ※ 증빙자료가 없는 경우 개인카드 사용내역서, 방문기관 등 제공자료, 출장복명서 등☞ 지방자치단체 회계관리에 관한 훈령【별표3】3. 여비 (3-1. 국내여비)
 ▢ 지적사례
  - 000부서는 ‘직원 관외출장 여비’ 지급 건으로 e호조 전자결재 시 지출서류 증빙자료(승차권, 숙박비 영수증 등) 미첨부함
  - 000부서는 ‘직원 월액여비’ 지급 건으로 개인별 출장일자, 총 출장시간, 출장지, 관용차량 사용여부 등이 명시된 내역서를 미첨부함</t>
  </si>
  <si>
    <t>일상경비 감사 주요 지적 사항 및 원칙적인 처리 방법</t>
  </si>
  <si>
    <t>조달청에서 물품을 구입하려면 어떤 절차를 거쳐야 하며, e호조는 어떤식으로 진행되어야 하나요?</t>
  </si>
  <si>
    <t>조달청에서 물품을 구입하려면 다음과 같은 절차를 거치게 됩니다.
1. 필요 물품 확인 및 예산 확보
먼저 구입하고자 하는 물품의 종류와 수량을 확인하고, 이에 따른 예산을 확보해야 합니다.
2. 조달 요청
내부 절차에 따라 조달 부서에 물품 구입을 요청합니다. 이때 필요한 서류로는 견적서, 비교견적서, 사양서 등이 있습니다.
3. 조달청 등록 및 입찰 공고
조달청은 나라장터(G2B) 시스템을 통해 입찰 공고를 게시합니다. 이 과정에서 물품의 상세 정보와 입찰 조건이 공개됩니다.
4. 입찰 참가 자격 확인
입찰에 참여할 수 있는 업체들은 사전에 자격을 검증받습니다. 이는 신용평가, 실적, 기술력 등을 기반으로 이루어집니다.
5. 입찰 및 낙찰자 선정
입찰에 참여한 업체들 중에서 가장 유리한 조건을 제시한 업체가 낙찰자가 됩니다. 이 과정은 투명하게 진행되며, 공정성을 위해 여러 단계의 심사와 평가를 거칩니다.
6. 계약 체결
낙찰자와 발주처 간에 계약을 체결합니다. 계약서에는 물품의 공급 조건, 가격, 납기일 등이 명시됩니다.
7. 물품 수령 및 검수
계약에 따라 물품이 제공되면, 수령 후 품질을 검사합니다. 이상이 없을 경우 인수증을 발급하고, 문제가 있을 경우 수정이나 교환을 요청합니다.
8. 대금 지급
물품 인수가 완료되면 약정된 대로 대금을 지급합니다. 이 과정에서도 회계 처리가 정확하게 이루어져야 합니다.
e호조와의 연계
e호조(전자회계시스템)는 지방정부의 회계 업무를 전산화한 시스템으로, 지출결의부터 자금 집행까지 모든 과정을 지원합니다. 조달청을 통한 물품 구입 시 e호조를 사용하는 방법은 다음과 같습니다.
1. 지출결의 작성
물품 구입에 대한 지출결의를 작성합니다. 여기에는 구입 목적, 금액, 부서명 등이 포함됩니다.
2. 승인 절차
지출결의서는 상위 결재권자의 승인을 받아야 합니다. 이는 예산 사용의 적절성과 합법성을 보장하기 위함입니다.
3. 거래 내역 입력
승인된 지출결의서를 바탕으로 e호조에 거래 내역을 입력합니다. 이때 세금계산서나 영수증 등의 증빙 자료를 첨부합니다.
4. 자금 이체
e호조를 통해 은행 계좌에서 판매자에게 자금이 이체됩니다. 이 과정은 자동화되어 신속하고 정확하게 처리됩니다.
5. 회계 보고 및 감사
모든 거래 내역은 e호조에 기록되며, 이를 토대로 정기적인 회계 감사가 가능합니다. 이는 재정 운영의 투명성과 책임성을 높입니다.
주의사항
예산 범위 내에서의 지출: 조달청을 통한 물품 구입이라도 예산 범위를 초과하면 안 되므로, 사전에 충분한 예산 검토가 필요합니다.
투명한 절차 준수: 모든 과정은 관련 법규와 지침을 준수하여 진행되어야 하며, 부정이나 비리를 방지하기 위한 철저한 관리가 필요합니다.
증빙 자료 보관: 모든 거래에 대한 증빙 자료는 일정 기간 동안 보관해야 하며, 필요할 때 즉시 확인할 수 있어야 합니다.
결론
조달청을 통한 물품 구입은 효율적인 자원 활용과 비용 절감을 가능하게 하지만, 정확한 절차와 e호조 시스템의 올바른 사용이 중요합니다. 이를 통해 지방정부는 투명하고 신뢰성 있는 회계 관리를 실현할 수 있습니다. 추가적인 도움이 필요하시면 언제든지 말씀해 주세요!</t>
  </si>
  <si>
    <t>ㆍ472_2411_회계재산담당관_업무매뉴얼_한국지방재정공제회_2024년_개정판_물품계약_길라잡이한국지방재정공제회.pdf (p.150)
https://busanai.busan.go.kr/download/472_2411_회계재산담당관_업무매뉴얼_한국지방재정공제회_2024년_개정판_물품계약_길라잡이한국지방재정공제회.pdf</t>
  </si>
  <si>
    <t>e호조(이호조, 지방재정시스템) 사용 매뉴얼에 대한 자료는 없습니다.
해당 질문에 대한 근거문서 150P에 관련 내용이 없는데 
답변이 생성되었습니다.
기대답변 : 
OO에 대한 관련 문서가 없습니다.
자세한 사항은 관련 부서나 업무 담당자에게 문의하시기 바랍니다.</t>
  </si>
  <si>
    <t>기대답변 :
 물품 구입시 조달청 계약 절차 안내드립니다.
 나. 조달계약(｢조달사업에 관한 법률｣제11조~제14조)
 ❍ 제3자를 위한 단가계약
 ∙ 조달청이 각 공공기관에서 공통적으로 필요로 하는 수요물자의 제조･구매 및 가공 등에 대하여 미리 단가를 정해서 계약을 체결하고, 수요기관에서 계약상대자에게 직접 납품을 요구하여 구매하는 제도
 ∙ 조달청은 단가계약만을 체결하고, 공공기관이 계약상대자에게 직접 납품을 요구하거나 대금을 지급하고 납품을 받는 제도
 ❍ 다수공급자 계약(MAS)
 ∙ 조달청이 공공기관이 필요로 하는 수요물자를 구매하기 위하여 품질･성능 또는 효율 등이 같거나 비슷한 종류의 수요물자를 공공기관이 선택할 수 있도록 2인 이상을 계약상대자로 하는 계약제도
 ∙ 공공기관에서는 1회 납품요구대상이 일정금액 이상인 경우 2단계 경쟁을 실시
 ※ 물품계약의 특례사항
 ∙ 물품은｢조달사업에 관한 법률｣제11조에 따라 조달청이 체결한 제3자를 위한 단가계약과 다수공급자 계약에 해당하는 물품의 경우 나라장터 종합쇼핑물을 통해 구매하여야 하며, 미등재 물품은 자체 구매
 ∙ ｢중소기업 구매촉진 및 판로지원에 관한 법률｣제4조 및 제7조에 따라
 - 공공기관의 장은 기획재정부장관이 고시한 금액 미만의 물품 및 용역(중소기업자간 경쟁 제품 제외)에 대하여는 대통령령으로 정하는 바에 따라 중소기업자와 우선적으로 조달계약을 체결하여야 함
 - 공공기관의 장은 중소기업자간 경쟁제품에 대하여는 대통령령으로 정하는 특별한 사유가 없으면 중소기업자만을 대상으로 하는 제한경쟁 또는 중소기업자 중에서 지명경쟁입찰에 따라 조달계약을 체결하여야 함
 e호조(지방재정시스템) 관련 문서가 없습니다. 자세한 사항은 관련 부서나 업무 담당자에게 문의하시기 바랍니다.</t>
  </si>
  <si>
    <r>
      <rPr>
        <rFont val="Malgun Gothic"/>
        <color theme="1"/>
        <sz val="11.0"/>
      </rPr>
      <t xml:space="preserve">조달청에서 공사, 용역, 물품 구입 절차 안내, e호조 
</t>
    </r>
    <r>
      <rPr>
        <rFont val="Malgun Gothic"/>
        <color rgb="FFFF0000"/>
        <sz val="11.0"/>
      </rPr>
      <t>(답을 선택하기 위해 e호조에 대한 내용을 넣었으나, 사실상 e호조에 대한 내용이 없음)</t>
    </r>
  </si>
  <si>
    <t>일상경비로 계약을 하는 경우, 필요한 서류는 어떤것들이 있으며, e호조는 어떻게 진행해야 하나요?</t>
  </si>
  <si>
    <t>기대답변 :
 국내여비
 ○ 숙박비, 운임 등 지급 관련 증빙서류 첨부 여부 
  - (숙박비) 신용카드 매출전표 등 / (운임) 철도, 비행기 승차권 등
 업무추진비
 ○ 업무추진비 집행 시 일시·장소, 집행목적·대상 등을 증빙서류에 기재 여부
  - 건당 50만원 이상 집행 시 주된 상대방 소속(또는 주소) 및 성명 반드시 기재 
 지방자치단체 구매카드
 ○ 신용카드 등 사용 시 e호조에 사용자 실명 기재 여부
  - 현금영수증카드 사용 시 현금영수증에 사용자실명 기재 및 증빙서류로 첨부
 e호조(지방재정시스템)에 대한 관련 문서가 없습니다. 자세한 사항은 관련 부서나 업무 담당자에게 문의하시기 바랍니다.</t>
  </si>
  <si>
    <t>7, 8</t>
  </si>
  <si>
    <t>국내여비
 ○ 숙박비, 운임 등 지급 관련 증빙서류 첨부 여부 
  - (숙박비) 신용카드 매출전표 등 / (운임) 철도, 비행기 승차권 등
 업무추진비
 ○ 업무추진비 집행 시 일시·장소, 집행목적·대상 등을 증빙서류에 기재 여부
  - 건당 50만원 이상 집행 시 주된 상대방 소속(또는 주소) 및 성명 반드시 기재 
 지방자치단체 구매카드
 ○ 신용카드 등 사용 시 e호조에 사용자 실명 기재 여부
  - 현금영수증카드 사용 시 현금영수증에 사용자실명 기재 및 증빙서류로 첨부</t>
  </si>
  <si>
    <t>일상경비 계약 시 필요 서류 목록 안내, e호조를 이용한 일상경비 지출 절차 안내</t>
  </si>
  <si>
    <t>물품 RFID 재발급은 어떻게 해야 하나요?</t>
  </si>
  <si>
    <r>
      <rPr>
        <rFont val="Segoe UI Symbol"/>
        <color theme="1"/>
        <sz val="11.0"/>
      </rPr>
      <t>🚨</t>
    </r>
    <r>
      <rPr>
        <rFont val="Calibri"/>
        <color theme="1"/>
        <sz val="11.0"/>
      </rPr>
      <t xml:space="preserve"> </t>
    </r>
    <r>
      <rPr>
        <rFont val="맑은 고딕"/>
        <color theme="1"/>
        <sz val="11.0"/>
      </rPr>
      <t>답변</t>
    </r>
    <r>
      <rPr>
        <rFont val="Calibri"/>
        <color theme="1"/>
        <sz val="11.0"/>
      </rPr>
      <t xml:space="preserve"> </t>
    </r>
    <r>
      <rPr>
        <rFont val="맑은 고딕"/>
        <color theme="1"/>
        <sz val="11.0"/>
      </rPr>
      <t>생성중</t>
    </r>
    <r>
      <rPr>
        <rFont val="Calibri"/>
        <color theme="1"/>
        <sz val="11.0"/>
      </rPr>
      <t xml:space="preserve"> </t>
    </r>
    <r>
      <rPr>
        <rFont val="맑은 고딕"/>
        <color theme="1"/>
        <sz val="11.0"/>
      </rPr>
      <t>오류가</t>
    </r>
    <r>
      <rPr>
        <rFont val="Calibri"/>
        <color theme="1"/>
        <sz val="11.0"/>
      </rPr>
      <t xml:space="preserve"> </t>
    </r>
    <r>
      <rPr>
        <rFont val="맑은 고딕"/>
        <color theme="1"/>
        <sz val="11.0"/>
      </rPr>
      <t>발생했습니다</t>
    </r>
    <r>
      <rPr>
        <rFont val="Calibri"/>
        <color theme="1"/>
        <sz val="11.0"/>
      </rPr>
      <t xml:space="preserve">. </t>
    </r>
    <r>
      <rPr>
        <rFont val="맑은 고딕"/>
        <color theme="1"/>
        <sz val="11.0"/>
      </rPr>
      <t>관리자에게</t>
    </r>
    <r>
      <rPr>
        <rFont val="Calibri"/>
        <color theme="1"/>
        <sz val="11.0"/>
      </rPr>
      <t xml:space="preserve"> </t>
    </r>
    <r>
      <rPr>
        <rFont val="맑은 고딕"/>
        <color theme="1"/>
        <sz val="11.0"/>
      </rPr>
      <t>문의해주세요</t>
    </r>
    <r>
      <rPr>
        <rFont val="Calibri"/>
        <color theme="1"/>
        <sz val="11.0"/>
      </rPr>
      <t xml:space="preserve">. </t>
    </r>
  </si>
  <si>
    <t>부산시 캐릭터 부기를 사용한 홍보를 하고 싶은데 부기 캐릭터 사용 절차는 어떻게 되나요?</t>
  </si>
  <si>
    <t>이상없음</t>
  </si>
  <si>
    <t>기대답변
 협조사항 
  - 부기 이미지 활용 예정시 협조 요청 공문 발송
  - 홍보안 제작전 별도 디자인안 공유
  - 홍보물품 제작시 완성품(샘플) 공유 ※단,온라인 홍보안 제외 
 유의사항
  - 캐릭터의 이미지를 훼손하지 않는 범위 내에서 수정 가능
  - 캐릭터의 특성(스마트안경, 입모양, 동백커스텀슈즈 등) 반영 철저 
  - 홍보물 제작 시안 사전 확인 필수 등</t>
  </si>
  <si>
    <t>1265_2311_미디어담당관_공문_미디어담당관_부산광역시_소통_캐릭터_부기_디자인_활용시_사전_공문_협조_알림-odt.pdf</t>
  </si>
  <si>
    <t>가. 협조사항 
  - 부기 이미지 활용 예정시 협조 요청 공문 발송
  - 홍보안 제작전 별도 디자인안 공유
  - 홍보물품 제작시 완성품(샘플) 공유 ※단,온라인 홍보안 제외 
  나. 유의사항
  - 캐릭터의 이미지를 훼손하지 않는 범위 내에서 수정 가능
  - 캐릭터의 특성(스마트안경, 입모양, 동백커스텀슈즈 등) 반영 철저 
  - 홍보물 제작 시안 사전 확인 필수 등</t>
  </si>
  <si>
    <t>부산시 공식 캐릭터 사용 승인 절차 안내, 캐릭터 사용 신청서 양식 및 제출 방법 안내, 부기 캐릭터 사용 안내</t>
  </si>
  <si>
    <t>인사랑 휴가결재승인이 되었는데 휴가 사용 후 추후 휴가 사유 변경을 하려면 어떻게 해야 하나요?</t>
  </si>
  <si>
    <t>해당 자료가 있긴 한데 이미지 파일로 되어 있습니다.
&gt; 인사과 복무관리 매뉴얼 40P keypoint 연가신청내역 수정 또는 삭제</t>
  </si>
  <si>
    <t>검사조서가 꼭 필요한 항목은 어떤것들이 있나요?</t>
  </si>
  <si>
    <t>검사조서는 계약 목적물의 품질과 상태를 확인하고, 그에 따른 대가 지급을 결정하기 위해 중요한 문서입니다. 일반적으로 모든 공사나 물품 구매 계약에서 검사조서의 작성은 필수적이지만, 일부 예외 사항이 있습니다.
검사조서 작성을 생략할 수 있는 경우는 다음과 같습니다:
계약금액이 3천만 원 미만인 계약: 소규모 계약의 경우 검사조서 작성을 생략할 수 있습니다.
전기, 가스, 수도 등의 공급 계약: 이러한 서비스는 특성상 검사조서의 작성이 실질적으로 필요하지 않을 수 있습니다.
검사조서의 작성이 성질상 불필요한 경우: 계약 내용이나 목적물에 따라 검사조서 없이도 충분한 관리가 가능한 경우가 이에 해당됩니다.
그러나 위의 경우에도 실제로 검사를 하지 않아도 되는 것은 아닙니다. 즉, 검사조서만 생략될 뿐이며, 계약 목적물의 상태 확인을 위한 검사는 반드시 이루어져야 합니다. 또한, 지출결의서의 검수란에는 검사자가 날인하여 검사가 이루어졌음을 증명해야 합니다.
따라서, 검사조서가 꼭 필요한 항목은 계약금액이 3천만 원 이상인 계약, 그리고 검사조서의 작성이 성질상 필요하다고 판단되는 모든 계약입니다. 이는 계약 목적물의 품질을 보증하고, 예산 집행의 투명성과 책임성을 확보하기 위한 절차이므로 중요합니다.
추가적인 질문이나 궁금한 점이 있으시면 언제든지 말씀해 주세요! 도움이 필요하면 언제든 도와드리겠습니다.</t>
  </si>
  <si>
    <t>ㆍ471_2411_회계재산담당관_업무매뉴얼_한국지방재정공제회_2024년_개정판_공사계약_길라잡이한국지방재정공제회.pdf (p.322)
https://busanai.busan.go.kr/download/471_2411_회계재산담당관_업무매뉴얼_한국지방재정공제회_2024년_개정판_공사계약_길라잡이한국지방재정공제회.pdf
ㆍ472_2411_회계재산담당관_업무매뉴얼_한국지방재정공제회_2024년_개정판_물품계약_길라잡이한국지방재정공제회.pdf (p.296)
https://busanai.busan.go.kr/download/472_2411_회계재산담당관_업무매뉴얼_한국지방재정공제회_2024년_개정판_물품계약_길라잡이한국지방재정공제회.pdf</t>
  </si>
  <si>
    <t>오른쪽 검토자료 참조내용 3개를 바탕으로 범정부 AI로 생성한 자료입니다.
 기대답변:
 검사조서가 반드시 필요한 항목 및 조건은 아래에 정리되었습니다.
 공사·물품·용역계약 길라잡이의 공통 및 계약별 예외 사항에 기반해 작성되었습니다.
 1. 모든 계약에서 검사조서 필요 조건
  - 계약금액이 3,000만 원 이상인 경우
  - 전기·가스·수도 공급 등의 계약이 아닌 경우
  &gt; 단, 계약금액 3,000만 원 미만이거나 "성질상 불필요한 경우"(전기·가스·수도 등)에만 생략 가능
 2. 계약 유형별 추가 조건
  - 공사계약 &amp; 용역계약
  &gt; 공통: 위 "1"에 해당하면 검사조서 필요
  &gt; 추가: 계약이행 내용이 당초 계약조건(시방서 등)과 불일치할 경우
  → 불합격 사항 및 조치 의견을 반드시 검사조서에 명시 후 계약담당자에게 제출
  - 물품계약
  &gt; 납품검사 시 다음 경우 불합격으로 처리
  계약조건에 적합하지 않은 신제품·신기술·특허 미적용
  계약된 원산지·우수제품 지정여부 위반,
  시험성적서·품질인증서·수입신고필증 위·변조
  → 불합격 제품 정보와 사유를 지정정보처리장치에 등록 후 검사조서에 반영
  &gt; 검사 결과 계약내용(규격·수량 등) 불일치 시
  → 불일치 사실과 조치 의견을 검사조서에 기재
 3. 예외적 생략 가능 조건
  - 계약금액 3,000만 원 미만
  - 전기·가스·수도의 공급 등 검사 자체가 불필요한 성격의 계약
  &gt; 단, 검사자 지정 후 검사는 필수 (검수란에 검사자 날인)
 ※ 주의사항
 검사조서 작성 시 **"보험료 등 사후정산 합의서"**를 계약상대방과 작성한 후 첨부
 계약 유형에 따라 불합격 처리 조건이 물품계약&gt;공사·용역계약 순으로 구체적임을 유의
 이 기준은 계약 유형별 길라잡이 예외 조항을 종합한 것으로, 실제 적용 시 소속 기관의 내부 규정과 세부 계약 조건을 반드시 확인하시기 바랍니다.</t>
  </si>
  <si>
    <t>473_2411_회계재산담당관_업무매뉴얼_한국지방재정공제회_2024년_개정판_용역계약_길라잡이한국지방재정공제회.pdf</t>
  </si>
  <si>
    <t>330</t>
  </si>
  <si>
    <t>다. 검사조서의 작성 및 제출
 ❍ 검사를 한 자는 검사조서를 작성･제출
 ※ 검사조서 작성 시 계약상대자로부터 보험료 등 사후정산에 따른 정산합의서 징구 후 계약담당자에게
 제출
 ❍ 검사 결과 계약이행 내용이 당초 계약내용에 적합하지 않은 경우 그 사실 및 조치에
 관한 의견을 검사조서에 적어 계약담당자에게 제출
 ※ (예외) 검사조서 작성을 생략할 수 있는 경우
 ① 계약금액 3천만 원 미만의 계약
 ② 전기･가스･수도의 공급 등 검사조서의 작성이 성질상 불필요한 경우
 ※ 검사조서 작성을 생략하더라도 검사자를 임명하여 검사는 해야 하며, 지출결의서 검수란에 검사자가
 날인함</t>
  </si>
  <si>
    <t>검사조서 필수 항목</t>
  </si>
  <si>
    <r>
      <rPr>
        <rFont val="맑은 고딕"/>
        <b/>
        <color rgb="FF000000"/>
        <sz val="11.0"/>
      </rPr>
      <t>471_2411_회계재산담당관_업무매뉴얼_한국지방재정공제회_2024년_개정판_공사계약_길라잡이한국지방재정공제회.pdf (p.322)</t>
    </r>
    <r>
      <rPr>
        <rFont val="맑은 고딕"/>
        <color rgb="FF000000"/>
        <sz val="11.0"/>
      </rPr>
      <t xml:space="preserve">
-----
[p.322]
3) 검사조서의 작성 및 제출
</t>
    </r>
    <r>
      <rPr>
        <rFont val="Segoe UI Symbol"/>
        <color rgb="FF000000"/>
        <sz val="11.0"/>
      </rPr>
      <t>❍</t>
    </r>
    <r>
      <rPr>
        <rFont val="맑은 고딕"/>
        <color rgb="FF000000"/>
        <sz val="11.0"/>
      </rPr>
      <t xml:space="preserve"> 검사를 한 자는 검사조서를 작성</t>
    </r>
    <r>
      <rPr>
        <rFont val="Noto Sans KR"/>
        <color rgb="FF000000"/>
        <sz val="11.0"/>
      </rPr>
      <t>･</t>
    </r>
    <r>
      <rPr>
        <rFont val="맑은 고딕"/>
        <color rgb="FF000000"/>
        <sz val="11.0"/>
      </rPr>
      <t xml:space="preserve">제출
※ 검사조서 작성 시 계약상대자로부터 보험료 등 사후정산에 따른 정산합의서 징구 후 계약담당자에게 제출
</t>
    </r>
    <r>
      <rPr>
        <rFont val="Segoe UI Symbol"/>
        <color rgb="FF000000"/>
        <sz val="11.0"/>
      </rPr>
      <t>❍</t>
    </r>
    <r>
      <rPr>
        <rFont val="맑은 고딕"/>
        <color rgb="FF000000"/>
        <sz val="11.0"/>
      </rPr>
      <t xml:space="preserve"> 검사 결과 계약이행 내용이 당초 계약내용에 적합하지 않은 경우 그 사실 및 조치에 관한 의견을 검사조서에 적어 계약담당자에게 제출 
※ (예외) 검사조서 작성을 생략할 수 있는 경우
① 계약금액 3천만 원 미만의 계약 또는 매각계약
② 전기</t>
    </r>
    <r>
      <rPr>
        <rFont val="Noto Sans KR"/>
        <color rgb="FF000000"/>
        <sz val="11.0"/>
      </rPr>
      <t>･</t>
    </r>
    <r>
      <rPr>
        <rFont val="맑은 고딕"/>
        <color rgb="FF000000"/>
        <sz val="11.0"/>
      </rPr>
      <t>가스</t>
    </r>
    <r>
      <rPr>
        <rFont val="Noto Sans KR"/>
        <color rgb="FF000000"/>
        <sz val="11.0"/>
      </rPr>
      <t>･</t>
    </r>
    <r>
      <rPr>
        <rFont val="맑은 고딕"/>
        <color rgb="FF000000"/>
        <sz val="11.0"/>
      </rPr>
      <t>수도의 공급 등 검사조서의 작성이 성질상 불필요한 경우
 ※ 검사조서 작성을 생략하더라도 검사자를 임명하여 검사는 해야 하며, 지출결의서 검수란에 검사자가 날인함</t>
    </r>
  </si>
  <si>
    <r>
      <rPr>
        <rFont val="맑은 고딕"/>
        <b/>
        <color rgb="FF000000"/>
        <sz val="11.0"/>
      </rPr>
      <t>472_2411_회계재산담당관_업무매뉴얼_한국지방재정공제회_2024년_개정판_물품계약_길라잡이한국지방재정공제회.pdf (p.296)</t>
    </r>
    <r>
      <rPr>
        <rFont val="맑은 고딕"/>
        <color rgb="FF000000"/>
        <sz val="11.0"/>
      </rPr>
      <t xml:space="preserve">
-----
[p.296]
다. 검사조서의 작성 및 제출
</t>
    </r>
    <r>
      <rPr>
        <rFont val="Segoe UI Symbol"/>
        <color rgb="FF000000"/>
        <sz val="11.0"/>
      </rPr>
      <t>❍</t>
    </r>
    <r>
      <rPr>
        <rFont val="맑은 고딕"/>
        <color rgb="FF000000"/>
        <sz val="11.0"/>
      </rPr>
      <t xml:space="preserve"> 검사를 한 자는 검사조서를 작성</t>
    </r>
    <r>
      <rPr>
        <rFont val="Noto Sans KR"/>
        <color rgb="FF000000"/>
        <sz val="11.0"/>
      </rPr>
      <t>･</t>
    </r>
    <r>
      <rPr>
        <rFont val="맑은 고딕"/>
        <color rgb="FF000000"/>
        <sz val="11.0"/>
      </rPr>
      <t xml:space="preserve">제출
※ 검사조서 작성 시 계약상대자로부터 보험료 등 사후정산에 따른 정산합의서 징구 후 계약담당자에게 제출 </t>
    </r>
    <r>
      <rPr>
        <rFont val="Segoe UI Symbol"/>
        <color rgb="FF000000"/>
        <sz val="11.0"/>
      </rPr>
      <t>❍</t>
    </r>
    <r>
      <rPr>
        <rFont val="맑은 고딕"/>
        <color rgb="FF000000"/>
        <sz val="11.0"/>
      </rPr>
      <t xml:space="preserve"> 검사 결과 계약이행 내용이 당초 계약내용에 적합하지 않은 경우 그 사실 및 조치에 
관한 의견을 검사조서에 적어 계약담당자에게 제출 ※ (예외) 검사조서 작성을 생략할 수 있는 경우
① 계약금액 3천만원 미만의 계약
② 전기</t>
    </r>
    <r>
      <rPr>
        <rFont val="Noto Sans KR"/>
        <color rgb="FF000000"/>
        <sz val="11.0"/>
      </rPr>
      <t>･</t>
    </r>
    <r>
      <rPr>
        <rFont val="맑은 고딕"/>
        <color rgb="FF000000"/>
        <sz val="11.0"/>
      </rPr>
      <t>가스</t>
    </r>
    <r>
      <rPr>
        <rFont val="Noto Sans KR"/>
        <color rgb="FF000000"/>
        <sz val="11.0"/>
      </rPr>
      <t>･</t>
    </r>
    <r>
      <rPr>
        <rFont val="맑은 고딕"/>
        <color rgb="FF000000"/>
        <sz val="11.0"/>
      </rPr>
      <t xml:space="preserve">수도의 공급 등 검사조서의 작성이 성질상 불필요한 경우
 ※ 검사조서 작성을 생략하더라도 검사자를 임명하여 검사는 해야 하며, 지출결의서 검수란에 검사자가 날인함
</t>
    </r>
    <r>
      <rPr>
        <rFont val="Segoe UI Symbol"/>
        <color rgb="FF000000"/>
        <sz val="11.0"/>
      </rPr>
      <t>❍</t>
    </r>
    <r>
      <rPr>
        <rFont val="맑은 고딕"/>
        <color rgb="FF000000"/>
        <sz val="11.0"/>
      </rPr>
      <t xml:space="preserve"> 납품검사시 다음 어느 하나의 사유로(계약목적 달성을 위한 범위 내에서 동등 이상의 제품이 납품된 경우는 제외) 최종적으로 불합격한 제품에 대해서는 제품의 정보와 불합격 사유를 지정정보처리장치에서 정하는 바에 따라 등록
① 시험성적서</t>
    </r>
    <r>
      <rPr>
        <rFont val="Noto Sans KR"/>
        <color rgb="FF000000"/>
        <sz val="11.0"/>
      </rPr>
      <t>‧</t>
    </r>
    <r>
      <rPr>
        <rFont val="맑은 고딕"/>
        <color rgb="FF000000"/>
        <sz val="11.0"/>
      </rPr>
      <t>품질인증서</t>
    </r>
    <r>
      <rPr>
        <rFont val="Noto Sans KR"/>
        <color rgb="FF000000"/>
        <sz val="11.0"/>
      </rPr>
      <t>‧</t>
    </r>
    <r>
      <rPr>
        <rFont val="맑은 고딕"/>
        <color rgb="FF000000"/>
        <sz val="11.0"/>
      </rPr>
      <t>수입신고필증을 위</t>
    </r>
    <r>
      <rPr>
        <rFont val="Noto Sans KR"/>
        <color rgb="FF000000"/>
        <sz val="11.0"/>
      </rPr>
      <t>‧</t>
    </r>
    <r>
      <rPr>
        <rFont val="맑은 고딕"/>
        <color rgb="FF000000"/>
        <sz val="11.0"/>
      </rPr>
      <t>변조한 경우
② 계약조건에 있는 신기술, 신제품, 특허 등을 적용하지 않은 경우
③ 원산지와 우수제품 지정여부가 계약조건과 다른 경우
 Check 검사와 검수의 구분
• (검사) 계약목적물이 관련법령에 적합하고 규매규격, 시방서 등 계약조건과 일치되게 제조</t>
    </r>
    <r>
      <rPr>
        <rFont val="Noto Sans KR"/>
        <color rgb="FF000000"/>
        <sz val="11.0"/>
      </rPr>
      <t>･</t>
    </r>
    <r>
      <rPr>
        <rFont val="맑은 고딕"/>
        <color rgb="FF000000"/>
        <sz val="11.0"/>
      </rPr>
      <t>설치 또는 납품 되었는 지 여부를 확인하는 것(상태 확인)
 - 검사자 : 계약서 및 납품요구서에 정한 바에 따라 납품검사의 직무를 담당할 수 있는 자(계약담당자, 검사 사무를 위임받은 자 등)
• (검수) 검사에 합격된 계약목적물이 손상 또는 훼손품이 없고 납품서류상의 수량대로 납품되었는지 여부를 확인하는 것(수량 확인)
 - 검수자 : 물품출납책임자</t>
    </r>
  </si>
  <si>
    <t>관내출장을 갔다가 관외출장을 가는경우, 출장비는 어떻게 지급되어야 하나요?</t>
  </si>
  <si>
    <t>내출장과 관외출장을 연속하여 진행하는 경우, 출장비의 지급 방법은 다음과 같습니다:
관내출장: 먼저, 관내출장의 경우 ‘공무원 여비 규정’ 제18조에 따르면 출장 여행 시간이 4시간 이상이면 2만원, 4시간 미만이면 1만원을 지급합니다. 이때, 전용차량 배정자나 공용차량을 이용하는 경우에는 각각 지급액이 달라집니다.
관외출장: 이어서 관외출장을 갈 경우, 관외출장에 대한 별도의 여비가 지급됩니다. 관외출장의 여비는 '공무원 여비 규정’에 따라 철도운임실비, 선박운임실비, 항공운임실비, 자동차운임실비 등을 실제 소요된 비용만큼 지급하며, 일비나 숙박비 등도 추가로 지급됩니다.
따라서, 관내출장 후에 관외출장을 가는 경우에는 각각의 출장에 대해 해당하는 여비를 모두 지급받을 수 있습니다. 즉, 관내출장비에 관외출장비를 합산하여 총액을 받게 됩니다.
예를 들어, 관내출장비로 2만원을 받고, 관외출장으로 추가 비용이 발생했다면 그 비용까지 포함하여 전체 출장비를 지급받습니다. 이는 공무원의 이동에 따른 실제 경비를 보상하기 위한 것입니다.
참고 사항:
각 출장은 독립된 활동으로 간주되며, 이에 따라 여비도 별도로 산정됩니다.
출장비는 실제로 소요된 경비이며, 초과 지급되지 않습니다.
정확한 여비 산정을 위해 출장 전 사전 결재와 영수증 첨부가 필요합니다.
이러한 절차는 공무원의 효율적인 업무 수행과 투명한 재정 운영을 보장하기 위한 것입니다. 만약 구체적인 사례나 추가 정보가 필요하다면, 해당 기관의 회계 담당 부서나 인사 담당 부서에 문의하시는 것이 좋습니다.</t>
  </si>
  <si>
    <t>ㆍ241_2025_인구정책담당관_업무매뉴얼_여성가족부_2025년_가족사업안내_1권.pdf (p.45)
https://busanai.busan.go.kr/download/241_2025_인구정책담당관_업무매뉴얼_여성가족부_2025년_가족사업안내_1권.pdf
ㆍ1244_페이지125_문서4_164407_부산광역시청_공무원_후생시설_운영_규정.pdf (p.2)
https://busanai.busan.go.kr/download/1244_페이지125_문서4_164407_부산광역시청_공무원_후생시설_운영_규정.pdf</t>
  </si>
  <si>
    <t>첫번째 근거문서는 가족 사업 관련 매뉴얼 중 출장비 관련 내용이 있어서 포함된걸로 보입니다. 
두번째 문서는 단순 규정에 관한 내용입니다.
미제출된 자료 중 공무원여비100문100답 13P에 해당 내용이 있습니다.
기대답변 : 
각각의 정당한 사유에 의하여 출장명령이 성립된 경우, 각각의 출장여비를 지급함.
• 다만, 식비는 여비규정 제28조 제1항에 따라 근무지 내 출장과 근무지 외 출장의 출장 시간을 고려하여 적정한 금액을 감액하여 지급할 수 있음.
(예시) 09시~13시까지 근무지 내 출장을 14시~18시까지는 근무지 외 출장을 간 경우, 근무지 내 출장여비 2만원을 지급하고, 근무지 외 출장 일비 2만원을 지급하되, 근무지 외 출장 식비(2만원)는 근무지 외 출장 시간과 통상적인 식사시간을 고려하여 1식~2식(6,660~13,320원)에 해당하는 금액을 감액 후 지급할 수 있음.
관련 규정 공무원 여비업무 처리기준 Ⅲ-2-가, Ⅳ-1-나</t>
  </si>
  <si>
    <t>각각의 정당한 사유에 의하여 출장명령이 성립된 경우, 각각의 출장여비를 지급함.
 • 다만, 식비는 여비규정 제28조 제1항에 따라 근무지 내 출장과 근무지 외 출장의 출장 시간을 고려하여 적정한 금액을 감액하여 지급할 수 있음.
 (예시) 09시~13시까지 근무지 내 출장을 14시~18시까지는 근무지 외 출장을 간 경우, 근무지 내 출장여비 2만원을 지급하고, 근무지 외 출장 일비 2만원을 지급하되, 근무지 외 출장 식비(2만원)는 근무지 외 출장 시간과 통상적인 식사시간을 고려하여 1식~2식(6,660~13,320원)에 해당하는 금액을 감액 후 지급할 수 있음.
 관련 규정 공무원 여비업무 처리기준 Ⅲ-2-가, Ⅳ-1-나</t>
  </si>
  <si>
    <t>1230_공무원여비100문100답.pdf</t>
  </si>
  <si>
    <t>오전에 근무지 내 출장을 다녀온 후, 동일한 날에 근무지 외 출장을
 다녀온 경우, 여비지급은 어떻게 해야 하는지?
 • 각각의 정당한 사유에 의하여 출장명령이 성립된 경우, 각각의 출장여비를 지급함.
 • 다만, 식비는 여비규정 제28조 제1항에 따라 근무지 내 출장과 근무지 외 출장의 출장 시간을
 고려하여 적정한 금액을 감액하여 지급할 수 있음.
  (예시) 09시~13시까지 근무지 내 출장을 14시~18시까지는 근무지 외 출장을 간 경우, 근무지 내
 출장여비 2만원을 지급하고, 근무지 외 출장 일비 2만원을 지급하되, 근무지 외 출장 식비(2
 만원)는 근무지 외 출장 시간과 통상적인 식사시간을 고려하여 1식~2식(6,660~13,320원)
 에 해당하는 금액을 감액 후 지급할 수 있음.
 관련 규정 공무원 여비업무 처리기준 Ⅲ-2-가, Ⅳ-1-나</t>
  </si>
  <si>
    <t>관내출장 이후 관외출장 시 출장비 지급 여부에 대한 설명, 근무지 내 출장 후 동일한 날 근무지 외 출장을 다녀온 경우 출장비 및 여비지급 처리 사항</t>
  </si>
  <si>
    <t>주말에 관외출장을 가는경우 초과근무나 대체휴무 지급이 가능한가요?</t>
  </si>
  <si>
    <r>
      <rPr>
        <rFont val="Malgun Gothic"/>
        <color theme="1"/>
        <sz val="11.0"/>
      </rPr>
      <t xml:space="preserve">관련근거 : 인사과 자주 찾는 질문
기대답변 :
 - 대체휴무는 기관장(허가권자)의 시간외근무 명령 및 승인 등의 절차를
거친 경우에 한하여 부여할 수 있으며, 출장으로 인한 이동시간, 식사
시간 등 공무와 직접적인 관련이 없는 시간을 제외하고 정규근무시간
외에 실제 근무를 8시간 이상 수행한 경우(필연적으로 시간외근무가
발생한 경우에 한하며, 시간외 근무시간 등에 대한 객관적 증명자료
필요)에는 대체휴무를 부여할 수 있을 것으로 판단됩니다. 또한, 대체
휴무와 초과근무수당은 둘 중 하나만 부여할 수 있습니다.
 - 차량으로 행사장 이동 및 행사 후 차량으로 복귀하는 시간은 근무시간으로
인정할 수 없음을 유의하시기 바랍니다.
</t>
    </r>
    <r>
      <rPr>
        <rFont val="Segoe UI Symbol"/>
        <color theme="1"/>
        <sz val="11.0"/>
      </rPr>
      <t>◦</t>
    </r>
    <r>
      <rPr>
        <rFont val="맑은 고딕"/>
        <color theme="1"/>
        <sz val="11.0"/>
      </rPr>
      <t xml:space="preserve"> 「지방공무원 복무규정」제4조</t>
    </r>
  </si>
  <si>
    <t>- 대체휴무는 기관장(허가권자)의 시간외근무 명령 및 승인 등의 절차를
 거친 경우에 한하여 부여할 수 있으며, 출장으로 인한 이동시간, 식사
 시간 등 공무와 직접적인 관련이 없는 시간을 제외하고 정규근무시간
 외에 실제 근무를 8시간 이상 수행한 경우(필연적으로 시간외근무가
 발생한 경우에 한하며, 시간외 근무시간 등에 대한 객관적 증명자료
 필요)에는 대체휴무를 부여할 수 있을 것으로 판단됩니다. 또한, 대체
 휴무와 초과근무수당은 둘 중 하나만 부여할 수 있습니다.
  - 차량으로 행사장 이동 및 행사 후 차량으로 복귀하는 시간은 근무시간으로
 인정할 수 없음을 유의하시기 바랍니다.
 ◦ 「지방공무원 복무규정」제4조</t>
  </si>
  <si>
    <r>
      <rPr>
        <rFont val="Calibri"/>
        <color rgb="FFFF0000"/>
        <sz val="11.0"/>
      </rPr>
      <t>[</t>
    </r>
    <r>
      <rPr>
        <rFont val="맑은 고딕"/>
        <color rgb="FFFF0000"/>
        <sz val="11.0"/>
      </rPr>
      <t>미답변</t>
    </r>
    <r>
      <rPr>
        <rFont val="Calibri"/>
        <color rgb="FFFF0000"/>
        <sz val="11.0"/>
      </rPr>
      <t xml:space="preserve"> </t>
    </r>
    <r>
      <rPr>
        <rFont val="맑은 고딕"/>
        <color rgb="FFFF0000"/>
        <sz val="11.0"/>
      </rPr>
      <t>가능성</t>
    </r>
    <r>
      <rPr>
        <rFont val="Calibri"/>
        <color rgb="FFFF0000"/>
        <sz val="11.0"/>
      </rPr>
      <t xml:space="preserve"> </t>
    </r>
    <r>
      <rPr>
        <rFont val="맑은 고딕"/>
        <color rgb="FFFF0000"/>
        <sz val="11.0"/>
      </rPr>
      <t>있음</t>
    </r>
    <r>
      <rPr>
        <rFont val="Calibri"/>
        <color rgb="FFFF0000"/>
        <sz val="11.0"/>
      </rPr>
      <t xml:space="preserve">] </t>
    </r>
    <r>
      <rPr>
        <rFont val="맑은 고딕"/>
        <color rgb="FFFF0000"/>
        <sz val="11.0"/>
      </rPr>
      <t>관외출장이라는</t>
    </r>
    <r>
      <rPr>
        <rFont val="Calibri"/>
        <color rgb="FFFF0000"/>
        <sz val="11.0"/>
      </rPr>
      <t xml:space="preserve"> </t>
    </r>
    <r>
      <rPr>
        <rFont val="맑은 고딕"/>
        <color rgb="FFFF0000"/>
        <sz val="11.0"/>
      </rPr>
      <t xml:space="preserve">단어
</t>
    </r>
  </si>
  <si>
    <t>불용물품 처리는 어떤 프로세스를 거쳐서 해야하나요?</t>
  </si>
  <si>
    <t>위원회를 만들때 어떤 프로세스를 거쳐서 해야하나요?</t>
  </si>
  <si>
    <t>위원회를 만들기 위한 절차는 일반적으로 다음과 같습니다:
필요성 검토: 먼저, 해당 분야에서 전문가의 의견이 필요하거나 복잡한 문제를 해결하기 위해 위원회를 구성해야 하는지 여부를 검토합니다. 이는 위원회의 목적이 명확하고 타당해야 한다는 것을 의미합니다.
법령 및 조례 확인: 위원회를 설치하려면 관련 법령이나 조례에 근거가 있어야 합니다. 따라서 현재 적용 가능한 법률이나 지침을 확인하고, 이에 부합하는지 검토합니다.
구성 계획 수립:
위원 선정 기준 설정: 위원으로 활동할 사람들의 자격 요건과 선정 기준을 명확히 합니다.
위원 명단 작성: 선정된 후보자들의 명단을 작성하고, 필요하면 공개 모집을 진행합니다.
위원 위촉 방법 결정: 공식적인 절차를 통해 위원을 위촉하며, 이는 보통 시장의 권한 내에서 이루어집니다.
공고 및 모집: 위촉직 위원의 경우, 인원과 자격 요건, 선정 기준 등을 부산광역시보 및 시 홈페이지에 최소 7일 이상 공고하고 공개 모집을 실시합니다.
위원 위촉: 공고 기간 동안 지원자를 받고, 자격 요건에 맞는 사람들을 선발하여 위촉합니다. 만약 공개 모집에 응모자가 없거나 적합한 사람이 없을 경우, 다른 방법을 사용할 수 있습니다.
위원회 구성 완료: 모든 위원이 위촉되면 위원회의 구성이 완료됩니다.
운영 계획 수립:
회의 일정 및 방식 결정: 정기 회의 일정을 잡고, 회의 방식을 결정합니다(예: 대면 회의, 화상 회의).
분과위원회 또는 소위원회 구성: 필요에 따라 세부 분야별로 분과위원회나 소위원회를 구성합니다.
운영 규칙 제정: 위원회의 효율적인 운영을 위한 내부 규칙이나 지침을 마련합니다.
활동 시작: 구성된 위원회는 첫 번째 회의를 시작으로 활동을 개시하며, 이후 지속적으로 업무를 수행합니다.
관리 및 평가:
활동 모니터링: 위원회의 활동이 원활하게 이루어지는지 관리합니다.
평가 및 개선: 주기적으로 위원회의 성과를 평가하고, 필요한 경우 개선 방안을 모색합니다.
이러한 절차를 거치면서 위원회는 보다 체계적이고 효과적으로 운영될 수 있으며, 관련 법령과 지침을 준수함으로써 법적 문제 없이 목표를 달성할 수 있습니다. 또한, 시민들의 참여를 촉진하고 다양성을 고려하여 위원을 구성함으로써 더욱 폭넓은 의견 수렴이 가능합니다. 추가적인 도움이 필요하시면 언제든지 말씀해 주세요!</t>
  </si>
  <si>
    <t>ㆍ374_2203_조직담당관_업무매뉴얼_조직담당관_부산광역시_위원회_설치운영_지침.pdf (p.1, 15, 52)
https://busanai.busan.go.kr/download/374_2203_조직담당관_업무매뉴얼_조직담당관_부산광역시_위원회_설치운영_지침.pdf</t>
  </si>
  <si>
    <r>
      <rPr>
        <rFont val="Malgun Gothic"/>
        <color theme="1"/>
        <sz val="11.0"/>
      </rPr>
      <t>관련근거 및 내용 이상없습니다만
설치 절차가 근거문서를 활용하여 개괄적인 내용만 포함되어 있습니다.
설치 절차에 관한 내용이 명시가 되어 있는데 
해당 내용이 표출되면 더 좋을거 같습니다.
근거 문서 11P
기대답변 :
1. 위원회 신설 검토 : ※ 해당 실</t>
    </r>
    <r>
      <rPr>
        <rFont val="Tahoma"/>
        <color theme="1"/>
        <sz val="11.0"/>
      </rPr>
      <t>․</t>
    </r>
    <r>
      <rPr>
        <rFont val="맑은 고딕"/>
        <color theme="1"/>
        <sz val="11.0"/>
      </rPr>
      <t>본부</t>
    </r>
    <r>
      <rPr>
        <rFont val="Tahoma"/>
        <color theme="1"/>
        <sz val="11.0"/>
      </rPr>
      <t>․</t>
    </r>
    <r>
      <rPr>
        <rFont val="맑은 고딕"/>
        <color theme="1"/>
        <sz val="11.0"/>
      </rPr>
      <t xml:space="preserve">국방침 수립 전
 </t>
    </r>
    <r>
      <rPr>
        <rFont val="Segoe UI Symbol"/>
        <color theme="1"/>
        <sz val="11.0"/>
      </rPr>
      <t>▸</t>
    </r>
    <r>
      <rPr>
        <rFont val="맑은 고딕"/>
        <color theme="1"/>
        <sz val="11.0"/>
      </rPr>
      <t xml:space="preserve">신설 검토의뢰(담당부서 →총괄부서)
 </t>
    </r>
    <r>
      <rPr>
        <rFont val="Segoe UI Symbol"/>
        <color theme="1"/>
        <sz val="11.0"/>
      </rPr>
      <t>▸</t>
    </r>
    <r>
      <rPr>
        <rFont val="맑은 고딕"/>
        <color theme="1"/>
        <sz val="11.0"/>
      </rPr>
      <t xml:space="preserve">검토결과 통보(총괄부서 →담당부서)
2. 기본입법 방침
</t>
    </r>
    <r>
      <rPr>
        <rFont val="Segoe UI Symbol"/>
        <color theme="1"/>
        <sz val="11.0"/>
      </rPr>
      <t>▸</t>
    </r>
    <r>
      <rPr>
        <rFont val="맑은 고딕"/>
        <color theme="1"/>
        <sz val="11.0"/>
      </rPr>
      <t xml:space="preserve">담당부서
</t>
    </r>
    <r>
      <rPr>
        <rFont val="Segoe UI Symbol"/>
        <color theme="1"/>
        <sz val="11.0"/>
      </rPr>
      <t>▸</t>
    </r>
    <r>
      <rPr>
        <rFont val="맑은 고딕"/>
        <color theme="1"/>
        <sz val="11.0"/>
      </rPr>
      <t xml:space="preserve">총괄부서 협조 결재
3. 법제심사
</t>
    </r>
    <r>
      <rPr>
        <rFont val="Segoe UI Symbol"/>
        <color theme="1"/>
        <sz val="11.0"/>
      </rPr>
      <t>▸</t>
    </r>
    <r>
      <rPr>
        <rFont val="맑은 고딕"/>
        <color theme="1"/>
        <sz val="11.0"/>
      </rPr>
      <t>총괄부서 검토결과 첨부 의뢰(담당부서 →법무담당관)
 ※ 신설검토 결과 반영여부 확인(법무담당관)
4. 조례 등 제</t>
    </r>
    <r>
      <rPr>
        <rFont val="Tahoma"/>
        <color theme="1"/>
        <sz val="11.0"/>
      </rPr>
      <t>․</t>
    </r>
    <r>
      <rPr>
        <rFont val="맑은 고딕"/>
        <color theme="1"/>
        <sz val="11.0"/>
      </rPr>
      <t xml:space="preserve">개정 후 위원회 설치(구성)
 </t>
    </r>
    <r>
      <rPr>
        <rFont val="Segoe UI Symbol"/>
        <color theme="1"/>
        <sz val="11.0"/>
      </rPr>
      <t>▸</t>
    </r>
    <r>
      <rPr>
        <rFont val="맑은 고딕"/>
        <color theme="1"/>
        <sz val="11.0"/>
      </rPr>
      <t xml:space="preserve"> 담당부서
※ 위원회 구성·운영계획 제출(담당부서 →총괄부서)</t>
    </r>
  </si>
  <si>
    <t>범정부 활용 답변 생성 내용
 기대답변:
 위원회 설치 프로세스 및 주요 고려사항
 1. 설치 시 고려사항
  - 설치 필요성
  &gt; 지방자치법 시행령 제77조·78조에 따라 설치 목적을 명확히 합니다 (예: "고도의 전문지식 요청", "공정한 집행 필요성", "주민 의사 반영")
  &gt; 기존 위원회로 대체 가능한지 사전 검토합니다
  - 설치 근거
  &gt; 지방자치법 제129조·130조에 따라 법률 또는 조례로 설치해야 합니다.
  &gt; 합격제 행정관청(의결 구속력 있는 위원회)은 조례로 운영 근거를 규정해야 하며, 자문위원회는 세부 사항은 규칙으로 정할 수 있습니다.
  - 소관사무 여부
  &gt; 자치사무 또는 단체위임사무에 한해 설치 가능합니다.
  &gt; 기관위임사무는 법적 근거가 명시된 경우에만 조례 제정 가능 (예: 상위 법령이 조례 규정을 허용한 경우).
  - 중복·유사 위원회 방지
  &gt; 신설회의체가 다른 기관 회의로 대체 가능한지 검토합니다.
  &gt; 기존 위원회와 기능 중복 시 폐지 건의 또는 일원화 방안 마련.
  - 필수 규정 명시사항
  &gt; 위원회 구성·임기, 위원장·부위원장 선출 방식, 회의 절차(소집·의사정족수·의결정족수), 위원의 결격사유 등을 명시해야 합니다.
  &gt; 공정성이 요구되는 업무의 경우 제척·기피·회피 규정 추가.
  - 존속기한 설정
  &gt; 조례에 5년 이내로 존속기한을 명시해야 합니다.
  &gt; 연장 필요 시 조례 개정 필수 (단, 평가 후 연장이 가능하도록 규정된 경우 방침으로 연장 가능).
  - 자문기관 운영 제한
  &gt; 자문기관에 상설 사무처 설치가 금지됩니다.
 2. 설치 절차
  - 사전 활동(권장)
  &gt; 1년 정도 T/F(특별팀)형 자문단 운영 후, 성과 평가 후 위원회 설치를 검토합니다.
  - 사전 협의
  &gt; 총괄부서(예: 기획부서)와 협의하여 입법 계획을 수립합니다.(유사 위원회 존재 여부, 소관사무 적합성 등 검토)
  - 조례 제정 단계
  &gt; 신규 합의체 행정기관은 시장(또는 도지사) 권한으로 설치합니다.
  &gt; 자문기관은 조례로 설치하되, 위촉 권한은 시장에게 있어 외부 개입이 불가능합니다.
  - 운영 규약 수립
  &gt; 위원회 운영 규칙(예: 서식,보고 의무 등)을 내부 규정으로 제정합니다.
 ⚠️ 주의사항
  - 합의체 행정기관 설치 시 지방의회의 독자적 조례 발의 불가 (법원 판결 기준).
  - 위원회 위촉 시 위원 과반수를 외부 전문가로 구성하는 조례는 위법입니다.
  - 기관위임사무와 자치사무를 구분하여 법적 권한 확인이 필수입니다.</t>
  </si>
  <si>
    <t>374_2203_조직담당관_업무매뉴얼_조직담당관_부산광역시_위원회_설치운영_지침.pdf</t>
  </si>
  <si>
    <t>6, 7, 8, 9</t>
  </si>
  <si>
    <t>참조 페이지 내용 전체</t>
  </si>
  <si>
    <r>
      <rPr>
        <rFont val="Malgun Gothic"/>
        <color rgb="FF000000"/>
        <sz val="11.0"/>
      </rPr>
      <t xml:space="preserve">위원회 설치 및 운영 절차와 방법 안내, 위원회 구성 방법 안내, 위원회 만들 때 필요한 절차 안내
</t>
    </r>
    <r>
      <rPr>
        <rFont val="Malgun Gothic"/>
        <color rgb="FFFF0000"/>
        <sz val="11.0"/>
      </rPr>
      <t>&gt;&gt; 6, 7, 8, 9 페이지 모두 부스트 키워드를 추가했지만 Top5에는 6페이지만 걸림(2순위)</t>
    </r>
  </si>
  <si>
    <r>
      <rPr>
        <rFont val="맑은 고딕"/>
        <b/>
        <color rgb="FFFF0000"/>
        <sz val="11.0"/>
      </rPr>
      <t>374_2203_조직담당관_업무매뉴얼_조직담당관_부산광역시_위원회_설치운영_지침.pdf[11]</t>
    </r>
    <r>
      <rPr>
        <rFont val="맑은 고딕"/>
        <color rgb="FFFF0000"/>
        <sz val="11.0"/>
      </rPr>
      <t xml:space="preserve">
-----
</t>
    </r>
    <r>
      <rPr>
        <rFont val="맑은 고딕"/>
        <color rgb="FFFF0000"/>
        <sz val="11.0"/>
      </rPr>
      <t xml:space="preserve">[글이 표 형태가 아니고 이미지 형태로 되어 있어 각 항목에 대한 하위 내용을 인지하지 못함]
</t>
    </r>
    <r>
      <rPr>
        <rFont val="맑은 고딕"/>
        <color rgb="FFFF0000"/>
        <sz val="11.0"/>
      </rPr>
      <t>-----
[p.11]
위원회 신설 검토 기본입법 방침 법제심사
※ 해당 실</t>
    </r>
    <r>
      <rPr>
        <rFont val="MS UI Gothic"/>
        <color rgb="FFFF0000"/>
        <sz val="11.0"/>
      </rPr>
      <t>․</t>
    </r>
    <r>
      <rPr>
        <rFont val="맑은 고딕"/>
        <color rgb="FFFF0000"/>
        <sz val="11.0"/>
      </rPr>
      <t>본부</t>
    </r>
    <r>
      <rPr>
        <rFont val="MS UI Gothic"/>
        <color rgb="FFFF0000"/>
        <sz val="11.0"/>
      </rPr>
      <t>․</t>
    </r>
    <r>
      <rPr>
        <rFont val="맑은 고딕"/>
        <color rgb="FFFF0000"/>
        <sz val="11.0"/>
      </rPr>
      <t xml:space="preserve">국 방침 수립 전
</t>
    </r>
    <r>
      <rPr>
        <rFont val="Segoe UI Symbol"/>
        <color rgb="FFFF0000"/>
        <sz val="11.0"/>
      </rPr>
      <t>▸</t>
    </r>
    <r>
      <rPr>
        <rFont val="맑은 고딕"/>
        <color rgb="FFFF0000"/>
        <sz val="11.0"/>
      </rPr>
      <t xml:space="preserve">신설 검토의뢰
(담당부서 →
총괄부서)
</t>
    </r>
    <r>
      <rPr>
        <rFont val="Segoe UI Symbol"/>
        <color rgb="FFFF0000"/>
        <sz val="11.0"/>
      </rPr>
      <t>▸</t>
    </r>
    <r>
      <rPr>
        <rFont val="맑은 고딕"/>
        <color rgb="FFFF0000"/>
        <sz val="11.0"/>
      </rPr>
      <t xml:space="preserve">검토결과 통보
(총괄부서 →
담당부서)
</t>
    </r>
    <r>
      <rPr>
        <rFont val="Segoe UI Symbol"/>
        <color rgb="FFFF0000"/>
        <sz val="11.0"/>
      </rPr>
      <t>▸</t>
    </r>
    <r>
      <rPr>
        <rFont val="맑은 고딕"/>
        <color rgb="FFFF0000"/>
        <sz val="11.0"/>
      </rPr>
      <t xml:space="preserve">담당부서
</t>
    </r>
    <r>
      <rPr>
        <rFont val="Segoe UI Symbol"/>
        <color rgb="FFFF0000"/>
        <sz val="11.0"/>
      </rPr>
      <t>▸</t>
    </r>
    <r>
      <rPr>
        <rFont val="맑은 고딕"/>
        <color rgb="FFFF0000"/>
        <sz val="11.0"/>
      </rPr>
      <t xml:space="preserve">총괄부서
협조 결재
</t>
    </r>
    <r>
      <rPr>
        <rFont val="Segoe UI Symbol"/>
        <color rgb="FFFF0000"/>
        <sz val="11.0"/>
      </rPr>
      <t>▸</t>
    </r>
    <r>
      <rPr>
        <rFont val="맑은 고딕"/>
        <color rgb="FFFF0000"/>
        <sz val="11.0"/>
      </rPr>
      <t>총괄부서 검토결과 첨부 의뢰
(담당부서 → 법무담당관)
※ 신설검토 결과 반영여부 확인 (법무담당관)
조례 등 제</t>
    </r>
    <r>
      <rPr>
        <rFont val="MS UI Gothic"/>
        <color rgb="FFFF0000"/>
        <sz val="11.0"/>
      </rPr>
      <t>․</t>
    </r>
    <r>
      <rPr>
        <rFont val="맑은 고딕"/>
        <color rgb="FFFF0000"/>
        <sz val="11.0"/>
      </rPr>
      <t xml:space="preserve">개정 후 위원회 설치(구성)
</t>
    </r>
    <r>
      <rPr>
        <rFont val="Segoe UI Symbol"/>
        <color rgb="FFFF0000"/>
        <sz val="11.0"/>
      </rPr>
      <t>▸</t>
    </r>
    <r>
      <rPr>
        <rFont val="맑은 고딕"/>
        <color rgb="FFFF0000"/>
        <sz val="11.0"/>
      </rPr>
      <t xml:space="preserve"> 담당부서 ※ 위원회 구성·
운영계획 제출 (담당부서 → 총괄부서)</t>
    </r>
  </si>
  <si>
    <t>민간위탁을 하려고 할때 어떤 조건을 만족시키고 어떤과정을 거쳐야 민간위탁이 가능하나요?</t>
  </si>
  <si>
    <t>민간위탁을 진행하려면 몇 가지 조건과 절차를 충족해야 합니다. 먼저, 해당 업무가 민간위탁의 대상이 되는지를 확인해야 합니다. 일반적으로 공공서비스 중 효율성과 전문성을 높일 수 있는 분야가 민간위탁의 대상이 됩니다.
그 다음으로는 민간위탁의 적정성에 대한 사전 조사가 필요합니다. 이는 해당 업무의 성격, 규모, 목적 등을 고려하여 민간위탁이 필요한지 판단하는 과정입니다. 이 과정에서 민간위탁의 필요성, 기대 효과, 관련 사례 등을 분석하게 됩니다.
적정성 검토 후에는 계획을 수립하고 내부 결재를 받아야 합니다. 이때 위탁사무의 내용, 기간, 비용, 수탁자 선정 방법 등이 구체적으로 결정됩니다. 또한, 민간위탁관리위원회의 심의를 통해 사무와 수탁기관의 적정성을 다시 한번 검토받습니다.
이후에는 시의회의 동의를 얻어야 하며, 필요한 경우 조례 개정이나 시행규칙 반영 등의 법적 절차를 거칩니다. 그리고 예산을 편성하여 재정적인 기반을 마련합니다.
다음 단계로는 수탁기관을 선정하기 위한 공개 모집을 실시합니다. 이를 위해 공고문을 게시하고, 신청 자격을 갖춘 단체나 기업으로부터 신청을 받습니다. 이후 수탁기관선정위원회를 구성하여 평가를 진행하고, 가장 적합한 수탁자를 선정합니다.
마지막으로 계약심사를 거쳐 위·수탁계약을 체결합니다. 이 때 청렴담당관과 법무담당관의 협조를 받아 계약서를 작성하고, 필요한 경우 공증을 받습니다. 계약이 완료되면 인계·인수를 통해 업무를 이전하고, 사후 관리를 통해 민간위탁이 원활히 이루어지도록 합니다.
이러한 과정을 거치면 민간위탁을 성공적으로 진행할 수 있습니다. 각 단계에서는 관련 법령과 지침을 철저히 준수해야 하며, 투명하고 공정한 절차를 유지하는 것이 중요합니다. 추가로 궁금한 점이 있으시면 언제든지 물어보세요!</t>
  </si>
  <si>
    <t>ㆍ326_2501_재정협력담당관_업무매뉴얼_재정협력담당관_민간위탁업무지침.pdf (p.3, 14, 30)
https://busanai.busan.go.kr/download/326_2501_재정협력담당관_업무매뉴얼_재정협력담당관_민간위탁업무지침.pdf</t>
  </si>
  <si>
    <t xml:space="preserve">관련근거로 생성된 근거 내용이 너무 줄 글 형식이고
중간에 빠진 내용도 있습니다.
13p에 사전절차 추진 일정, 14p에 신규 민간위탁 추진 절차에 대해 표 형식으로 나와 있어서 제대로 생성이 안된것으로 보입니다.
답변은 13p 내용 위주로 기대답변 생성했습니다.
기대답변 :
□ 예산편성이 필요한 경우 : 약 11개월 소요 
1. 사업계획 수립(4~6월, 90일) : 사업부서
2. 민간위탁관리위원회 심의(7월, 30일) : 재정협력담당관
3. 시의회 동의·보고(8~9월, 60일) : 사업부서
4. 예산 심의 및 의결(10~ 12월, 90일) : 사업부서
5. 공고 및 수탁자선정(1~2월, 60일) : 사업부서
6. 계약, 협약서 심사 등(3월, 10일) : 감사담당관, 법무담당관
7. 계약체결(3월, 7일) : 사업부서
8. 사업추진 등, 지도·감독 등 : 사업부서
□ 예산 편성이 불필요한 경우(예산이 기확보된 경우 등) : 약 8개월 소요 
1. 사업계획 수립(4~6월, 90일) : 사업부서
2. 민간위탁관리위원회 심의(7월, 30일) : 재정협력담당관
3. 시의회 동의·보고(8~9월, 60일) : 사업부서
4. 공고 및 수탁자선정(10~ 11월, 60일) : 사업부서
5. 계약, 협약서 심사 등(12월, 10일) : 사업부서
6. 계약체결(12월, 7일) : 감사담당관, 법무담당관
7. 사업추진 등, 지도·감독 등 : 사업부서
※ 해당 일정은 공개모집을 기준으로 추산, 재위탁·재계약 등은 
계약기간 만료 시기를 고려하여 소요기간 추계 필요
</t>
  </si>
  <si>
    <t>외부 공개 가능 자료라서 지피티 이용해서 생성한 답변입니다.
 기대답변 : 
 PDF 그대로 텍스트로 변환 후 질의를 던지면 범정부, 지피티 둘다 해당 내용을 제대로 요약해주지 못하는거 같습니다.
 신규(1~9번), 재위탁(1~7번) 순서에 대해 명시를 해주고 질의를 다시 할 경우 범정부는 계속 틀림, 지피티(무료버전)가 맞는 답을 줘서
 일단 해당 답변을 기대답변으로 보내드립니다.
 기대답변:
 ■ 신규 민간위탁 절차
 1. 민간위탁 사전조사 및 적정성 검토(주관부서)
  - 위탁 필요성, 공공성, 효율성, 민간 전문성 등 기초조사.
  - 중복 여부·타 지자체 사례·법적 근거 검토.
  - 적정성 판단(공공성·효율성·시장여건 등 기준 적용).
 2. 계획수립 및 방침결재(주관부서)
  - 위탁범위·내용·기간·비용·선정방식 결정.
  - 원가분석 실시(인건비·운영비 산정).
  - 필요 시 개별 조례 제·개정.
  - 시장 방침결재, 재정협력담당관 사전협의.
 3. 민간위탁 관리위원회 심의(재정협력담당관)
  - 위탁 근거·필요성·원가·선정방식·중복성 등 심의.
  - 결과: 적정 / 조건부적정 / 보류 / 부적정.
 4. 시의회 동의·보고(주관부서)
  - 신규 민간위탁은 원칙적으로 동의 대상.
  - 동의안: 위탁내용·근거·예산·기간·수탁방식 등 포함.
  - 동의 후 필요 시 시행규칙(별표) 반영.
  - 보고사항: 재위탁 등 특정 상황 발생 시 상임위 보고.
 5. 예산 편성(주관부서)
  - 관리위원회 심의 → 시의회 동의 후 예산 반영.
  - 민간위탁금(307-05), 민간위탁사업비(402-03) 편성.
  - 보조금 사무를 위탁금으로 편성하는 오류 금지.
 6. 수탁기관 선정(주관부서)
  - 원칙: 공개모집.
  - 절차: 공고 → 제안서 접수 → 선정위원회 평가 → 선정.
  - 수의계약은 법령 근거 있을 때만 가능(지방계약법·공유재산법 요건).
 7. 위·수탁계약 체결(주관부서)
  - 계약서 작성(노동조건 확약 포함), 법무·계약 심사 반영.
  - 시설형 1억 이상은 계약심사 필수.
  - 체결 후 7일 이내 재정협력담당관에 부본 제출.
 8. 인계·인수(주관부서, 수탁기관)
  - 시설·비품·자산 목록 인계·인수서 작성.
  - 사진·영상 기록 보관.
  - 기존 인력 고용승계 원칙적 권고.
  - 필요 시 시범운영(약 1개월).
 9. 기존 위탁사무를 신규 위탁으로 변경·처리하는 기준
  - 아래 발생 시 ‘기존 사무 종료 → 신규 절차로 다시 추진’:
  &gt; 위탁사무 중요내용 변경(범위 전면 변경, 추가, 분리 등).
  &gt; 예산지원 유무 변경.
  &gt; 사무 1년 이상 중단 후 재위탁.
  &gt; 국가·타 지자체에서 새로 이관된 사무.
 ■ 재위탁·재계약 절차
 1. 적정성 검토, 계획수립 및 방침결재(주관부서)
  - 기존 위탁사무가 민간위탁 방식에 적합한지 재검토(Zero-base).
  - 위탁내용·범위·기간·비용·선정방식 재정비.
  - 재위탁·재계약은 부시장 결재, 재정협력담당관 사전협의.
  - 재계약 제한사유(성과평가 70점 미만, 시정 불이행 등) 검토.
 2. 수탁기관의 관리능력 평가(재계약 시에만 적용, 주관부서)
  - 계약만료 90일 전 평가 실시.
  - 관리능력·성과·감사결과·시정이행·민원·만족도 등 종합평가.
  - 70점 미만이면 재계약 불가 → 재위탁(공모)로 전환.
 3. 민간위탁관리위원회 심의(재정협력담당관)
  - 재위탁·재계약의 적정성·필요성·비용·선정 방식 등 심의.
  - 심의 절차는 신규와 동일.
 4. 시의회 동의·보고(주관부서)
  - 재위탁·재계약은 원칙적으로 동의 대상.
  - 예외(동의 불요)
  &gt; 국가 전액 보조 사업
  &gt; 연간 위탁금 3억 이하
  - 보고 절차는 신규와 동일.
 5. 수탁기관 선정(공모 시에만 적용, 주관부서)
  - 재위탁 중 공모할 경우 신규와 동일 절차 적용.
  - 기존 수탁자 참여 시 기존 민원·감사·시정이행 여부를 평가에 반영.
 6. 위·수탁계약 체결(주관부서)
  - 신규와 동일한 방식으로 계약 체결.
  - 필요 시 위탁기간 90일 범위 내 1회 일시 연장 가능.
 7. 인계·인수(주관부서, 수탁기관)
  - 기존·신규 종사자 고용승계 검토.
  - 인계·인수서, 시설물 자산·비품 목록 정리.
  - 시험운영 등은 신규 절차와 동일.</t>
  </si>
  <si>
    <t>326_2501_재정협력담당관_업무매뉴얼_재정협력담당관_민간위탁업무지침.pdf</t>
  </si>
  <si>
    <t>3, 9</t>
  </si>
  <si>
    <t>&gt;&gt; 민간위탁 조건은 9P의 민간위탁의 대상 전체 활용
&gt;&gt; 3P 목차의 4번 신규 민간위탁 추진 절차부터 5번 재위탁 재계약 민간위탁 추진절차 안내</t>
  </si>
  <si>
    <t>3page - 민간위탁 추진 절차 안내
9page - 민간위탁 추진 조건 안내</t>
  </si>
  <si>
    <r>
      <rPr>
        <rFont val="맑은 고딕"/>
        <b/>
        <color rgb="FF000000"/>
        <sz val="11.0"/>
      </rPr>
      <t>ㆍ326_2501_재정협력담당관_업무매뉴얼_재정협력담당관_민간위탁업무지침.pdf (p.13, 14)</t>
    </r>
    <r>
      <rPr>
        <rFont val="맑은 고딕"/>
        <color rgb="FF000000"/>
        <sz val="11.0"/>
      </rPr>
      <t xml:space="preserve">
----
</t>
    </r>
    <r>
      <rPr>
        <rFont val="맑은 고딕"/>
        <color rgb="FFFF0000"/>
        <sz val="11.0"/>
      </rPr>
      <t>[형태가 표가 아닌 이미지의 형태를 가지고 있어 인식에 어려움이 있음]</t>
    </r>
    <r>
      <rPr>
        <rFont val="맑은 고딕"/>
        <color rgb="FF000000"/>
        <sz val="11.0"/>
      </rPr>
      <t xml:space="preserve">
-----
□ 소요기간 추계 필요성
ㅇ 사무를 신규위탁 및 재위탁, 재계약 추진 시에는 거쳐야 할 사전절차를 이행하는데 많은 기간이 소요되기 때문에 위탁 추진 부서는 사무에 대한 위탁 추진 전 소요기간에 대하여 추계 필요
- 특히 민간위탁 관리위원회 및 시 의회 임시회 의사일정 등을 미리 파악해야 함
□ 예산편성이 필요한 경우 : 약 11개월 소요 
[그림 형태]
□ 예산 편성이 불필요한 경우(예산이 기확보된 경우 등) : 약 8개월 소요
[그림 형태]
※ 해당 일정은 공개모집을 기준으로 추산, 재위탁·재계약 등은
계약기간 만료 시기를 고려하여 소요기간 추계 필요 </t>
    </r>
  </si>
  <si>
    <t>시청 내 과별로 각종 물품구입, 각종 용역, 각종 공사 등 각종 케이스별 업체리스트 및 연락처를 알 수 있나요?</t>
  </si>
  <si>
    <t>예산 이체, 변경, 전용, 이용은 어떤 경우에 해야하며, 어떤 프로세스를 거쳐야 하나요?</t>
  </si>
  <si>
    <t>예산 이체, 변경, 전용, 이용은 예산 집행 과정에서 부득이한 사유로 인해 원래 계획된 예산 사용을 조정해야 할 때 이루어집니다. 이러한 조정은 법령과 지침을 따라 적절한 절차를 거쳐야 합니다.
예산 이체
정의: 예산 이체는 조직 내 부서 간 또는 기관 간에 예산을 이동시키는 것을 말합니다.
필요한 경우:
직제 개편이나 조직 변경으로 인해 기존 예산의 배분이 부적절해진 경우.
특정 사업이나 프로젝트의 추진을 위해 자원이 부족한 부서로 예산을 이전해야 하는 경우.
프로세스:
신청: 해당 부서나 기관의 책임자가 예산 이체의 필요성을 판단하고, 이에 대한 신청서를 작성합니다.
승인 요청: 작성한 신청서를 상위 관리자나 예산 담당 부서에 제출하여 승인을 요청합니다.
심사 및 승인: 예산 담당자는 신청 내용을 검토하고, 타당성이 인정되면 내부 절차에 따라 승인을 진행합니다.
공고 및 실행: 승인된 예산 이체는 관련 부서와 이해관계자에게 공지되고, 실제 예산 사용이 조정됩니다.
예산 변경
정의: 예산 변경은 이미 수립된 예산의 세부 내용이나 금액을 수정하는 것을 의미합니다.
필요한 경우:
물가 상승이나 환율 변동 등 외부 요인으로 인해 예산 조정이 필요한 경우.
사업의 규모나 내용이 변경되어 예산 수정이 필요한 경우.
프로세스:
신청: 변경이 필요한 부서의 책임자가 예산 변경 신청서를 작성합니다.
승인 요청: 신청서를 예산 담당 부서에 제출하여 승인을 요청합니다.
심사 및 승인: 예산 담당자는 변경 내용의 타당성을 검토하고, 필요 시 추가 자료를 요청할 수 있습니다.
공고 및 실행: 승인된 예산 변경 사항은 공식적으로 공고되며, 새로운 예산에 따라 사업이 진행됩니다.
예산 전용
정의: 예산 전용은 한 예산 항목에서 다른 예산 항목으로 자금을 재배분하는 것을 뜻합니다.
필요한 경우:
예상치 못한 긴급 상황 발생으로 인한 자금 필요.
특정 사업의 지연이나 취소로 남은 예산을 다른 곳에 활용해야 하는 경우.
프로세스:
신청: 예산 전용이 필요하다고 판단되는 부서의 책임자가 전용 신청서를 작성합니다.
승인 요청: 신청서를 예산 담당 부서에 제출하여 승인을 요청합니다.
심사 및 승인: 예산 담당자는 전용의 필요성과 타당성을 검토하고, 승인 여부를 결정합니다.
공고 및 실행: 승인된 전용 내용은 관련 부서에 공지되고, 예산 사용이 조정됩니다.
예산 이용
정의: 예산 이용은 정책사업 간에 예산을 서로 교환하여 사용하는 것을 의미합니다.
특징:
정책사업은 입법 사항이므로, 예산 이용은 집행부의 재량이 아닌 지방의회의 승인이 필요합니다.
필요한 경우:
예산 집행 중 특정 사업에 자금이 부족하거나 남는 경우.
효율적인 자원 활용을 위해 예산을 유연하게 운용하고자 하는 경우.
프로세스:
신청: 예산 이용이 필요한 부서의 책임자가 이용 신청서를 작성합니다.
승인 요청: 신청서를 예산 담당 부서에 제출하고, 동시에 지방의회에 승인을 요청합니다.
심사 및 승인:
예산 담당자는 이용의 타당성을 검토합니다.
지방의회는 예산 심의 과정을 통해 이용안을 승인합니다.
공고 및 실행: 승인된 예산 이용은 관련 부서에 공지되고, 예산 사용이 조정됩니다.
주의사항:
모든 예산 이체, 변경, 전용, 이용은 관련 법규와 지침에 따라 엄격히 관리되어야 하며, 임의로 이루어져서는 안 됩니다.
특히 예산 이용의 경우, 지방의회의 승인이 필수적이므로 반드시 정당한 절차를 거쳐야 합니다.
예산 조정에 앞서 충분한 사전 검토와 협의를 통해 부작용을 최소화해야 합니다.
참고 자료:
지방재정법 및 관련 규정
행정안전부에서 발행한 지방자치단체 예산편성 운영기준
예산 담당 부서의 매뉴얼 및 지침서
이러한 프로세스는 예산의 효율적 사용과 투명성을 보장하기 위한 것으로, 정확한 절차 준수가 중요합니다. 구체적인 사례나 상황에 대해 더 궁금하신 점이 있으시면 언제든지 말씀해 주세요. 도움이 필요하시면 추가로 자세히 안내해 드리겠습니다.</t>
  </si>
  <si>
    <t>ㆍ210_2307_예산담당관_업무매뉴얼_행정안전부_2024년도_지방자치단체_예산편성_운영기준_및_기금운용계획_수립기준.pdf (p.357, 415)
https://busanai.busan.go.kr/download/210_2307_예산담당관_업무매뉴얼_행정안전부_2024년도_지방자치단체_예산편성_운영기준_및_기금운용계획_수립기준.pdf
ㆍ212_2407_예산담당관_업무매뉴얼_행정안전부_2025년도_지방자치단체_예산편성_운영기준_및_기금운용계획_수립기준.pdf (p.401)
https://busanai.busan.go.kr/download/212_2407_예산담당관_업무매뉴얼_행정안전부_2025년도_지방자치단체_예산편성_운영기준_및_기금운용계획_수립기준.pdf</t>
  </si>
  <si>
    <t>근거문서가 연도를 달리해서 동일한 내용이 있다면
최신 문서를 근거로 활용바랍니다.
그리고 예산 이체 &gt; 필요한 경우에서 특정 사업이나 ~ 이런 내용은 근거문서에 없는데도 불구하고 생성된 답변에 불필요한 내용이 들어가있습니다.
기대답변:
1. 예산 이체
 - 적용 범위: 조직개편에 따른 부서 간(실·과·사업소) 예산 이동
 - 핵심 원리:
기구·직제·정원 변경에 따른 직무권한 변동이 있을 때만 가능
목적·내용 변경이 아니라 “누가 그 사업을 수행하느냐”의 문제이므로 의회 의결 대상 아님(분기별 보고만)
사업단위 이체가 원칙, 분할·합병 불가
인력운영비·기본경비는 인원수 기준으로 배분 가능
 - 시기:
조직 개편으로 사업 주체(부서)가 바뀌었을 때
예) 부서가 2개로 분할, 2개 부서가 통합
단순 명칭 변경은 이체 대상 아님
 - 절차:
사업부서: 조직개편에 맞게 당해연도 집행내역 재편성 후 이체요구서 제출
예산부서: 심의·조정
지자체장: 이체 결정
예산부서: 통보
지방의회: 분기별 제출(사후보고)
2. 예산 변경사용
 - 적용 범위: 동일 단위사업 내 세부사업 간 또는 동일 세부사업 내 통계목 간
 - 핵심 원리:
사업 목적·내용 변경이 아니라 세부 집행계획 수준의 조정
실·국장 책임 하에서 처리 가능(의회·단체장 승인 불요)
그러나 목그룹을 달리하면 ‘전용’이므로 변경사용 불가
 - 시기:
같은 단위사업 안에서 집행편성의 경미한 조정이 필요한 때
세부사업 간 소규모 배분 변경, 세부 편성목 간 조정
 - 제한:
전용제한 편성목(인건비, 시설비 등)은 변경도 제한
세부사업이 없는 단위사업은 변경사용 불가
변경 후 재변경 불가
 - 절차:
사업담당: 세출예산변경내역서 작성 + 집행계획 수정
예산부서와 협의
실·국장 또는 실·과장 결재로 확정
예산·자금·회계부서에 결과 통지 → 예산부서가 배정계획 수정
3. 예산 전용
- 적용 범위: 정책사업 내 단위사업 간 또는 동일 단위사업 내 ‘목그룹 간’
- 핵심 원리:
예산은 예정적 계획이므로 집행 중 여건 변화가 있을 수 있음
정책사업 범위 안에서 국장 책임 하에 지자체장 승인으로 조정 가능
단, 목적 외 사용의 예외이므로 사용 자체가 제한적이어야 함
- 시기:
정책사업은 동일하지만 세부 단위사업 간 배분을 조정해야 할 때
동일 단위사업 내에서 목그룹 간 조정이 필요한 때
- 전용 불가 사항(필수 확인):
인건비(기준인건비 포함), 시설비 및 부대비(401), 차입금 원금상환(601), 이자상환(311), 예수금 원리금상환(705), 업무추진비 충당 목적
세부사업이 없는 단위사업은 전용 불가
전용 후 재전용 금지
시설비(401)는 동일 세부사업 내 통계목 간만 변경 가능
※ 예외: 재난안전법상 재난 대응 시 기존 전용예산도 재전용 가능
- 절차:
사업부서: 통계목 단위로 세출예산전용요구서 작성 및 집행계획 수정
예산부서: 결격사유 심사
지자체장: 전용 결정
예산부서: 배정계획 수정·통보
지방의회: 분기별 전용내역 제출(사후보고 성격)
4. 예산 이용
- 적용 범위: 정책사업 간 예산 융통(입법과목 수준)
- 핵심 원리:
정책사업은 지방의회가 승인한 입법과목
따라서 이용은 집행부 재량 불가, 반드시 지방의회 의결 필요
사업 목적·규모 변화가 수반되므로 집행부 단독 변경은 의회 예산심의권 침해
- 시기:
세출예산 목적 외 사용이 필요하거나 정책사업 간 재원 이동이 필요한 경우
단, 사전에 지방의회가 ‘이용 가능’하도록 예산을 편성·의결한 경우에 한함
- 절차:
사업부서: 통계목 기준으로 세출예산이용요구서 + 집행계획 수정 제출
예산부서: 법령 위반·결격 여부 검토
지방의회: 의결(필수)
예산부서: 배정계획 수정 → 수시배정 확정 후 통보
- 유의점:
사업 주요내용·규모 변화가 발생하므로 매우 제한적으로 사용해야 함
단순 잔액 소진 목적의 이용은 부적절
&lt;요약 : 예산의 이용, 전용, 변경사용, 이체 구분&gt;
이용 : 적용범위(정책사업간), 요구권자(지방자치단체의 장), 승인권자(지방의회)
전용 : 적용범위(단위사업간), 요구권자(부서, 기관의 장), 승인권자(지방자치단체의 장)
변경 : 적용범위(세부사업간), 요구권자(사업담당자), 승인권자(실국장, 사업소장)
이체 : 적용범위(실,과,사업소간), 요구권자(부서, 기관의 장), 승인권자(지방자치단체의 장)</t>
  </si>
  <si>
    <t>1. 예산 이체
  - 적용 범위: 조직개편에 따른 부서 간(실·과·사업소) 예산 이동
  - 핵심 원리:
 기구·직제·정원 변경에 따른 직무권한 변동이 있을 때만 가능
 목적·내용 변경이 아니라 “누가 그 사업을 수행하느냐”의 문제이므로 의회 의결 대상 아님(분기별 보고만)
 사업단위 이체가 원칙, 분할·합병 불가
 인력운영비·기본경비는 인원수 기준으로 배분 가능
  - 시기:
 조직 개편으로 사업 주체(부서)가 바뀌었을 때
 예) 부서가 2개로 분할, 2개 부서가 통합
 단순 명칭 변경은 이체 대상 아님
  - 절차:
 사업부서: 조직개편에 맞게 당해연도 집행내역 재편성 후 이체요구서 제출
 예산부서: 심의·조정
 지자체장: 이체 결정
 예산부서: 통보
 지방의회: 분기별 제출(사후보고)
 2. 예산 변경사용
  - 적용 범위: 동일 단위사업 내 세부사업 간 또는 동일 세부사업 내 통계목 간
  - 핵심 원리:
 사업 목적·내용 변경이 아니라 세부 집행계획 수준의 조정
 실·국장 책임 하에서 처리 가능(의회·단체장 승인 불요)
 그러나 목그룹을 달리하면 ‘전용’이므로 변경사용 불가
  - 시기:
 같은 단위사업 안에서 집행편성의 경미한 조정이 필요한 때
 세부사업 간 소규모 배분 변경, 세부 편성목 간 조정
  - 제한:
 전용제한 편성목(인건비, 시설비 등)은 변경도 제한
 세부사업이 없는 단위사업은 변경사용 불가
 변경 후 재변경 불가
  - 절차:
 사업담당: 세출예산변경내역서 작성 + 집행계획 수정
 예산부서와 협의
 실·국장 또는 실·과장 결재로 확정
 예산·자금·회계부서에 결과 통지 → 예산부서가 배정계획 수정
 3. 예산 전용
 - 적용 범위: 정책사업 내 단위사업 간 또는 동일 단위사업 내 ‘목그룹 간’
 - 핵심 원리:
 예산은 예정적 계획이므로 집행 중 여건 변화가 있을 수 있음
 정책사업 범위 안에서 국장 책임 하에 지자체장 승인으로 조정 가능
 단, 목적 외 사용의 예외이므로 사용 자체가 제한적이어야 함
 - 시기:
 정책사업은 동일하지만 세부 단위사업 간 배분을 조정해야 할 때
 동일 단위사업 내에서 목그룹 간 조정이 필요한 때
 - 전용 불가 사항(필수 확인):
 인건비(기준인건비 포함), 시설비 및 부대비(401), 차입금 원금상환(601), 이자상환(311), 예수금 원리금상환(705), 업무추진비 충당 목적
 세부사업이 없는 단위사업은 전용 불가
 전용 후 재전용 금지
 시설비(401)는 동일 세부사업 내 통계목 간만 변경 가능
 ※ 예외: 재난안전법상 재난 대응 시 기존 전용예산도 재전용 가능
 - 절차:
 사업부서: 통계목 단위로 세출예산전용요구서 작성 및 집행계획 수정
 예산부서: 결격사유 심사
 지자체장: 전용 결정
 예산부서: 배정계획 수정·통보
 지방의회: 분기별 전용내역 제출(사후보고 성격)
 4. 예산 이용
 - 적용 범위: 정책사업 간 예산 융통(입법과목 수준)
 - 핵심 원리:
 정책사업은 지방의회가 승인한 입법과목
 따라서 이용은 집행부 재량 불가, 반드시 지방의회 의결 필요
 사업 목적·규모 변화가 수반되므로 집행부 단독 변경은 의회 예산심의권 침해
 - 시기:
 세출예산 목적 외 사용이 필요하거나 정책사업 간 재원 이동이 필요한 경우
 단, 사전에 지방의회가 ‘이용 가능’하도록 예산을 편성·의결한 경우에 한함
 - 절차:
 사업부서: 통계목 기준으로 세출예산이용요구서 + 집행계획 수정 제출
 예산부서: 법령 위반·결격 여부 검토
 지방의회: 의결(필수)
 예산부서: 배정계획 수정 → 수시배정 확정 후 통보
 - 유의점:
 사업 주요내용·규모 변화가 발생하므로 매우 제한적으로 사용해야 함
 단순 잔액 소진 목적의 이용은 부적절
 &lt;요약 : 예산의 이용, 전용, 변경사용, 이체 구분&gt;
 이용 : 적용범위(정책사업간), 요구권자(지방자치단체의 장), 승인권자(지방의회)
 전용 : 적용범위(단위사업간), 요구권자(부서, 기관의 장), 승인권자(지방자치단체의 장)
 변경 : 적용범위(세부사업간), 요구권자(사업담당자), 승인권자(실국장, 사업소장)
 이체 : 적용범위(실,과,사업소간), 요구권자(부서, 기관의 장), 승인권자(지방자치단체의 장)</t>
  </si>
  <si>
    <t>401, 402, 403, 404, 405</t>
  </si>
  <si>
    <r>
      <rPr>
        <rFont val="&quot;맑은 고딕&quot;"/>
        <color rgb="FF000000"/>
        <sz val="11.0"/>
      </rPr>
      <t xml:space="preserve">나. 예산의 이・전용, 변경, 이체
 1 ) 예산의 이용(지방재정법 제47조의2제1항)
 ○ 예산의 이용은 정책사업 간에 예산을 상호 융통하여 사용하는 것을 말함○ 정책사업은 입법과목에 해당하기 때문에 예산의 이용은 집행부의 재량사항이 아니고 지방의회의 승인을 얻어야 함
 ○ 지방자치단체장은 세출예산에 정한 목적 외에 경비를 사용하거나 세출 예산이 정한 각 정책사업 간에 상호 이용할 수 없음
 - 다만 예산집행 상 필요에 의하여 미리 예산으로서 지방의회의 의결을 얻었을
 때에는 이용이 가능하도록 하고 있음
 ○ 예산집행에 있어서 이용이 필요한 경우에는 지방자치단체장이 이용을 필요로 하는 과목⋅금액⋅이유 등을 명시한 서류를 지방의회에 제출하여 지방의회의 의결을 받아야 함
 ○ 예산의 이용은 사업의 주요내용이나 규모의 변경을 의미하므로 이를 집행부의 재량으로 위임하는 것은 예산심의권을 무용화시키는 것이기 때문에 지방의회의 승인을 받도록 하고 있는 것임
 ○ 이용방법：사업부서가 정책사업간 통계목까지 이용을 요구하고 예산부서는 편성목까지 확정
 - 이용요구：사업부서는 통계목단위로 세출예산이용요구서를 작성하고 세출예산집행계획을 수정하여 예산부서에 제출
 - 이용확정：사업부서로부터 세출예산이용요구서가 제출된 경우, 예산 부서는
 이용처리에 따른 결격사유가 없을 때에는 (지방의회 승인사항) 지체없이 세출예산배정계획을 수정하고 이용 및 수시배정 확정 후 관련부서에 통보
---
</t>
    </r>
    <r>
      <rPr>
        <rFont val="&quot;맑은 고딕&quot;"/>
        <color rgb="FF0000FF"/>
        <sz val="11.0"/>
      </rPr>
      <t xml:space="preserve">[Top5 선정 필요]
</t>
    </r>
    <r>
      <rPr>
        <rFont val="&quot;맑은 고딕&quot;"/>
        <color rgb="FFFF0000"/>
        <sz val="11.0"/>
      </rPr>
      <t xml:space="preserve">&gt;&gt; 페이지 선정에 어려움이 있는 경우 문서와 페이지를 안내하도록 별도로 정리한 FAQ 질의로 따로 정리하겠습니다.
</t>
    </r>
    <r>
      <rPr>
        <rFont val="&quot;맑은 고딕&quot;"/>
        <color rgb="FF00B050"/>
        <sz val="11.0"/>
      </rPr>
      <t>&gt;&gt; 406페이지도 필요로하며 알고리즘에 의 405페이지 청크 뒤에 포함되서 전달됨</t>
    </r>
  </si>
  <si>
    <r>
      <rPr>
        <rFont val="맑은 고딕"/>
        <b/>
        <color rgb="FF000000"/>
        <sz val="11.0"/>
      </rPr>
      <t>212_2407_예산담당관_업무매뉴얼_행정안전부_2025년도_지방자치단체_예산편성_운영기준_및_기금운용계획_수립기준.pdf (p.401~406)</t>
    </r>
    <r>
      <rPr>
        <rFont val="맑은 고딕"/>
        <color rgb="FF000000"/>
        <sz val="11.0"/>
      </rPr>
      <t xml:space="preserve">
----
나. 예산의 이</t>
    </r>
    <r>
      <rPr>
        <rFont val="Yu Gothic"/>
        <color rgb="FF000000"/>
        <sz val="11.0"/>
      </rPr>
      <t>・</t>
    </r>
    <r>
      <rPr>
        <rFont val="맑은 고딕"/>
        <color rgb="FF000000"/>
        <sz val="11.0"/>
      </rPr>
      <t>전용, 변경, 이체
1 ) 예산의 이용(지방재정법 제47조의2제1항)
○ 예산의 이용은 정책사업 간에 예산을 상호 융통하여 사용하는 것을 말함○ 정책사업은 입법과목에 해당하기 때문에 예산의 이용은 집행부의 재량사항이 아니고 지방의회의 승인을 얻어야 함
○ 지방자치단체장은 세출예산에 정한 목적 외에 경비를 사용하거나 세출 예산이 정한 각 정책사업 간에 상호 이용할 수 없음
- 다만 예산집행 상 필요에 의하여 미리 예산으로서 지방의회의 의결을 얻었을
때에는 이용이 가능하도록 하고 있음
○ 예산집행에 있어서 이용이 필요한 경우에는 지방자치단체장이 이용을 필요로 하는 과목</t>
    </r>
    <r>
      <rPr>
        <rFont val="Cambria Math"/>
        <color rgb="FF000000"/>
        <sz val="11.0"/>
      </rPr>
      <t>⋅</t>
    </r>
    <r>
      <rPr>
        <rFont val="맑은 고딕"/>
        <color rgb="FF000000"/>
        <sz val="11.0"/>
      </rPr>
      <t>금액</t>
    </r>
    <r>
      <rPr>
        <rFont val="Cambria Math"/>
        <color rgb="FF000000"/>
        <sz val="11.0"/>
      </rPr>
      <t>⋅</t>
    </r>
    <r>
      <rPr>
        <rFont val="맑은 고딕"/>
        <color rgb="FF000000"/>
        <sz val="11.0"/>
      </rPr>
      <t>이유 등을 명시한 서류를 지방의회에 제출하여 지방의회의 의결을 받아야 함
○ 예산의 이용은 사업의 주요내용이나 규모의 변경을 의미하므로 이를 집행부의 재량으로 위임하는 것은 예산심의권을 무용화시키는 것이기 때문에 지방의회의 승인을 받도록 하고 있는 것임
○ 이용방법：사업부서가 정책사업간 통계목까지 이용을 요구하고 예산부서는 편성목까지 확정
- 이용요구：사업부서는 통계목단위로 세출예산이용요구서를 작성하고 세출예산집행계획을 수정하여 예산부서에 제출
- 이용확정：사업부서로부터 세출예산이용요구서가 제출된 경우, 예산 부서는
이용처리에 따른 결격사유가 없을 때에는 (지방의회 승인사항) 지체없이 세출예산배정계획을 수정하고 이용 및 수시배정 확정 후 관련부서에 통보</t>
    </r>
  </si>
  <si>
    <t>ㆍ210_2307_예산담당관_업무매뉴얼_행정안전부_2024년도_지방자치단체_예산편성_운영기준_및_기금운용계획_수립기준.pdf (p.357, 415)
-----
[p.415] ~ [p.420]
데이터 길이 문제로 내용 생략</t>
  </si>
  <si>
    <t>각종 홍보자료를 시청 홈페이지, 엘리베이터 화면, 기타 홍보게시판 등 게시하려면 어떻게 해야하나요?</t>
  </si>
  <si>
    <t>관련근거 : 미디어담당관 콘텐츠기획팀 업무관련FAQ
기대답변 :
SNS에만 홍보하는 것이라면 홍보협업매뉴얼을 참고하시어 공문 보내주시면 되고, 부산시 홍보 매체를 전반적으로 활용하고 싶으시다면 홍보담당관으로 연락주시기 바랍니다.</t>
  </si>
  <si>
    <t>SNS에만 홍보하는 것이라면 홍보협업매뉴얼을 참고하시어 공문 보내주시면 되고, 부산시 홍보 매체를 전반적으로 활용하고 싶으시다면 홍보담당관으로 연락주시기 바랍니다.</t>
  </si>
  <si>
    <t>콘텐츠기획팀 업무관련 FAQ
 □ 행사·사업 홍보를 하고 싶은데 어떻게 해야 하나요?
 - SNS에만 홍보하는 것이라면 홍보협업매뉴얼을 참고하시어 공문 보내
 주시면 되고, 부산시 홍보 매체를 전반적으로 활용하고 싶으시다면
 홍보담당관으로 연락주시기 바랍니다.
 □ 사업관련 포스터(영상 등)를 제작했는데, SNS에 올릴 수 있나요?
 - 자체적으로 제작한 경우 게시를 희망하는 날 2주 전까지 게시 협조 공
 문 발송하여야 합니다. 제작이 늦어질 경우 공문을 기한내에 먼저 발
 송한 뒤, 온 메일 또는 온톡을 통해 별도 송부하시면 됩니다.
 □ 홍보 이미지 제작 해주시나요?
 - 부산시가 주최하는 행사나 사업과 관련하여 SNS에 꼭 홍보가 필요한
 경우, 자체적으로 제작이 어려우실 때 콘텐츠기획팀에서 제작을 도와
 드립니다. 다만, 시 공식 SNS 업로드를 목적으로 제작하고 있기때문
 에 콘텐츠의 주제에 따라 제작 형태가 달라집니다. 이렇게 제작된 이
 미지는 다른용도로 활용하기 어려울 수 있으며, 사이즈 변경 지원은
 해드리지 않습니다.</t>
  </si>
  <si>
    <t>안녕하세요! 제가 도와드릴 수 있도록 질문의 내용과 관련된 문서들을 자세히 살펴보았습니다.
첫 번째 문서인 '[파일명: 283_2501_인사과_기타_인사과_2025년_부산광역시_청구안내문단체보장보험.pdf]'에서는 다음과 같은 정보가 제공되고 있습니다:
계약단체: 부산광역시청
보험기간: 2025-01-01 00:00 ~ 2025-12-31 24:00 (1년간)
주관보험사: KB손해보험
피보험자: 부산광역시청 소속 공무원
기타사항: KB손해보험 단체보험 콜센터 연락처 (☎ 1544-1616)
또한, 이 문서에는 "본 안내문은 보험약관의 이해를 돕기 위한 자료로써 안내문에 언급되지 아니한 사항은 계약 사항 및 해당 약관에 따릅니다."라는 주의사항이 포함되어 있습니다.
두 번째 문서인 '[파일명: 279_2501_인사과_기타_인사과_2025년_맞춤형복지_단체보장보험_가입내용_및_청구방법_안내.pdf]'에서는 보다 구체적인 보장 범위와 청구 방법에 대한 내용이 담겨 있습니다:
보험기간: 2025년 1월 1일 00:00 ~ 2025년 12월 31일 24:00 (1년간)
주관보험사: KB손해보험 (콜센터 ☎ 1544-1616)
단체보험 보장범위 및 내용(직원):
생명보험: 재해 또는 질병으로 인한 사망 시 1억 원 지급
공무 중 사망: 5천만 원 지급
상해보험: 장해 지급률에 따라 최대 1억 원까지 지급
암/뇌졸중/심근경색 최초 진단 시: 각 1천만 원 지급
5종 수술비: 수술 종류에 따라 최소 7만 원에서 최대 150만 원 지급
대장·위 폴립 진단비: 1회에 한해 10만 원 지급
치아 치료비(보철): 임플란트, 브릿지, 틀니 등 보철 치료 시 연간 3개 한도로 개당 30만 원 지급
상해/폭행 위로금: 100만 원 지급
피싱, 해킹, 금융사기 피해 보상: 500만 원 한도 내에서 금전적 손해 보상
실손의료비(선택 항목): 입원 및 통원 의료비 통합하여 최대 3천만 원 지급 (통원 1회당 15만 원 한도)
청구 방법에 대해서는 두 문서 모두 KB손해보험의 단체보험 콜센터를 통해 청구가 가능하며, 자세한 절차나 필요 서류 등은 콜센터에서 안내받을 수 있다고 합니다.
추가적으로, 첫 번째 문서 말미에 "본 안내문은 보험약관의 이해를 돕기 위한 자료로써 안내문에 언급되지 아니한 사항은 계약 사항 및 해당 약관에 따릅니다."라고 되어 있으므로, 더 자세한 내용은 실제 약관을 확인하거나 보험사에 문의하시는 것이 좋습니다.
결론적으로, 단체보장보험의 세부 보장 내용과 청구 방법은 위의 정보를 기반으로 하며, 정확한 정보 확인을 위해 KB손해보험 콜센터에 연락하시거나 관련 서류를 참고하시면 됩니다.
더 궁금한 점이 있으시면 언제든지 물어보세요! 도움이 필요하면 언제든 말씀해 주세요.</t>
  </si>
  <si>
    <t>ㆍ279_2501_인사과_기타_인사과_2025년_맞춤형복지_단체보장보험_가입내용_및_청구방법_안내.pdf (p.1)
https://busanai.busan.go.kr/download/279_2501_인사과_기타_인사과_2025년_맞춤형복지_단체보장보험_가입내용_및_청구방법_안내.pdf
ㆍ283_2501_인사과_기타_인사과_2025년_부산광역시_청구안내문단체보장보험.pdf (p.1)
https://busanai.busan.go.kr/download/283_2501_인사과_기타_인사과_2025년_부산광역시_청구안내문단체보장보험.pdf</t>
  </si>
  <si>
    <t>근거문서와 답변 내용 순서가 바뀐거 제외하고는 이상없습니다.
다만 이런 문서들(시기 적용이 중요한 문서)에 대한
추후 업데이트 관련 프로세스가 필요할 것으로 보입니다.</t>
  </si>
  <si>
    <r>
      <rPr>
        <rFont val="맑은 고딕"/>
        <b/>
        <color rgb="FF000000"/>
        <sz val="11.0"/>
      </rPr>
      <t>279_2501_인사과_기타_인사과_2025년_맞춤형복지_단체보장보험_가입내용_및_청구방법_안내.pdf (p.1)</t>
    </r>
    <r>
      <rPr>
        <rFont val="맑은 고딕"/>
        <color rgb="FF000000"/>
        <sz val="11.0"/>
      </rPr>
      <t xml:space="preserve">
-----
○ 계약기간 동안 업무 중, 업무 외를 불문하고 24시간 보장
○ 개인별 타 보험수혜와 관계없이 중복보상, 단, 실손의료비 제외
○ 보험별 세부내용(직원)
 - 생명보험: 1억원(재해, 질병 사망)
 - 공무 중 사망: 5천만원
 - 상해보험: 1억원(장해지급률에 따라 차등지급)
 - 암/뇌졸증/심근경색 최초진단: 1천만원
 - 5종 수술비: 1종 7만원 ~ 5종 150만원
 - 대장, 위 폴립진단비 : 10만원(1회)
 - 치아치료비(보철) : 30만원(임플란트, 브릿지, 틀니 통합 연간 3개 한도)
 - 상해/폭행 위로금 : 1백만원
 - 피싱, 해킹, 금융사기 : 5백만원 한도(피싱, 해킹,금융사기로 인한 금전적 손해 보상)
 - 실소느이료비(선택항목): 입원 및 통원의료비 통합 3천만원(통원 1회당 15만원 한도)</t>
    </r>
  </si>
  <si>
    <r>
      <rPr>
        <rFont val="맑은 고딕"/>
        <b/>
        <color rgb="FF000000"/>
        <sz val="11.0"/>
      </rPr>
      <t xml:space="preserve">283_2501_인사과_기타_인사과_2025년_부산광역시_청구안내문단체보장보험.pdf (p.1)
</t>
    </r>
    <r>
      <rPr>
        <rFont val="맑은 고딕"/>
        <color rgb="FF000000"/>
        <sz val="11.0"/>
      </rPr>
      <t>-----
부산광역시청 2025년 단체보험
보장 내용 안내문
계약단체
부산광역시청
보험기간
2025-01-01 00:00 ~ 2025-12-31 24:00 (1년간)
주관보험사
KB손해보험
피보험자
부산광역시청 소속 공무원
기타사항
KB손해보험 단체보험콜센터 : 1544-1616 (ARS 2번 눌러 통화)</t>
    </r>
  </si>
  <si>
    <t>계약시 종류별 절차 및 구비서류는 무엇인가요?</t>
  </si>
  <si>
    <t xml:space="preserve">안녕하세요! 제가 도와드릴 수 있는 부분이 있다면 말씀해 주세요. 하지만 현재 제공하신 문서나 질문에서 구체적인 정보나 필요한 사항이 부족하여 정확한 답변을 드리기 어렵습니다. 더 자세한 정보를 제공해 주시면 도움을 드리겠습니다. 감사합니다. </t>
  </si>
  <si>
    <r>
      <rPr>
        <rFont val="Malgun Gothic"/>
        <color theme="1"/>
        <sz val="11.0"/>
      </rPr>
      <t>관련근거 : 회계재산담당관 2025년 계약업무 통합운영 매뉴얼 2P에 계약의뢰시 필요한 사항, 첨부서류 등이 나타나 있습니다. 계약 절차의 경우 표로 되어 있어서 인식에 어려움이 있을것으로 보입니다.
이 외에도 회계재산담당관에서 제출한 계약업무 참고자료, 개정판 용역,물품,공사 계약 길라잡이 등의 근거자료가 있습니다
기대답변 :
계약서류
○ 계약의뢰 요청서에 포함되어야 할 사항
1. 건  명
2. 사업의 개요(성격, 규모, 난이도 등)
3. 예산과목 및 소요금액
4. 계약의 방법 및 그 사유
5. 입찰참가자격의 요건
6. 현장설명의 장소</t>
    </r>
    <r>
      <rPr>
        <rFont val="Tahoma"/>
        <color theme="1"/>
        <sz val="11.0"/>
      </rPr>
      <t>․</t>
    </r>
    <r>
      <rPr>
        <rFont val="맑은 고딕"/>
        <color theme="1"/>
        <sz val="11.0"/>
      </rPr>
      <t>일시</t>
    </r>
    <r>
      <rPr>
        <rFont val="Tahoma"/>
        <color theme="1"/>
        <sz val="11.0"/>
      </rPr>
      <t>․</t>
    </r>
    <r>
      <rPr>
        <rFont val="맑은 고딕"/>
        <color theme="1"/>
        <sz val="11.0"/>
      </rPr>
      <t>참가자격 및 참가의무여부에 관한 사항
7. 공동계약을 허용하는 경우 공동계약의 이행방식
8. 준공 또는 납품 기한
9. 하자보증기간 및 비율
10. 발주(설계)부서 담당자 성명, 전화번호
11. 사전절차(계약심사, 계약심의 등) 이행여부
12. 그 밖에 계약에 필요한 사항
    ⇒ 지방계약법 시행령 제36조 및 부산광역시 회계 및 계약사무 처리지침 제5조
○ 계약의뢰시 첨부서류
    - 사업집행계획서(발주계획)
    - 사전절차 이행결과(계약심사 결과, 용역ㆍ물품의 경우 사전규격 공개)
    - 설계내역서(산출기초조사서), 공사의 경우 공내역서(물량내역서)
    - 시방서(과업지시서)
계약업무 절차
예산 배정 &gt; 사업계획(설계) 수립 &gt; 계약심사 의뢰 &gt; 계약심사 결과 반영 &gt; 사업계획(설계) 확정 &gt; 계약 의뢰 &gt; 계약 이행 &gt; 변경계약 접수, 확인 &gt; 변경계약 의뢰 &gt; 계약 이행 &gt; 준공 및 대가 지급</t>
    </r>
  </si>
  <si>
    <t>계약서류
 ○ 계약의뢰 요청서에 포함되어야 할 사항
 1. 건 명
 2. 사업의 개요(성격, 규모, 난이도 등)
 3. 예산과목 및 소요금액
 4. 계약의 방법 및 그 사유
 5. 입찰참가자격의 요건
 6. 현장설명의 장소․일시․참가자격 및 참가의무여부에 관한 사항
 7. 공동계약을 허용하는 경우 공동계약의 이행방식
 8. 준공 또는 납품 기한
 9. 하자보증기간 및 비율
 10. 발주(설계)부서 담당자 성명, 전화번호
 11. 사전절차(계약심사, 계약심의 등) 이행여부
 12. 그 밖에 계약에 필요한 사항
  ⇒ 지방계약법 시행령 제36조 및 부산광역시 회계 및 계약사무 처리지침 제5조
 ○ 계약의뢰시 첨부서류
  - 사업집행계획서(발주계획)
  - 사전절차 이행결과(계약심사 결과, 용역ㆍ물품의 경우 사전규격 공개)
  - 설계내역서(산출기초조사서), 공사의 경우 공내역서(물량내역서)
  - 시방서(과업지시서)
 계약업무 절차
 예산 배정 &gt; 사업계획(설계) 수립 &gt; 계약심사 의뢰 &gt; 계약심사 결과 반영 &gt; 사업계획(설계) 확정 &gt; 계약 의뢰 &gt; 계약 이행 &gt; 변경계약 접수, 확인 &gt; 변경계약 의뢰 &gt; 계약 이행 &gt; 준공 및 대가 지급</t>
  </si>
  <si>
    <t>4. 기관·부서별 역할분담
 구 분 역 할 분 담
 본 청
 (회계재산담당관
 계약지원팀)
 ❖ 계약의뢰 사업 입찰공고 / 적격심사 ❖ 계약체결(변경계약) 후 당해 계약서 의뢰기관 이관
 직속기관
 및
 사 업 소
 ❖ 사업계획수립, 설계, 계약심사, 계약심의위원회 심의요구 ❖ 계약(변경계약) 의뢰, 하도급관리 ❖ 착공(착수)․감독․검사 등 계약이행 ❖ 선금, 기성금, 준공․완료금 등 대가지급 ❖ 하자관리, 계약대장관리, 실적증명발급 등 사후관리
 5. 계약의뢰시 필요한 사항
 ○ 계약의뢰 요청서에 포함되어야 할 사항
 1. 건 명
 2. 사업의 개요(성격, 규모, 난이도 등)
 3. 예산과목 및 소요금액
 4. 계약의 방법 및 그 사유
 5. 입찰참가자격의 요건
 6. 현장설명의 장소․일시․참가자격 및 참가의무여부에 관한 사항
 7. 공동계약을 허용하는 경우 공동계약의 이행방식
 8. 준공 또는 납품 기한
 9. 하자보증기간 및 비율
 10. 발주(설계)부서 담당자 성명, 전화번호
 11. 사전절차(계약심사, 계약심의 등) 이행여부
 12. 그 밖에 계약에 필요한 사항
 ⇒ 지방계약법 시행령 제36조 및 부산광역시 회계 및 계약사무 처리지침 제5조
 ○ 계약의뢰시 첨부서류
 - 사업집행계획서(발주계획)
 - 사전절차 이행결과(계약심사 결과, 용역ㆍ물품의 경우 사전규격 공개)
 - 설계내역서(산출기초조사서), 공사의 경우 공내역서(물량내역서)
 - 시방서(과업지시서)</t>
  </si>
  <si>
    <t>계약으로 진행해야 하는 기준, 계약시 필요 서류 안내, 일반지출이 아닌 계약, 수의 계약이 아닌 입찰 진행할 때 선행 절차와 필요한 서류 안내, 계약 종류별 절차 와 구비서류 안내</t>
  </si>
  <si>
    <t>공무국외출장 절차는 무엇인가요?</t>
  </si>
  <si>
    <t>부산광역시청 임직원의 공무국외출장 절차는 다음과 같습니다.
출장 필요성 검토: 먼저, 해당 출장이 반드시 필요한지 여부를 검토해야 합니다. 이는 예산 절감과 효율적인 업무 추진을 위해 중요합니다.
계획 수립: 출장의 목적, 일정, 방문 기관 및 장소 등을 상세하게 계획합니다. 이 단계에서는 예상되는 비용도 산출합니다.
상급자 승인 요청: 작성한 출장 계획서를 상급자에게 제출하여 승인을 받습니다. 이때 출장 목적과 기대 효과에 대해 명확히 설명해야 합니다.
내부 결재 진행: 내부적인 결재 절차를 거칩니다. 이는 조직 내부의 규칙과 절차에 따라 이루어집니다.
예산 신청: 필요한 경비를 확보하기 위해 예산을 신청합니다. 이는 재무 부서와 협의하여 진행됩니다.
사전 준비: 비자 발급, 항공권 예약, 숙박 예약 등 출장에 필요한 사전 준비를 합니다.
보안 교육 이수: 보안 관련 교육을 이수하여 정보 보호 의식을 강화합니다.
출장 수행: 계획된 일정에 따라 출장을 수행하며, 모든 활동은 공식 업무와 연관되어야 합니다.
보고서 작성 및 결과 공유: 출장 후에는 보고서를 작성하여 결과를 상급자와 관련 부서원들과 공유합니다. 이를 통해 얻은 정보를 조직 내에서 활용할 수 있습니다.
비용 정산: 출장 중 사용한 비용을 정산하고 영수증 등의 증빙 자료를 보관합니다.
이러한 절차를 통해 공무국외출장은 체계적이고 효율적으로 관리되며, 조직의 목표 달성에 기여할 수 있습니다. 추가적인 질문이나 도움이 필요하시면 언제든지 말씀해 주세요!</t>
  </si>
  <si>
    <t>ㆍ268_2405_인사과_업무매뉴얼_행정안전부_출장관리_매뉴얼.pdf (p.26, 27, 28)
https://busanai.busan.go.kr/download/268_2405_인사과_업무매뉴얼_행정안전부_출장관리_매뉴얼.pdf</t>
  </si>
  <si>
    <t xml:space="preserve">관련근거는 인사랑에서 국외출장 시 시스템에서 신청하는 방법에 대한 절차입니다.
질의 내용에 인사랑이라는 단어나 등록 방법 등 시스템에 관한 문의보다는
실제 공무국외출장 시 행정 절차에 관한 질문으로 파악됩니다.
해당 질문에 대한 근거 자료로는 
자치법규 중 부산광역시 공무국외출장 조례를 참고하시면 됩니다.
기대답변 : 
공무국외출장 절차 (조례 원문 근거로만 정리)
1. 연간 기본계획 수립·공개 - 시장은 매년 1월 31일까지 해당 연도 공무국외출장 기본계획을 수립해 시 홈페이지에 공개한다(제3조)
2. 출장 허가 신청
 - 국외출장을 하려는 공무원 등은 시장의 허가를 받아야 한다(제4조제1항)
 - 출국 30일 전까지 다음 서류를 첨부해 허가 담당 부서장에게 신청한다(제4조제2항)
 - 공무국외출장계획서, 국외출장자 수칙, 항공운임 산출내역서, 기타 관계서류
3. 위원회 심사 대상 여부 판단 - 다음 경우에는 공무국외출장 심사위원회에서 타당성 심사를 받는다(제5조제1항)
 - 시찰·견학·참관·자료수집 등을 목적으로 하는 3인 이상 출장
 - 경비의 전부 또는 일부를 외부 기관·단체·개인이 부담하는 출장(일부 예외 제외)
 - 시장이 심사 필요하다고 인정한 출장
 - 심사 기준 : 필요성, 방문국·방문기관 타당성, 여행자 적합성, 시기 적정성, 경비 적정성
4. 위원회 심의·의결 절차
 - 매월 1회 정기회의 개최, 필요시 임시회의(제7조제1항)
 - 구성 기준에 맞는 위원 출석으로 개의하고 과반수 찬성으로 의결(제7조제3항)
 - 긴급 시 서면 의결 가능(제7조제4항)
 - 필요하면 출장 대상자·관계인의 출석 또는 자료 제출 요구 가능(제8조)
5. 출국 전 소양교육 실시
 - 출장 계획 부서장은 출장자에게 수칙·보안서약 등 소양교육을 실시해야 한다(제10조)
 - 경력·경험 등을 고려해 생략 가능
6. 출장 중 준수사항
 - 특수 사정 발생 또는 목적 미달성 시 즉시 시장에게 보고(제11조제1항)
 - 신변안전 관련 현지 정세·감염병 상황 준수(제11조제2항)
 - 품위 유지·규범 준수·방문 약속 임의 변경 금지(제11조제3항)
 - 기밀 누설 금지(제11조제4항)
7. 자료 수집 과제 이행(부여된 경우)
 - 시장은 필요 시 외국 자료 수집 과제를 부여할 수 있으며, 경비 지급 가능(제12조)
 - 과제 범위는 정치·경제·사회·문화·행정제도 등 시정 발전 관련 사항
8. 출장계획서·귀국보고서 제출
 - 행정포털시스템에 다음 자료 등록(제13조제1항)
 - 출장계획서: 출국 10일 전까지
 - 귀국보고서 및 수집자료: 귀국 후 30일 이내
 - 보고서는 목적 대비 결과 판단이 가능하도록 상세히 작성해야 한다(제13조제2항)
 - 수집자료는 관련 부서에 통보해 활용되도록 해야 한다(제13조제3항)
 - 제출 기한 미준수 시 향후 출장 제한 가능(제13조제4항)
9. 사후 활용 및 관리
 - 시장은 출장 중 습득한 지식·기술이 직무에 활용되도록 조치해야 한다(제14조)
10. 항공마일리지 활용 노력
 - 출장자는 발생한 항공마일리지 활용에 노력해야 한다(제15조)
11. 출장경비 환수 가능
 - 천재지변 등 불가피한 사유 외, 의결된 목적·계획과 다르게 경비가 부당 지출된 경우 환수할 수 있다(제16조)
</t>
  </si>
  <si>
    <t>공무국외출장 절차 (조례 원문 근거로만 정리)
 1. 연간 기본계획 수립·공개 - 시장은 매년 1월 31일까지 해당 연도 공무국외출장 기본계획을 수립해 시 홈페이지에 공개한다(제3조)
 2. 출장 허가 신청
  - 국외출장을 하려는 공무원 등은 시장의 허가를 받아야 한다(제4조제1항)
  - 출국 30일 전까지 다음 서류를 첨부해 허가 담당 부서장에게 신청한다(제4조제2항)
  - 공무국외출장계획서, 국외출장자 수칙, 항공운임 산출내역서, 기타 관계서류
 3. 위원회 심사 대상 여부 판단 - 다음 경우에는 공무국외출장 심사위원회에서 타당성 심사를 받는다(제5조제1항)
  - 시찰·견학·참관·자료수집 등을 목적으로 하는 3인 이상 출장
  - 경비의 전부 또는 일부를 외부 기관·단체·개인이 부담하는 출장(일부 예외 제외)
  - 시장이 심사 필요하다고 인정한 출장
  - 심사 기준 : 필요성, 방문국·방문기관 타당성, 여행자 적합성, 시기 적정성, 경비 적정성
 4. 위원회 심의·의결 절차
  - 매월 1회 정기회의 개최, 필요시 임시회의(제7조제1항)
  - 구성 기준에 맞는 위원 출석으로 개의하고 과반수 찬성으로 의결(제7조제3항)
  - 긴급 시 서면 의결 가능(제7조제4항)
  - 필요하면 출장 대상자·관계인의 출석 또는 자료 제출 요구 가능(제8조)
 5. 출국 전 소양교육 실시
  - 출장 계획 부서장은 출장자에게 수칙·보안서약 등 소양교육을 실시해야 한다(제10조)
  - 경력·경험 등을 고려해 생략 가능
 6. 출장 중 준수사항
  - 특수 사정 발생 또는 목적 미달성 시 즉시 시장에게 보고(제11조제1항)
  - 신변안전 관련 현지 정세·감염병 상황 준수(제11조제2항)
  - 품위 유지·규범 준수·방문 약속 임의 변경 금지(제11조제3항)
  - 기밀 누설 금지(제11조제4항)
 7. 자료 수집 과제 이행(부여된 경우)
  - 시장은 필요 시 외국 자료 수집 과제를 부여할 수 있으며, 경비 지급 가능(제12조)
  - 과제 범위는 정치·경제·사회·문화·행정제도 등 시정 발전 관련 사항
 8. 출장계획서·귀국보고서 제출
  - 행정포털시스템에 다음 자료 등록(제13조제1항)
  - 출장계획서: 출국 10일 전까지
  - 귀국보고서 및 수집자료: 귀국 후 30일 이내
  - 보고서는 목적 대비 결과 판단이 가능하도록 상세히 작성해야 한다(제13조제2항)
  - 수집자료는 관련 부서에 통보해 활용되도록 해야 한다(제13조제3항)
  - 제출 기한 미준수 시 향후 출장 제한 가능(제13조제4항)
 9. 사후 활용 및 관리
  - 시장은 출장 중 습득한 지식·기술이 직무에 활용되도록 조치해야 한다(제14조)
 10. 항공마일리지 활용 노력
  - 출장자는 발생한 항공마일리지 활용에 노력해야 한다(제15조)
 11. 출장경비 환수 가능
  - 천재지변 등 불가피한 사유 외, 의결된 목적·계획과 다르게 경비가 부당 지출된 경우 환수할 수 있다(제16조)</t>
  </si>
  <si>
    <t>부산광역시 공무국외출장 조례
 [시행 2024.02.14]
 (일부개정) 2024-02-14 조례 제 7188호 (부산광역시 행정기구 설치 조례)
 관리책임부서명 : 국제협력과
 관리책임전화번호 : 051-888-7751
 제1장 총칙
 제1조(목적) 이 조례는 부산광역시 소속 공무원 등이 부산광역시 업무 수행 등을 위한 국외출장을 실시함에 있어 필요한 사항을 규
 정함을 목적으로 한다.
 [전문개정 2021. 5. 26.]
 제2조(적용 범위) ① 이 조례의 적용 범위는 다음 각 호와 같다.
 1. 부산광역시(이하 “시”라 한다) 소속 공무원이 공무의 수행이나 그 밖에 직무와 관련하여 국외에 파견되거나 출장하는 경우
 2. 제1호에 해당하는 사람 외의 사람이 시 예산으로 공무의 수행을 위하여 국외에 출장하는 경우
 ② 다음 각 호의 어느 하나에 해당하는 공무국외출장에 대해서는 이 조례를 적용하지 아니 한다.&lt;개정 2021. 5. 26.&gt;
 1. 부산광역시장(이하 “시장”이라 한다)이 공무국외출장을 하는 경우
 2. 부산광역시의회 의원 및 부산광역시의회사무처 소속 공무원이 공무국외출장을 하는 경우
 3. 「지방공무원 교육훈련법」 또는 시 국외훈련계획에 따라 국외에 파견되는 경우
 4. 「국제과학기술협력 규정」에 따라 국외에 파견되는 경우
 5. 외국도시에 해외주재관으로 파견되는 경우
 6. 시 소속 공무원이 외부기관에 파견되어 파견된 기관의 경비로 국외에 출장하는 경우
 제3조(연간 공무국외출장 기본계획) 시장은 해마다 1월 31일까지 해당 연도의 공무국외출장 기본계획을 수립하고 이를 시 인터넷
 홈페이지를 통하여 공개하여야 한다. 기본계획을 변경한 경우에도 또한 같다.&lt;개정 2021. 5. 26.&gt;
 [제목개정 2021. 5. 26.]
 제2장 공무국외출장 심사·허가 등
 제4조(공무국외출장 허가 등) ① 제2조제1항의 공무원 등이 공무로 국외출장을 하려면 시장의 허가를 받아야 한다.&lt;개정 2021. 5.
 26.&gt;
 ② 제1항에 따라 공무국외출장 허가를 받으려는 사람은 출국예정일 30일 전까지 공무국외출장 허가를 담당하는 부서의 장에게 다
 음 각 호의 서류를 첨부하여 공무국외출장 허가신청을 하여야 한다. 다만, 긴급한 경우에는 그러하지 아니하다.&lt;개정 2021. 5. 26.&gt;
 1. 공무국외출장계획서
 2. 국외출장자 수칙
 3. 항공운임 산출내역서
 4. 그 밖의 관계서류
 ③ 공무국외출장 신청과 허가 등에 필요한 사항은 시장이 따로 정한다.&lt;개정 2021. 5. 26.&gt;
 제5조(위원회 설치·운영) ① 시장은 제3조에 따른 기본계획의 수립 및 변경과 다음 각 호의 어느 하나에 해당하는 공무국외출장의
 타당성을 심사하기 위하여 공무국외출장 심사위원회(이하 “위원회”라 한다)를 둔다.&lt;개정 2021. 5. 26.&gt;
 1. 각종 시찰, 견학, 참관, 자료 수집 등을 주된 목적으로 하는 3명 이상의 공무국외출장
 2. 출장경비의 전부 또는 일부를 공무국외출장자의 다른 기관·단체(국가기관, 지방자치단체의 장 등의 협의체, 외국의 정부기관, 국
 제기구는 제외한다) 또는 개인이 부담하는 공무국외출장
 3. 그 밖에 시장이 위원회의 심사가 필요하다고 인정하는 공무국외출장
 ② 공무국외출장에 대한 심사항목 및 허가기준은 별표와 같다.&lt;개정 2021. 5. 26.&gt;
 1. 여행의 필요성
 2. 방문국과 방문기관의 타당성
 3. 여행자의 적합성
 4. 여행시기의 적시성
 5. 여행경비의 적정성
 제6조(위원회의 구성) ① 위원회는 위원장 1명을 포함하여 15명 이내의 위원으로 구성한다.&lt;개정 2021. 5. 26.&gt;
 ② 위원회의 위원장은 관광마이스국장이 되고, 위원은 예산부서의 장, 인사부서의 장, 감사부서의 장 및 국제협력 관련 업무부서의
 장과 다음 각 호의 어느 하나에 해당하는 사람 중에서 성별을 고려하여 시장이 임명 또는 위촉하되, 위촉위원은 위원수의 3분의 2
 이상으로 한다.&lt;개정 2018. 8. 1., 2019. 1. 9., 2019. 7. 10., 2020. 1. 1., 2021. 5. 26., 2021. 7. 7., 2022.8.5., 2024. 2. 14.&gt;
 1. 시 소속 5급 이상 공무원
 2. 공무국외출장 경험이 풍부하거나 전문적 식견을 가진 사람
 3. 그 밖에 시장이 경험과 전문성을 인정한 사람
 ③ 위촉위원의 임기는 2년으로 하되, 한 번만 연임할 수 있다. 다만, 보궐위원의 임기는 전임위원의 남은 기간으로 한다.
 ④ 위원장은 위원회를 대표하고, 위원회의 업무를 총괄한다.
 ⑤ 위원장이 공석 또는 부득이한 사유로 그 직무를 수행할 수 없을 때에는 위원장이 미리 지명한 위원이 그 직무를 대행한다.
 ⑥ 위원회에 위원회의 사무를 처리할 간사 1명을 두며, 간사는 공무국외출장허가업무 담당사무관이 된다.&lt;개정 2021. 5. 26.&gt;
 ⑦ 이 조례에서 규정한 것 외에 위원회의 운영에 필요한 사항은 위원회의 의결을 거쳐 위원장이 정한다.
 제7조(회의) ① 위원회는 정기회의와 임시회의로 구분하고, 정기회의는 매월 1회 개최하며 임시회의는 위원장이 필요하다고 인정하
 는 경우 소집한다. 다만, 심의할 안건이 없을 때에는 정기회의를 개최하지 아니할 수 있다.
 ② 위원회의 회의는 위원장과 위원장이 회의마다 지정하는 6명의 위원으로 구성하되, 출장인원에 따라 지정하는 위촉위원의 수는
 다음 각 호와 같다.&lt;개정 2021. 5. 26.&gt;
 1. 출장자 10명 미만: 위촉위원 1명 이상
 2. 출장자 10명 이상: 위촉위원 3명 이상
 ③ 위원회의 회의는 제2항에 따른 구성원 과반수의 출석으로 개의하고, 출석위원 과반수의 찬성으로 의결한다.
 ④ 긴급한 국외출장 등 위원회를 소집할 시간적 여유가 없거나 그 밖에 위원장이 특별히 필요하다고 인정하는 경우에는 서면으로
 의결할 수 있다.
 ⑤ 위원은 본인이 공무국외출장 대상자인 경우를 포함하여 공정을 기할 수 없는 현저한 사유가 있는 경우에는 해당 안건의 심의·의
 결에 참여하지 못한다.&lt;개정 2021. 5. 26.&gt;
 제8조(관계인의 출석 등) 위원회는 공무국외출장 심사 시 필요한 경우 해당 공무국외출장 심사 대상자 또는 관계인을 출석시켜 심
 사에 필요한 사항을 질문하거나 자료의 제출을 요청할 수 있다.&lt;개정 2021. 5. 26.&gt;
 제9조(수당 등) 위촉위원 또는 관계인이 위원회의 회의에 참석한 경우에는 예산의 범위에서 수당과 여비를 지급할 수 있다.
 제3장 교육 및 관리
 제10조(소양교육) 공무국외출장을 계획하는 부서의 장은 공무국외출장자에게 출국 전에 출장자 수칙, 보안서약 등 국외출장에 따
 른 소양교육을 하여야 한다. 다만, 공무국외출장자의 경력, 국외출장 경험 등을 고려하여 교육을 하지 않을 수 있다.&lt;개정 2021. 5.
 26.&gt;
 제11조(보고의무 등) ① 공무국외출장자는 국외에서 업무 수행 중 특수한 사정이 발생하였거나 지정된 기일 내에 그 목적을 수행하
 지 못할 때에는 즉시 시장에게 보고하고, 그 지시를 받아야 한다.&lt;개정 2021. 5. 26.&gt;
 ② 공무국외출장자는 신변안전과 관련하여 출장국의 정세 및 감염병 상황 등의 주의사항을 숙지·준수하여 출장을 실시하여야 한다.
 &lt;신설 2021. 5. 26.&gt;
 ③ 공무국외출장자는 공직자로서 품위를 유지하고, 현지의 규범·관습·공중도덕 등을 지키며, 사전에 계획된 방문 약속을 예고 없이
 변경 또는 취소하거나 그 밖에 국위와 기관의 명예를 손상시키는 일이 없도록 하여야 한다.&lt;개정 2021. 5. 26.&gt;
 ④ 공무국외출장 중에는 직무와 관련하여 알게 된 기밀을 누설하는 일체의 행위를 하여서는 아니 된다.&lt;개정 2021. 5. 26.&gt;
 제12조(외국 자료 수집) ① 시장은 공무국외출장자에게 외국 자료의 수집 과제를 부여할 수 있다. 이 경우 예산의 범위에서 자료 수
 집에 필요한 경비를 지급할 수 있다.&lt;개정 2021. 5. 26.&gt;
 ② 자료 수집 과제는 출장목적지의 정치·경제·사회·문화·과학기술 및 행정제도 등 시정 발전에 필요한 범위에서 부여한다.&lt;개정
 2021. 5. 26.&gt;
 제13조(출장계획서 및 귀국보고서) ① 공무국외출장자는 다음 각 호의 사항을 행정포털시스템에 등록하여야 한다. 다만, 국가 및 기
 관의 기밀 보호, 보안 유지 등을 위하여 필요한 경우에는 그러하지 아니하다.&lt;개정 2020. 1. 1., 2021. 5. 26.&gt;
 1. 공무국외출장계획서: 출국 10일 전까지
 2. 귀국보고서 및 수집 자료(방문기관별 현장 사진 및 면담 자료 등 포함): 귀국 후 30일 이내
 ② 제1항의 귀국보고서는 공무국외여행계획서 상의 출장 목적과 출장 결과가 부합되는지 판단할 수 있도록 출장 결과, 쟁점 사항
 및 주요 활동 내용, 시사점 등을 중심으로 상세하게 작성하여야 한다.
 ③ 공무국외출장을 계획하는 부서의 장은 수집 자료 등이 활용 가능하도록 관련 부서에 통보하여야 한다.&lt;개정 2021. 5. 26.&gt;
 ④ 시장은 공무국외출장자가 부과된 자료 및 귀국보고서를 기일 내에 제출하지 아니할 경우에는 향후 공무국외출장을 제한할 수 있
 다.&lt;2021. 5. 26.&gt;
 [제목개정 2020. 1. 1.]
 제14조(사후관리) 시장은 공무국외출장을 마치고 귀국한 공무원에 대하여 공무국외출장 중에 습득한 지식 또는 기술을 관련 직무
 분야에서 충분히 활용할 수 있도록 하여야 한다.&lt;개정 2021. 5. 26.&gt;
 제15조(항공마일리지의 활용) 공무국외출장자는 출장으로 발생된 항공마일리지를 확인하고 보너스 항공권 구매 등을 통한 마일리
 지 활용에 적극 노력하여야 한다.&lt;개정 2021.05. 26.&gt;
 제16조(출장경비의 환수) 천재지변 등 불가피한 경우 외에 위원회에서 의결된 출장 목적 및 계획과 달리 부당하게 지출된 경비는
 환수할 수 있다. 이 경우 「지방공무원법」 제46조 및 「지방공무원 수당 등에 관한 규정」 제18조의8의 규정을 따른다.
 [본조신설 2021. 5. 26.]</t>
  </si>
  <si>
    <t>nac 로그인이 안돼요(아이디, 초기비밀번호 등)</t>
  </si>
  <si>
    <t>기대답변 :
 네트워크 인증 시스템(NAC)
  - 네트워크가 차단 또는 네트워크 인증 시스템 비밀번호 분실 시 행정전화(5999)로 연락바랍니다</t>
  </si>
  <si>
    <t>공무원증 분실시 청사 출입 방법과 재발급 방법은 무엇인가요?</t>
  </si>
  <si>
    <t>근거문서 : 인사과 자주찾는 질문 7P
기대답변
청사 출입 방법에 대한 내용과 재발급 방법에 대한 내용은 관련 근거 문서가 없습니다. 일반 발급 방법에 대해 참고차 안내드립니다.
1. 실물 공무원증(플라스틱 카드) 신청 절차
 - 차세대 인사랑시스템(인사마당탭-공무원증신청 메뉴)에서 발급 신청을
합니다.
 - 신청구분은 ‘실물공무원증'을 체크합니다.
 - 부서장 결재 등 내부 승인 절차를 거칩니다.
 - 증명사진을 함께 제출하거나 인사정보에 등록된 사진으로 신청할 수
있습니다.
2. 모바일 공무원증 신청 절차
 - 차세대 인사랑시스템(인사마당탭-공무원증신청 메뉴)에서 발급 신청을
합니다.
 - 신청구분은 ‘모바일 공무원증'을 체크합니다.
 - 부서장 결재 등 내부 승인 절차를 거칩니다.
 - 신청이 완료되면 SMS로 발급 준비 완료 안내가 오고, 안내된 설치
 - URL을 통해 모바일 공무원증 앱을 설치합니다.
 - 앱에서 본인 확인 및 비밀번호 설정 후 사용이 가능합니다.
 - 모바일 공무원증으로 청사출입은 현재 불가능합니다.
3. 소요 기간
 - 실물 및 모바일 공무원증 모두 신청 후 수령까지 약 3~4주가 소요됩니다.
 - 실제로는 기관 사정에 따라 3주보다 더 오래 걸릴 수 있습니다.</t>
  </si>
  <si>
    <t>청사 출입 방법에 대한 내용과 재발급 방법에 대한 내용은 관련 근거 문서가 없습니다. 일반 발급 방법에 대해 참고차 안내드립니다.
 1. 실물 공무원증(플라스틱 카드) 신청 절차
  - 차세대 인사랑시스템(인사마당탭-공무원증신청 메뉴)에서 발급 신청을
 합니다.
  - 신청구분은 ‘실물공무원증'을 체크합니다.
  - 부서장 결재 등 내부 승인 절차를 거칩니다.
  - 증명사진을 함께 제출하거나 인사정보에 등록된 사진으로 신청할 수
 있습니다.
 2. 모바일 공무원증 신청 절차
  - 차세대 인사랑시스템(인사마당탭-공무원증신청 메뉴)에서 발급 신청을
 합니다.
  - 신청구분은 ‘모바일 공무원증'을 체크합니다.
  - 부서장 결재 등 내부 승인 절차를 거칩니다.
  - 신청이 완료되면 SMS로 발급 준비 완료 안내가 오고, 안내된 설치
  - URL을 통해 모바일 공무원증 앱을 설치합니다.
  - 앱에서 본인 확인 및 비밀번호 설정 후 사용이 가능합니다.
  - 모바일 공무원증으로 청사출입은 현재 불가능합니다.
 3. 소요 기간
  - 실물 및 모바일 공무원증 모두 신청 후 수령까지 약 3~4주가 소요됩니다.
  - 실제로는 기관 사정에 따라 3주보다 더 오래 걸릴 수 있습니다.</t>
  </si>
  <si>
    <t>[미답변 가능]  재발급과, 분실햇을때 들어오는 방법에 대해서는 존재하지 않음</t>
  </si>
  <si>
    <t>시청 청사 내 주차 등록 방법은 무엇인가요?</t>
  </si>
  <si>
    <t>재배정 등 이호조 사용 방법을 알려줘</t>
  </si>
  <si>
    <t>공유재산 관리계획 수립 시 절차는 어떻게 되나요?</t>
  </si>
  <si>
    <t>공유재산 관리계획을 수립할 때는 먼저 관련 부서에서 사업의 필요성과 타당성을 검토하여 사업계획을 수립해야 합니다. 그런 다음, 투자심사나 기술용역 등의 사전 절차를 거쳐야 합니다. 이때 필요한 경우 정책연구용역을 실시하거나 기술용역을 통해 전문적인 의견을 수렴할 수 있습니다. 이러한 사전 절차를 거친 후에는 공유재산관리계획에 반영되어야 하며, 이를 위해 총괄재산관리관에게 공유재산관리계획의 반영을 요청합니다. 마지막으로, 시의회에서 공유재산관리계획을 심의하고 승인받아야 합니다. 전체적인 절차는 다음과 같습니다:
사업계획 수립: 사업을 추진하는 부서에서 사업계획을 수립합니다.
사전 절차 이행:
투자심사: 사업의 경제적 타당성 등을 평가받는 과정입니다.
기술용역/정책연구용역: 전문적인 분석이나 연구가 필요할 경우 실시합니다.
공유재산관리계획 반영 요청: 사업계획을 토대로 총괄재산관리관에게 공유재산관리계획에 반영해 줄 것을 요청합니다.
시의회의 심의 및 승인: 공유재산관리계획이 시의회에 제출되어 심의되고 최종적으로 승인됩니다.
이러한 절차를 통해 공유재산의 취득이나 처분이 투명하고 체계적으로 이루어집니다. 추가적인 질문이나 궁금한 점이 있으시면 언제든지 말씀해 주세요!</t>
  </si>
  <si>
    <t>ㆍ213_2408_예산담당관_예산편성계획_예산담당관_2025년_예산편성계획.pdf (p.61)
https://busanai.busan.go.kr/download/213_2408_예산담당관_예산편성계획_예산담당관_2025년_예산편성계획.pdf
ㆍ87_페이지9_문서7_162222_부산광역시_공유재산_및_물품_관리_조례.pdf (p.1, 20)
https://busanai.busan.go.kr/download/87_페이지9_문서7_162222_부산광역시_공유재산_및_물품_관리_조례.pdf</t>
  </si>
  <si>
    <r>
      <rPr>
        <rFont val="Malgun Gothic"/>
        <color theme="1"/>
        <sz val="11.0"/>
      </rPr>
      <t>근거자료 1번은 오류입니다.
그리고 업무 흐릅도 예시가 포함되어 있는 파일이 있는데
2026년 공유재산관리계획 작성기준(회계재산담당관 제출) 문서의 17P에
관련 내용이 나와있습니다.
기대답변 : 
1. (중기)공유재산관리계획 작성기준 통보 : 행안부(공유재산정책과) →시도(총괄재산관리부서)
 ※「지방자치단체 예산편성기준」통보(7월말, 재정정책과/「지방재정법」 제38조)
2. (중기)공유재산관리계획 작성기준 시군구에 통보 : 시도→시군구(총괄재산관리부서)
3. (중기)공유재산관리계획 작성기준 재산관리부서에 통보 : 시도/시군구(총괄재산관리부서)→(재산관리부서)
4. 중기공유재산관리계획 작성대상 및 중요재산 취득</t>
    </r>
    <r>
      <rPr>
        <rFont val="Tahoma"/>
        <color theme="1"/>
        <sz val="11.0"/>
      </rPr>
      <t>․</t>
    </r>
    <r>
      <rPr>
        <rFont val="맑은 고딕"/>
        <color theme="1"/>
        <sz val="11.0"/>
      </rPr>
      <t>처분사항 통보 : 시도/시군구(재산관리부서)→(총괄재산관리부서)
5. (중기)공유재산관리계획 수립 : 시도/시군구(총괄재산관리부서, 재산관리부서)
6. (중기)공유재산심의회 심의 및 예산요구 - 공유재산관리계획에 의한 예산 요구 : 시도/시군구(총괄재산관리ㆍ재산관리부서)→예산부서
7. 부서별 &lt;예산안 심의&gt; - 중요재산 취득</t>
    </r>
    <r>
      <rPr>
        <rFont val="Tahoma"/>
        <color theme="1"/>
        <sz val="11.0"/>
      </rPr>
      <t>․</t>
    </r>
    <r>
      <rPr>
        <rFont val="맑은 고딕"/>
        <color theme="1"/>
        <sz val="11.0"/>
      </rPr>
      <t>처분사항 확인 등 : 시도/시군구(예산부서)
8. 공유재산관리계획 제출  * 예산편성안과 일치, 중기공유재산관리계획 및&lt;예산 편성안&gt; 의회 제출 : 
시도/시군구(지자체장)→(지방의회)
9. 공유재산관리계획 의회 의결 * 예산안 지방의회 의결 전,  &lt;예산안&gt; 심의 및 확정 → 자치단체 통보 : 시도/시군구(지방의회) → (지자체)
10. 공유재산관리계획 확정, 확정 예산안 통보 : 시도/시군구(총괄재산관리부서)→(재산관리부서</t>
    </r>
    <r>
      <rPr>
        <rFont val="Yu Gothic"/>
        <color theme="1"/>
        <sz val="11.0"/>
      </rPr>
      <t>･</t>
    </r>
    <r>
      <rPr>
        <rFont val="맑은 고딕"/>
        <color theme="1"/>
        <sz val="11.0"/>
      </rPr>
      <t>예산부서)
11. 공유재산관리계획에 따른 사업 추진 - 중요재산 취득</t>
    </r>
    <r>
      <rPr>
        <rFont val="Tahoma"/>
        <color theme="1"/>
        <sz val="11.0"/>
      </rPr>
      <t>․</t>
    </r>
    <r>
      <rPr>
        <rFont val="맑은 고딕"/>
        <color theme="1"/>
        <sz val="11.0"/>
      </rPr>
      <t>처분 : 시도/시군구(총괄재산관리ㆍ재산관리부서)
12. 중기공유재산관리계획 총괄현황 제출 - &lt;서식1&gt; 총괄표, &lt;서식2&gt; 총괄계획, &lt;서식4&gt; 총괄표 제출 : 시군구(총괄재산관리부서)→시도(총괄재산관리부서)→행안부(공유재산정책과)
  ※ 본 일정 및 절차는 법령의 범위 내에서 해당 지방자치단체와 지방의회의 사정에 따라 변경할 수 있음</t>
    </r>
  </si>
  <si>
    <t>1. (중기)공유재산관리계획 작성기준 통보 : 행안부(공유재산정책과) →시도(총괄재산관리부서)
  ※「지방자치단체 예산편성기준」통보(7월말, 재정정책과/「지방재정법」 제38조)
 2. (중기)공유재산관리계획 작성기준 시군구에 통보 : 시도→시군구(총괄재산관리부서)
 3. (중기)공유재산관리계획 작성기준 재산관리부서에 통보 : 시도/시군구(총괄재산관리부서)→(재산관리부서)
 4. 중기공유재산관리계획 작성대상 및 중요재산 취득․처분사항 통보 : 시도/시군구(재산관리부서)→(총괄재산관리부서)
 5. (중기)공유재산관리계획 수립 : 시도/시군구(총괄재산관리부서, 재산관리부서)
 6. (중기)공유재산심의회 심의 및 예산요구 - 공유재산관리계획에 의한 예산 요구 : 시도/시군구(총괄재산관리ㆍ재산관리부서)→예산부서
 7. 부서별 &lt;예산안 심의&gt; - 중요재산 취득․처분사항 확인 등 : 시도/시군구(예산부서)
 8. 공유재산관리계획 제출 * 예산편성안과 일치, 중기공유재산관리계획 및&lt;예산 편성안&gt; 의회 제출 : 
 시도/시군구(지자체장)→(지방의회)
 9. 공유재산관리계획 의회 의결 * 예산안 지방의회 의결 전, &lt;예산안&gt; 심의 및 확정 → 자치단체 통보 : 시도/시군구(지방의회) → (지자체)
 10. 공유재산관리계획 확정, 확정 예산안 통보 : 시도/시군구(총괄재산관리부서)→(재산관리부서･예산부서)
 11. 공유재산관리계획에 따른 사업 추진 - 중요재산 취득․처분 : 시도/시군구(총괄재산관리ㆍ재산관리부서)
 12. 중기공유재산관리계획 총괄현황 제출 - &lt;서식1&gt; 총괄표, &lt;서식2&gt; 총괄계획, &lt;서식4&gt; 총괄표 제출 : 시군구(총괄재산관리부서)→시도(총괄재산관리부서)→행안부(공유재산정책과)
  ※ 본 일정 및 절차는 법령의 범위 내에서 해당 지방자치단체와 지방의회의 사정에 따라 변경할 수 있음</t>
  </si>
  <si>
    <t>1256_공유재산관리계획_작성기준.pdf</t>
  </si>
  <si>
    <t>17</t>
  </si>
  <si>
    <t>참고 업무 흐름도 예시(2026년도 (중기)공유재산관리계획)
 구분 관련기관 업 무 기한 근거법령1
 행안부(공유재산정책과) →시도(총괄재산관리
 부서)
 ○ (중기)공유재산관리계획 작성기준 통보
 ※「지방자치단체 예산편성기준」통보
 (7월말, 재정정책과/「지방재정법」 제38조)
 `25.4월
 시행령제7조2 시도→시군구
 (총괄재산관리부서)
 ○ (중기)공유재산관리계획 작성기준
 시군구에 통보 ~5.9.
 3 시도/시군구
 (총괄재산관리부서) →(재산관리부서)
 ○ (중기)공유재산관리계획 작성기준
 재산관리부서에 통보 ~5.16.
 4 시도/시군구
 (재산관리부서) →(총괄재산관리부서)
 ○ 중기공유재산관리계획 작성대상 및
 중요재산 취득․처분사항 통보 ~9.1.
 5 시도/시군구
 (총괄재산관리부서
 재산관리부서)
 ○ (중기)공유재산관리계획 수립 ~9.19.
 6 시도/시군구
 (총괄재산관리ㆍ재산
 관리부서)→예산부서
 ○ (중기)공유재산심의회 심의 및 예산요구
 - 공유재산관리계획에 의한 예산 요구 ~9.30.
 7 시도/시군구
 (예산부서)
 ○ 부서별 &lt;예산안 심의&gt;
 - 중요재산 취득․처분사항 확인 등
 ~10.31.
 8 시도/시군구
 (지자체장) →(지방의회)
 ○ 공유재산관리계획 제출
 * 예산편성안과 일치
 ○ 중기공유재산관리계획 및
 &lt;예산 편성안&gt; 의회 제출
 11.11. (시도)
 11.21. (시군구)
 지방자치법제142조9 시도/시군구
 (지방의회) → (지자체)
 ○ 공유재산관리계획 의회 의결
 * 예산안 지방의회 의결 전
 ○ &lt;예산안&gt; 심의 및 확정 →
 자치단체 통보
 12.16. (시도)
 12.21. (시군구)
 공유재산법제10조의2
 제1항지방자치법제142조10 시도/시군구
 (총괄재산관리부서) →(재산관리부서･예산부서)
 ○ 공유재산관리계획 확정
 ○ 확정 예산안 통보
 예산
 확정시
 11 시도/시군구
 (총괄재산관리ㆍ재산
 관리부서)
 ○ 공유재산관리계획에 따른 사업 추진
 - 중요재산 취득․처분 ‘26년도
 12
 시군구(총괄재산관리부서) →시도(총괄재산관리부서) →행안부(공유재산정책과)
 ○ 중기공유재산관리계획 총괄현황 제출
 - &lt;서식1&gt; 총괄표, &lt;서식2&gt; 총괄계획,
 &lt;서식4&gt; 총괄표 제출
 ’26.1.30.
  ※ 본 일정 및 절차는 법령의 범위 내에서 해당 지방자치단체와 지방의회의 사정에 따라 변경할 수 있음</t>
  </si>
  <si>
    <t>공유재산 관리계획 수립 절차</t>
  </si>
  <si>
    <t>경조사 종류별 휴가 일수를 알려줘</t>
  </si>
  <si>
    <t>네, 알겠습니다. 경조사 종류별 휴가 일수는 다음과 같습니다:
본인의 결혼: 5일
자녀의 결혼: 1일
배우자의 출산: 한 번에 둘 이상의 자녀를 출산한 경우에는 15일, 그렇지 않은 경우에는 10일
본인의 입양: 20일
본인 및 배우자의 형제자매 사망: 3일
또한, 입양의 경우 「입양촉진 및 절차에 관한 특례법」에 따른 입양만 해당되며, 경조사 휴가를 실시할 때 원격지인 경우에는 실제 필요한 왕복 소요 일수를 추가로 가산할 수 있습니다. 이는 지방공무원 복무규정 제7조의7에 따른 내용입니다. 도움이 되셨나요? 다른 궁금한 점이 있으시면 언제든지 물어보세요!</t>
  </si>
  <si>
    <t>ㆍ264_2401_인사과_법령_행정안전부_지방공무원_인사관계_법령집.pdf (p.413, 419)
https://busanai.busan.go.kr/download/264_2401_인사과_법령_행정안전부_지방공무원_인사관계_법령집.pdf</t>
  </si>
  <si>
    <r>
      <rPr>
        <rFont val="Malgun Gothic"/>
        <color theme="1"/>
        <sz val="11.0"/>
      </rPr>
      <t>해당 근거자료는 자치법규 조례 중 부산광역시 공무원 복무 조례에 해당 내용이 있습니다.
특별휴가 : 제 15조, 별표3
 - 해당 답변에 대해 제대로 된 답변을 하려면 제출된 자료가 아닌 지방공무원 복무규정 제7조의5(병가) 제7조의7(특별휴가), 지방공무원 복무에 관한 예규 확인이 필요합니다.
 - 해당 답변에서 어려운 점은 일단 부산시 규정 먼저 확인 한 후 관련 내용이 없으면 상위 규정을 확인해서 답변을 생성해야 합니다. : 특별휴가 임산부 등
 - 또한 같은 내용이 있지만 휴가 일수가 다르다거나 조건이 다르면 부산시 규정을 우선 적용해야합니다. : 특별휴가 경조사별 일수
기대답변 (지방공무원 복무규정, 예규 포함)
경조사별 휴가일수(부산시 기준) : 결혼(본인) 5일, 결혼(자녀) 1일, 출산(배우자) 10일, 둘 이상 출산일경우 15일, 입양(본인) 20일, 사망(배우자, 본인 및 배우자의 부모) 5일, 사망(본인 및 배우자의 조부모</t>
    </r>
    <r>
      <rPr>
        <rFont val="Tahoma"/>
        <color theme="1"/>
        <sz val="11.0"/>
      </rPr>
      <t>․</t>
    </r>
    <r>
      <rPr>
        <rFont val="맑은 고딕"/>
        <color theme="1"/>
        <sz val="11.0"/>
      </rPr>
      <t>외조부모, 자녀와 그 자녀의 배우자, 본인 및 배우자의 형제자매와 그 형제자매의 배우자) 3일, 사망(본인 및 배우자의 부모의 형제자매와 그 형제자매의 배우자) 1일</t>
    </r>
  </si>
  <si>
    <r>
      <rPr>
        <rFont val="맑은 고딕"/>
        <b/>
        <color theme="1"/>
        <sz val="11.0"/>
      </rPr>
      <t>1249_지방공무원_복무규정대통령령제35666호20250722.pdf[8, 9]</t>
    </r>
    <r>
      <rPr>
        <rFont val="맑은 고딕"/>
        <color theme="1"/>
        <sz val="11.0"/>
      </rPr>
      <t xml:space="preserve">
-----
</t>
    </r>
    <r>
      <rPr>
        <rFont val="맑은 고딕"/>
        <color rgb="FFFF0000"/>
        <sz val="11.0"/>
      </rPr>
      <t xml:space="preserve">[기대답변은 이 문서가 맞는것 같은데 확인 필요]
</t>
    </r>
    <r>
      <rPr>
        <rFont val="맑은 고딕"/>
        <color theme="1"/>
        <sz val="11.0"/>
      </rPr>
      <t xml:space="preserve">
제7조의7(특별휴가) ① 공무원의 특별휴가는 이 영에서 정하는 바에 따른다. 다만, 이 영에서 정하지 아니하는 사항은
지방자치단체의 조례로 정하는 바에 따른다.
② 지방자치단체의 장과 지방의회의 의장은 소속 공무원이 결혼하거나 그 밖의 경조사가 있는 경우에는 해당 공무
원의 신청에 따라 별표 1의 기준에 따른 경조사휴가를 주어야 한다.&lt;개정 2017. 4. 25., 2021. 11. 30.&gt;
③ 임신 중인 공무원은 출산 전과 출산 후를 통하여 90일(미숙아를 출산한 경우에는 100일, 한 번에 둘 이상의 자녀
를 임신한 경우에는 120일)의 출산휴가를 사용할 수 있으며, 출산 후의 휴가기간이 45일(한 번에 둘 이상의 자녀를
임신한 경우에는 60일) 이상이 되도록 해야 한다. 다만, 임신 중인 공무원은 다음 각 호의 어느 하나에 해당하는 사
유로 출산휴가를 신청하는 경우에는 출산 전 어느 때라도 최장 44일(한 번에 둘 이상의 자녀를 임신한 경우에는
59일)의 범위에서 출산휴가를 나누어 사용할 수 있다.&lt;개정 2014. 6. 30., 2021. 11. 30., 2021. 12. 31., 2023. 7. 18.,
2024. 7. 2., 2025. 2. 11.&gt;
1. 임신 중인 공무원이 유산(「모자보건법」 제14조제1항에 따라 허용되는 경우 외의 인공임신중절에 의한 유산은 제
외한다. 이하 제3호를 제외하고 같다)ㆍ사산의 경험이 있는 경우
2. 임신 중인 공무원이 출산휴가를 신청할 당시 연령이 40세 이상인 경우
3. 임신 중인 공무원이 유산ㆍ사산 또는 조산(早産)의 위험이 있다는 의료기관의 진단서를 제출한 경우
④ 유산하거나 사산한 여성공무원은 다음 각 호의 기준에 따라 유산휴가 또는 사산휴가를 사용할 수 있다.&lt;개정
2014. 6. 30., 2019. 12. 31., 2024. 7. 2.&gt;
1. 임신기간이 15주 이내인 경우: 유산 또는 사산한 날부터 10일까지
2. 임신기간이 16주 이상 21주 이내인 경우: 유산 또는 사산한 날부터 30일까지
3. 임신기간이 22주 이상 27주 이내인 경우: 유산 또는 사산한 날부터 60일까지
4. 임신기간이 28주 이상인 경우: 유산 또는 사산한 날부터 90일까지
⑤ 남성공무원은 배우자가 유산하거나 사산한 경우 제4항 각 호의 구분에 따른 기간 중 3일의 유산휴가 또는 사산
휴가를 사용할 수 있다.&lt;신설 2019. 12. 31., 2021. 11. 30., 2024. 7. 2.&gt;
⑥ 인공수정 또는 체외수정 등 난임치료 시술을 받는 공무원은 다음 각 호의 구분에 따라 난임치료시술휴가를 사용
할 수 있다.&lt;개정 2018. 12. 18., 2019. 12. 31., 2021. 12. 31., 2024. 7. 2.&gt;
1. 여성공무원: 다음 각 목의 어느 하나에 해당하는 경우 해당 목에서 정한 기간
가. 인공수정 등 시술을 받는 경우: 총 2일(시술 당일에 1일과 시술일 전날, 시술일 후 2일 이내이거나 시술 관련
진료일 중에 1일)
나. 동결 보존된 배아를 이식하는 체외수정 시술을 받는 경우: 총 3일(시술 당일에 1일과 시술일 전날, 시술일 후
2일 이내이거나 시술 관련 진료일 중에 2일)
다. 난자 채취를 하여 체외수정 시술을 받는 경우: 총 4일(난자 채취일에 1일, 시술 당일에 1일과 시술일 전날, 난
자 채취일 전날, 시술일 후 2일 이내, 난자 채취일 후 2일 이내이거나 시술 관련 진료일 중에 2일)
법제처 9 국가법령정보센터
지방공무원 복무규정
2. 남성공무원: 정자 채취일에 1일
⑦ 임신 중인 여성공무원은 1일 2시간의 범위에서 휴식이나 병원 진료 등을 위한 모성보호시간을 사용할 수 있다.
이 경우 지방자치단체의 장과 지방의회의 의장은 임신 후 12주 이내 또는 32주 이후에 있는 여성공무원이 모성보호
시간의 사용을 신청하면 이를 허가해야 한다.&lt;신설 2013. 5. 31., 2018. 12. 18., 2019. 12. 31., 2024. 7. 2., 2025. 7.
22.&gt;
⑧ 8세 이하 또는 초등학교 2학년 이하의 자녀를 가진 공무원은 36개월의 범위에서 자녀돌봄, 육아 등을 위한 1일
최대 2시간의 육아시간을 사용할 수 있다.&lt;신설 2017. 4. 25., 2018. 12. 18., 2019. 12. 31., 2024. 7. 2.&gt;
⑨ 공무원은 다음 각 호의 어느 하나에 해당하는 경우 연간 10일의 범위에서 가족돌봄휴가를 사용할 수 있다.&lt;개정
2020. 10. 20., 2024. 7. 2.&gt;
1. 「영유아보육법」에 따른 어린이집, 「유아교육법」에 따른 유치원 및 「초ㆍ중등교육법」 제2조 각 호의 학교(이하
이 항에서 “어린이집등”이라 한다)의 휴업ㆍ휴원ㆍ휴교 및 그 밖에 이에 준하는 사유로 자녀 또는 손자녀를 돌봐
야 하는 경우
2. 자녀 또는 손자녀가 다니는 어린이집등의 공식 행사 또는 교사와의 상담에 참여하는 경우
3. 미성년자이거나 「장애인복지법」 제2조제2항에 따른 장애인(이하 이 조에서 “장애인”이라 한다)인 자녀ㆍ손자녀
의 병원 진료(「국민건강보험법」 제52조에 따른 건강검진 또는 「감염병의 예방 및 관리에 관한 법률」 제24조 및
제25조에 따른 예방접종을 포함한다)에 동행하는 경우
4. 질병, 사고, 노령 등의 사유로 조부모, 외조부모, 부모(배우자의 부모를 포함한다), 배우자, 자녀 또는 손자녀를 돌
봐야 하는 경우
⑩ 제9항에 따른 가족돌봄휴가는 무급으로 하되, 자녀(같은 항 제4호의 경우에는 미성년자 또는 장애인인 자녀로
한정한다)를 돌보기 위한 가족돌봄휴가는 해당 공무원의 자녀(제9항제1호에 따른 어린이집등에 재학 중이거나 미
성년인 자녀 또는 장애인인 자녀를 말한다)수에 1을 더한 일수까지를 연간 유급휴가 일수로 한다. 다만, 장애인인
자녀가 있는 공무원 또는 「한부모가족지원법」 제4조제1호의 모 또는 부에 해당하는 공무원의 경우에는 본문에 따
른 연간 유급휴가 일수에 1일을 더한 일수까지 연간 유급휴가 일수로 한다.&lt;신설 2020. 10. 20., 2024. 7. 2.&gt;
⑪ 여성공무원은 생리기간 중 휴식을 위해 매월 1일의 여성보건휴가를 사용할 수 있다. 이 경우 여성보건휴가는 무
급으로 한다.&lt;신설 2019. 12. 31., 2020. 10. 20., 2024. 7. 2.&gt;
⑫ 여성공무원은 임신기간 중 검진을 위해 10일의 범위에서 임신검진휴가를 사용할 수 있다.&lt;신설 2019. 12. 31.,
2020. 10. 20., 2024. 7. 2.&gt;
⑬ 「재난 및 안전관리 기본법」 제3조제1호에 따른 재난으로 피해[배우자, 부모(배우자의 부모를 포함한다) 또는 자
녀가 입은 피해를 포함한다. 이하 이 항에서 같다]를 입은 공무원과 재난 발생 지역에서 자원봉사활동을 하려는 공
무원은 5일(같은 법 제14조제1항에 따른 대규모 재난으로 피해를 입은 공무원으로서 장기간 피해 수습이 필요하다
고 소속 지방자치단체의 장이나 지방의회의 의장이 인정하는 경우에는 10일) 이내의 재해구호휴가를 받을 수 있다.
&lt;신설 2020. 10. 20., 2021. 11. 30.&gt;
⑭ 지방자치단체의 장과 지방의회의 의장은 소속 공무원이 다음 각 호의 요건을 모두 충족하는 경우 4일의 범위에
서 심리상담, 진료 및 휴식을 위한 심리안정휴가를 줄 수 있다.&lt;신설 2023. 7. 18.&gt;
1. 「공무원 재해보상법」 제5조제1호 및 제6호부터 제11호까지에 해당하는 직무를 수행하는 과정에서 인명피해가
있는 사건ㆍ사고를 경험했을 것
2. 제1호에 따른 인명피해가 있는 사건ㆍ사고의 경험으로 인해 심리적 안정과 정신적 회복이 필요하다고 인정될 것
⑮ 남성공무원은 배우자의 임신기간 중 검진에 동행하기 위해 10일의 범위에서 임신검진 동행휴가를 사용할 수 있
다.&lt;신설 2025. 7. 22.&gt;
[전문개정 2010. 7. 15.]
[제7조의6에서 이동, 종전 제7조의7은 제7조의8로 이동 &lt;2019. 4. 16.&gt;]</t>
    </r>
  </si>
  <si>
    <r>
      <rPr>
        <rFont val="맑은 고딕"/>
        <b/>
        <color theme="1"/>
        <sz val="11.0"/>
      </rPr>
      <t>199_페이지20_문서9_162426_부산광역시_공무원_복무_조례.pdf[2, 3]</t>
    </r>
    <r>
      <rPr>
        <rFont val="맑은 고딕"/>
        <color theme="1"/>
        <sz val="11.0"/>
      </rPr>
      <t xml:space="preserve">
-----
</t>
    </r>
    <r>
      <rPr>
        <rFont val="맑은 고딕"/>
        <color rgb="FFFF0000"/>
        <sz val="11.0"/>
      </rPr>
      <t>[상세 내용이 없음. 최근 문서가 따로 있는지 확인 필요]</t>
    </r>
    <r>
      <rPr>
        <rFont val="맑은 고딕"/>
        <color theme="1"/>
        <sz val="11.0"/>
      </rPr>
      <t xml:space="preserve">
제15조(특별휴가) ① 소속기관장은 소속 공무원이 결혼을 하거나 그 밖의 경조사가 있는 경우에는 해당 공무원의 신청에 따라 별
표 3의 기준에 따른 경조사휴가를 주어야 한다. &lt;개정 2017. 12. 27.&gt;
② 삭제 &lt;2024. 12. 25.&gt;
③ 삭제 &lt;2017. 12. 27.&gt;
④ 한국방송통신대학교에 재학 중인 공무원은 「한국방송통신대학교 설립 및 운영에 관한 법률」에 따른 출석수업에 참석하기 위하
여 연가일수를 초과하는 출석수업기간에 대한 수업휴가를 사용할 수 있다. &lt;개정 2023. 10. 11., 2024. 12. 25.&gt;
⑤ 삭제 &lt;2024. 12. 25.&gt;
⑥ 소속기관장은 재직기간이 5년 이상 10년 미만인 공무원에게 해당 재직기간 중 5일, 10년 이상 20년 미만인 공무원에게 해당 재
직기간 중 15일, 20년 이상 30년 미만 및 30년 이상 재직한 공무원에게는 해당 재직기간 중 각각 25일의 휴가를 허가할 수 있으며,
운영에 필요한 사항은 시장이 따로 정한다. &lt;신설 2015. 1. 1.&gt;, &lt;개정 2020. 1. 1., 2023. 10. 11., 2024. 12. 25.&gt;
⑦ 군입영 자녀를 둔 공무원은 자녀 입영 당일 1일의 휴가와 신병훈련수료식 당일 1일의 휴가를 사용할 수 있다. &lt;신설 2016. 3. 30.
&gt;, &lt;개정 2020. 1. 1., 2024. 12. 25.&gt;
⑧ 남성공무원은 배우자의 임신검진에 동행하기 위하여 10일의 범위에서 임신검진동행휴가를 사용할 수 있다. 다만, 운영에 필요
한 사항은 시장이 따로 정한다. &lt;신설 2024. 12. 25.&gt;
⑨ 9세 이상 10세 이하 또는 초등학교 3학년 이상 초등학교 4학년 이하의 자녀를 가진 공무원은 12개월의 범위에서 초등학교 학습
적응 및 지도 등을 위한 1일 최대 2시간의 학습지도시간을 사용할 수 있다. &lt;신설 2024. 12. 25.&gt;
⑩ 시장은 시정 업무를 성공적으로 수행하여 탁월한 성과와 공로가 인정되거나 재해·재난 등으로 장기간 격무에 종사하는 공무원에
게 7일 이내의 포상휴가를 줄 수 있다. 다만, 포상휴가 대상자의 선정 등에 대한 사항은 시장이 따로 정한다. &lt;신설 2020. 1. 1.&gt;, &lt;
개정 2023. 10. 11., 2024. 12. 25.&gt;</t>
    </r>
  </si>
  <si>
    <t>행정전자서명(GPKI) 재발급 방법을 알려주세요</t>
  </si>
  <si>
    <t>소속 직원이 전보,파견,전출,휴직,정직,직위해제,면직 등의 명령을 받았을 때 거쳐야 하는 절차를 알려주세요</t>
  </si>
  <si>
    <t>소속 직원이 전보, 파견, 전출, 휴직, 정직, 직위해제, 면직 등의 명령을 받았을 때는 다음과 같은 절차를 따라야 합니다.
미결사항 정리: 현재 맡고 있는 업무 중에서 완료되지 않은 사항들을 정리해야 합니다. 이는 후임자나 관련 부서가 업무를 원활히 이어받을 수 있도록 하기 위함입니다.
문서 및 물품 목록 작성: 보관 중인 모든 문서와 물품을 목록화해야 합니다. 이때 중요한 문서나 물품에 대해서는 상세 설명을 추가하면 더욱 효과적입니다.
업무 인계 대상 확인: 위의 작업을 마친 후에는 해당 업무를 누구에게 인계할지 결정해야 합니다. 일반적으로 상급 감독자나 조직에서 지정한 인계 대상이 있습니다.
인계 실시: 준비한 자료와 함께 업무를 지정된 인계 대상자에게 전달합니다. 이 과정에서 충분한 설명과 협의를 통해 업무 연속성을 확보해야 합니다.
이러한 절차는 조직 내에서 업무의 지속성과 효율성을 유지하기 위해 중요합니다. 또한, 이러한 과정은 조직의 내부 규정이나 지침에 따라 진행되며, 구체적인 절차는 각 기관마다 다를 수 있으므로 소속된 기관의 규정을 참고하시는 것이 좋습니다. 만약 더 자세한 정보가 필요하시다면, 해당 기관의 인사 담당 부서나 관련 부서에 문의하시면 정확한 안내를 받으실 수 있을 것입니다. 도움이 되셨길 바랍니다!</t>
  </si>
  <si>
    <t>ㆍ840_페이지84_문서10_163535_부산광역시의회_공무원_근무_규칙.pdf (p.1)
https://busanai.busan.go.kr/download/840_페이지84_문서10_163535_부산광역시의회_공무원_근무_규칙.pdf
ㆍ1271_페이지128_문서1_164438_부산광역시_지방공무원_근무_규칙.pdf (p.1)
https://busanai.busan.go.kr/download/1271_페이지128_문서1_164438_부산광역시_지방공무원_근무_규칙.pdf</t>
  </si>
  <si>
    <t>시 의회 자료는 의회에 대해 알려달라는 질문이 있기 전에는 근거자료로 활용이 되면 안됩니다.
그 외는 이상없습니다</t>
  </si>
  <si>
    <t>미답변 처리
 질의문 의도가 부서나 서무담당자가 행정 처리를 어떻게 하는지에 대한 문의로 보입니다. 관련 질문에 대한 근거자료가 없으므로 미답변 처리 합니다.</t>
  </si>
  <si>
    <t>정산검사 결과 보고서에서 포함돼야 할 내용에 어떤 것들이 있나요?</t>
  </si>
  <si>
    <t>정산검사 결과 보고서는 회계나 재정에 대한 검사 결과를 정리하여 보고하는 문서로서, 일반적으로 다음과 같은 내용들이 포함됩니다:
보고 개요: 보고서의 목적, 범위, 기간 등을 간략하게 소개합니다.
검토 대상 및 방법: 검사의 대상이 된 항목이나 부서, 그리고 사용된 검토 방법이나 절차에 대해 설명합니다.
주요 발견 사항: 검사를 통해 확인된 주요 문제점이나 개선이 필요한 사항을 요약합니다.
세부 내용: 각 항목별로 구체적인 검사 내용과 그 결과에 대해 상세히 기술합니다.
증빙 자료 첨부: 관련 증거나 자료를 첨부하여 보고의 신뢰성을 높입니다.
결론 및 권고사항: 검사 결과에 따른 최종 판단과 향후 조치해야 할 사항들을 제시합니다.
향후 계획: 재발 방지를 위한 대책 수립이나 지속적인 관리 방안 등에 대해 언급합니다.
관련 법령 및 규정 준수 여부: 해당 업무가 관련 법규를 준수하고 있는지에 대한 평가와 의견을 포함합니다.
감사 의견: 감사자가 본 검사 결과에 대해 전하는 전반적인 의견이나 코멘트를 담습니다.
첨부 서류 목록: 부록으로 포함된 추가 자료들의 목록을 제공하여 참고할 수 있도록 합니다.
이러한 요소들은 정산검사 결과 보고서가 정확하고 효과적으로 작성되어 이해 관계자들에게 명확한 정보를 전달하도록 돕습니다. 또한, 조직 내부의 투명성과 책임성을 높이는 데 기여합니다. 만약 특정 기관이나 조직의 양식이나 요구사항이 있다면 그에 맞게 조정하여 사용하는 것이 좋습니다. 더 궁금한 점이 있으시면 언제든지 말씀해 주세요!</t>
  </si>
  <si>
    <t>생성된 답변에 근거자료가 없습니다.
해당 질의는 보조금 관련 정산보고서에 관련된 질의로 파악이 됩니다.
해당 답변에 대한 근거자료는 재정협력담당관에서 제출한 2025년 지방보조금 관리가이드의 169P에 보시면 지방보조사업 정산보고서 양식이 있습니다.
기대답변 :
1. 정산총괄표
 - 보조금, 자부담 별 예산액(교부조건), 집행액, 집행잔액, 이자 발생액, 비고(잔액사유)
2. 내역별, 일자별 보조금 및 자부담 집행내역
 - 보조금, 자부담 별 비목, 지출일(보조금 전용카드 결재일 또는 계좌입금 시 통장인출일), 지출금액, 지출내역, 지출번호, 지급방법
 - 집행내역에는 지방보조금 사용에 관한 증명자료 첨부
3. 보조금 및 자부담 집행내역
 - 보조금, 자부담 별 사업명, 예산비목, 교부액, 지출액, 집행잔액, 집행잔액 발생 사유(사업계획 변경, 취소, 보조금 지급 사유 미발생, 이자 등)
4. 보조금 전용카드 사용내역
 - 단위사업, 당초 계획액, 실제 사용액, 증감, 집행률
5. 비목별 보조금 전용카드 사용내역
 - 세부 내용, 예산비목, 당초 예산, 변경 예산, 주요 변경 사유, 비고
 - 변경예산이 발생한 경우에는 지방자치단체 보조금 관리에 관한 법률 제14조에 따른 지방자치단체의 장의 변경 승인에 대한 공문 사본 첨부</t>
  </si>
  <si>
    <t>1. 정산총괄표
  - 보조금, 자부담 별 예산액(교부조건), 집행액, 집행잔액, 이자 발생액, 비고(잔액사유)
 2. 내역별, 일자별 보조금 및 자부담 집행내역
  - 보조금, 자부담 별 비목, 지출일(보조금 전용카드 결재일 또는 계좌입금 시 통장인출일), 지출금액, 지출내역, 지출번호, 지급방법
  - 집행내역에는 지방보조금 사용에 관한 증명자료 첨부
 3. 보조금 및 자부담 집행내역
  - 보조금, 자부담 별 사업명, 예산비목, 교부액, 지출액, 집행잔액, 집행잔액 발생 사유(사업계획 변경, 취소, 보조금 지급 사유 미발생, 이자 등)
 4. 보조금 전용카드 사용내역
  - 단위사업, 당초 계획액, 실제 사용액, 증감, 집행률
 5. 비목별 보조금 전용카드 사용내역
  - 세부 내용, 예산비목, 당초 예산, 변경 예산, 주요 변경 사유, 비고
  - 변경예산이 발생한 경우에는 지방자치단체 보조금 관리에 관한 법률 제14조에 따른 지방자치단체의 장의 변경 승인에 대한 공문 사본 첨부</t>
  </si>
  <si>
    <t>169</t>
  </si>
  <si>
    <t>■ 지방자치단체 보조금 관리에 관한 법률 시행규칙【별지 제3호서식】
 (앞쪽)
 지방보조사업 정산보고서
 1. 정산총괄표 (단위: 원)
 구 분 예 산 액
 (교부조건)
 % 집 행 액
 % 집행잔액 이 자
 발생액
 비 고
 (잔액사유)
 계 100
 보조금
 총
 이자발생액:
 지방보조금
 이자발생액:
 자부담
 2. 내역별‧일자별 보조금 및 자부담 집행내역 (단위: 원)
 구분 비 목 지출일 지출금액 지 출 내 역
 지출
 번호
 지급
 방법
 총 계
 보
 조
 금
 소계 직불카드
 계좌입금
 자
 부
 담
 소계
 ※ 지출일란에는 보조금 전용카드 결재일 또는 계좌입금 시 통장인출일을 작성합니다.
 ※ 집행내역에는 지방보조금 사용에 관한 증명자료를 첨부합니다.
 3. 보조금 및 자부담 집행내역 (단위: 원)
 구 분 사 업 명 예산비목 교부액 지출액 집행잔액 집행잔액 발생 사유
 보조금
 자부담
 ※ 발생 사유란에는 사업계획의 변경, 사업의 취소, 보조금 지급 사유 미발생, 이자 등 집행잔액의 발생 사유를 작성합니다.
 210㎜×297㎜[백상지(80g/㎡)]</t>
  </si>
  <si>
    <t>정산검사 결과 보고서 포함 내용</t>
  </si>
  <si>
    <t>의도분석 결과 &gt;&gt; 생성쪽 의도로 분류됨</t>
  </si>
  <si>
    <t>추가경정예산안에 포함돼야 할 내용에 어떤 것들이 있나요?</t>
  </si>
  <si>
    <t>추가경정예산안은 본예산 이후에 발생한 예상치 못한 지출이나 수입 변동에 대응하기 위해 편성되는 예산입니다. 따라서 추가경정예산안에는 다음과 같은 내용들이 포함되어야 합니다:
증감된 세입·세출 항목: 본예산 대비 증가한 세입이나 감소한 세입, 그리고 그에 따른 세출의 변동 사항을 상세하게 기재해야 합니다.
변경 사유: 왜 추가경정예산이 필요한지에 대한 명확한 설명이 필요합니다. 예를 들어 자연재해 복구 비용, 경제 상황 변화로 인한 세입 감소 등이 있을 수 있습니다.
관련 법률 및 규정 준수 여부 확인: 추가경정예산 편성이 관련 법령이나 지자체 조례에 부합하는지 확인하고, 필요한 절차를 준수했는지 명시해야 합니다.
예산 집행 계획: 추가경정예산으로 확보된 자금의 사용 계획과 일정 등을 구체적으로 제시해야 합니다.
재정 안정화 방안: 추가적인 재정 위기를 방지하기 위한 대책이나 향후 재정 건전성을 유지하기 위한 방안을 포함할 수 있습니다.
이러한 내용들을 포함하여 추가경정예산안을 작성하면, 예산의 투명성과 책임성을 높이고 효율적인 재정 운용을 도모할 수 있습니다. 만약 구체적인 사례나 도움이 필요하다면 언제든지 말씀해 주세요!</t>
  </si>
  <si>
    <t>ㆍ209_2207_예산담당관_업무매뉴얼_행정안전부_2023년도_지방자치단체_예산편성_운영기준_및_기금운용계획_수립기준.pdf (p.128)
https://busanai.busan.go.kr/download/209_2207_예산담당관_업무매뉴얼_행정안전부_2023년도_지방자치단체_예산편성_운영기준_및_기금운용계획_수립기준.pdf
ㆍ207_2007_예산담당관_업무매뉴얼_행정안전부_2021년도_지방자치단체_예산편성_운영기준_및_기금운용계획_수립기준.pdf (p.135)
https://busanai.busan.go.kr/download/207_2007_예산담당관_업무매뉴얼_행정안전부_2021년도_지방자치단체_예산편성_운영기준_및_기금운용계획_수립기준.pdf
ㆍ36_2206_공공하수인프라과_업무매뉴얼_행정안전부_2023년도_지방공기업_예산편성기준.pdf (p.87)
https://busanai.busan.go.kr/download/36_2206_공공하수인프라과_업무매뉴얼_행정안전부_2023년도_지방공기업_예산편성기준.pdf</t>
  </si>
  <si>
    <t>근거 자료의 경우 최신 자료를 활용해야합니다.
3번 근거자료는 지방공기업 관련 예산편성 자료이므로 오류입니다.
기대답변 : 
1. 추가경정예산안에 포함될 내용
예산성립 후에 생긴 사유로 인하여 이미 성립된 예산을 변경할 필요가 있을 때에는 예산요구서를 본예산의 예산요구서에 준하여 예산업무 담당과장에게 제출하여야 한다.
2. 예산편성(요구) 관련 주요서식 예시는 붙임파일의 378~379P를 확인하시기 바랍니다.</t>
  </si>
  <si>
    <t>1. 추가경정예산안에 포함될 내용
 예산성립 후에 생긴 사유로 인하여 이미 성립된 예산을 변경할 필요가 있을 때에는 예산요구서를 본예산의 예산요구서에 준하여 예산업무 담당과장에게 제출하여야 한다.
 2. 예산편성(요구) 관련 주요서식 예시는 붙임파일의 378~379P를 확인하시기 바랍니다.</t>
  </si>
  <si>
    <t>341, 342, 378, 379</t>
  </si>
  <si>
    <t>제2조(예산요구서) ① 제1조의 예산편성 방침을 통보받은 각 기관 주무자는 그
 소관에 속하는 다음 연도의 예산요구서를 2통 작성하여 소속실ㆍ국장 또는 관서의
 장의 결재를 받아 지정된 기일까지 예산업무담당과장에게 제출하되, 세입예산은
 반드시 세정업무담당과장과 세정업무담당국장의 합의를 받아야 한다.
 ② 제1항의 예산요구서 및 첨부서류의 서식은 「지방자치단체 예산편성 운영기준
 및 기금운용계획 수립기준」에 따른다.
 ③ 관재업무담당과장(담당관)은 제1항 및 제2항의 서류외에 공유재산조서를
 작성하여 제출하여야 한다.
 제7조(추가경정예산안) ① 예산성립 후에 생긴 사유로 인하여 이미 성립된 예산을
 변경할 필요가 있을 때에는 예산요구서를 제2조의 규정에 준하여 예산업무
 담당과장에게 제출하여야 한다.
 ② 제6조 및 제1항의 예산요구서가 제출되었을 때에는 제3조 내지 제5조의
 규정에 준하여 처리하여야 한다.
 ③ 지방재정법 제45조 단서의 규정에 의하여 본청 실ㆍ국장, 시ㆍ도의회 사무처장
 및 제1관서의 장으로부터 추가경정예산 성립전 사업비 사용요구가 있을 때에는
 예산업무담당과장은 시ㆍ도지사의 결재(세출과목을 설정하여야 한다)를 얻어
 이를 주관 실ㆍ국장, 시ㆍ도의회사무처장 및 제1관서의 장과 재무관 및 지출원
 에게 통지함과 동시에 예산배정을 하여야 한다.
 ④ 재무관 및 지출원은 제3항의 통지를 받았을 때에는 집행절차를 취하여야 한다.
 ⑤ 제3항의 세출과목과 추가경정예산의 세출과목이 상이한 경우에는 추가
 경정예산과목에 정정 정리하여야 한다.
 &lt;378~379는 제목만 참조&gt;
 참고 예산편성(요구) 관련 주요서식 예시
 0000년도 세입예산요구서
 0000년도 세출예산요구서</t>
  </si>
  <si>
    <r>
      <rPr>
        <rFont val="Malgun Gothic"/>
        <color rgb="FF000000"/>
        <sz val="11.0"/>
      </rPr>
      <t xml:space="preserve">추가경정예산안에 포함되어야 할 주요 내용
</t>
    </r>
    <r>
      <rPr>
        <rFont val="Malgun Gothic"/>
        <color rgb="FF4A86E8"/>
        <sz val="11.0"/>
      </rPr>
      <t>(341, 342페이지만 작업함)</t>
    </r>
  </si>
  <si>
    <r>
      <rPr>
        <rFont val="맑은 고딕"/>
        <b/>
        <color rgb="FF000000"/>
        <sz val="11.0"/>
      </rPr>
      <t>212_2407_예산담당관_업무매뉴얼_행정안전부_2025년도_지방자치단체_예산편성_운영기준_및_기금운용계획_수립기준.pdf[p.342]</t>
    </r>
    <r>
      <rPr>
        <rFont val="맑은 고딕"/>
        <color rgb="FF000000"/>
        <sz val="11.0"/>
      </rPr>
      <t xml:space="preserve">
-----
제7조(추가경정예산안) ① 예산성립 후에 생긴 사유로 인하여 이미 성립된 예산을변경할 필요가 있을 때에는 예산요구서를 제2조의 규정에 준하여 예산업무담당과장에게 제출하여야 한다.
② 제6조 및 제1항의 예산요구서가 제출되었을 때에는 제3조 내지 제5조의
규정에 준하여 처리하여야 한다.
③ 지방재정법 제45조 단서의 규정에 의하여 본청 실ㆍ국장, 시ㆍ도의회 사무처장및 제1관서의 장으로부터 추가경정예산 성립전 사업비 사용요구가 있을 때에는예산업무담당과장은 시ㆍ도지사의 결재(세출과목을 설정하여야 한다)를 얻어
이를 주관 실ㆍ국장, 시ㆍ도의회사무처장 및 제1관서의 장과 재무관 및 지출원에게 통지함과 동시에 예산배정을 하여야 한다.
④ 재무관 및 지출원은 제3항의 통지를 받았을 때에는 집행절차를 취하여야 한다.
⑤ 제3항의 세출과목과 추가경정예산의 세출과목이 상이한 경우에는 추가경정예산과목에 정정 정리하여야 한다.</t>
    </r>
  </si>
  <si>
    <t>고충민원이 들어왔을 때 처리절차를 알려주세요</t>
  </si>
  <si>
    <t>네, 고충민원이 들어왔을 때의 처리 절차는 다음과 같습니다.
고충민원 접수: 납세자보호관이 고충민원신청서를 통해 고충민원을 접수합니다. 이때 특별한 경우에는 구술 등 다른 방법으로도 접수가 가능합니다.
고충민원 접수 및 처리대장 등재: 납세자보호관은 고충민원이 접수되면 고충민원 접수 및 처리대장에 등재해야 합니다.
세무부서 의견 조회: 고충민원의 내용을 검토한 결과, 세무부서의 의견이 필요한 경우 납세자보호관은 세무부서의 장에게 고충민원에 대한 의견을 조회합니다.
사실 확인 및 과세자료 제출·열람: 고충민원 신청 내용과 세무부서의 의견 등을 검토한 후, 사실 확인이 필요할 경우 세무공무원이나 민원인, 관련인 등의 의견을 청취하거나 과세자료를 열람 및 제출받을 수 있습니다.
처리결과 통지: 납세자보호관은 고충민원에 대해 검토한 결과 시정이 필요하다고 판단되면 세무부서의 장에게 시정을 요구합니다. 이후 세무부서의 장은 시정 여부를 납세자보호관에게 통보하고, 납세자보호관은 최종 처리결과를 납세자에게 통지합니다.
이러한 절차를 통해 고충민원이 효율적으로 처리되며, 납세자의 권익 보호가 이루어집니다. 더 궁금한 점이 있으시면 언제든지 물어보세요!</t>
  </si>
  <si>
    <t>ㆍ1099_페이지110_문서9_164115_부산광역시_납세자보호에_관한_사무처리_조례_시행규칙.pdf (p.1)
https://busanai.busan.go.kr/download/1099_페이지110_문서9_164115_부산광역시_납세자보호에_관한_사무처리_조례_시행규칙.pdf
ㆍ382_2412_조직담당관_업무매뉴얼_행정안전부_자치단체_규제업무_매뉴얼.pdf (p.261)
https://busanai.busan.go.kr/download/382_2412_조직담당관_업무매뉴얼_행정안전부_자치단체_규제업무_매뉴얼.pdf
ㆍ166_2502_빅데이터과_정책연구용역보고서_부산광역시_부산시정_업무_맞춤형_통합민원_분석_요약보고서.pdf (p.31)
https://busanai.busan.go.kr/download/166_2502_빅데이터과_정책연구용역보고서_부산광역시_부산시정_업무_맞춤형_통합민원_분석_요약보고서.pdf</t>
  </si>
  <si>
    <t>관련근거 1번은 납세자 보호, 2번은 규제 관련 매뉴얼, 3번은 민원 관련 요약 분석 보고서라서 근거자료로 활용하기엔 부족합니다.
통합민원과에서 제출한 민원 처리에 관한 법령 해설집(개정판) 139P
미제출한 국민신문고 사용자지침서 고충민원 파일 전체
참고하면 될 것 같습니다.
기대답변 : 
1. 고충민원 처리절차 요약
- (처리기간) 행정기관의 장은 고충민원을 접수한 때에는 특별한 사유가 없으면 7일 이내에
처리하여야 함
- (현장조사) 행정기관의 장은 고충민원의 처리를 위하여 필요한 경우 14일의 범위에서
현장조사* 등을 할 수 있음. 다만, 부득이한 사유로 14일 내에 현장조사 등을 완료하기
어렵다고 인정되는 경우에는 7일의 범위에서 그 기간을 한 차례만 연장할 수 있음
* 현장조사 등에 걸린 기간은 처리기간에 산입하지 아니함
- (원 처리부서·기관 이송 금지) 민원인이 동일한 내용의 고충민원을 다시 제출한 경우에는
감사부서 등으로 하여금 이를 다시 조사하도록 하여야 함(원 처리부서 이송금지). 또한,
민원인은 감사부서 등의 조사를 거친 경우에는 그 고충민원과 관련한 사무에 대한
지도·감독 등의 권한을 가진 감독기관의 장에게 고충민원을 신청할 수 있음(원 처리기관
이송금지)
- (조치사항) 행정기관의 장은 처리하는 고충민원의 내용이 정당한 사유가 있다고 인정될
때에는 지체 없이 원처분의 취소·변경 등 적절한 조치를 하고, 이를 민원인에게 통지
함. 감독기관의 장은 고충민원을 처리하고 그 처리결과를 소관 행정기관의 장에게 통보
하여야 하며, 이 경우 소관 행정기관의 장은 특별한 사유가 없으면 그 결과를 존중하여
적절한 조치를 하고 이를 민원인에게 통지하여야 함
- (별도 처리체계) 민원인은 고충민원을 신청하거나 상기 사항에 따라 처리결과를 통보받은
경우에도 국민권익위원회 또는 부패방지권익위법 제2조제9호에 따른 시민고충처리
위원회에 고충민원을 신청할 수 있음
2. 고충민원 처리절차 세부
 - 국민신문고 사용자지침서 고충민원 첨부파일을 참고하시기 바랍니다.</t>
  </si>
  <si>
    <t>1. 고충민원 처리절차 요약
 - (처리기간) 행정기관의 장은 고충민원을 접수한 때에는 특별한 사유가 없으면 7일 이내에
 처리하여야 함
 - (현장조사) 행정기관의 장은 고충민원의 처리를 위하여 필요한 경우 14일의 범위에서
 현장조사* 등을 할 수 있음. 다만, 부득이한 사유로 14일 내에 현장조사 등을 완료하기
 어렵다고 인정되는 경우에는 7일의 범위에서 그 기간을 한 차례만 연장할 수 있음
 * 현장조사 등에 걸린 기간은 처리기간에 산입하지 아니함
 - (원 처리부서·기관 이송 금지) 민원인이 동일한 내용의 고충민원을 다시 제출한 경우에는
 감사부서 등으로 하여금 이를 다시 조사하도록 하여야 함(원 처리부서 이송금지). 또한,
 민원인은 감사부서 등의 조사를 거친 경우에는 그 고충민원과 관련한 사무에 대한
 지도·감독 등의 권한을 가진 감독기관의 장에게 고충민원을 신청할 수 있음(원 처리기관
 이송금지)
 - (조치사항) 행정기관의 장은 처리하는 고충민원의 내용이 정당한 사유가 있다고 인정될
 때에는 지체 없이 원처분의 취소·변경 등 적절한 조치를 하고, 이를 민원인에게 통지
 함. 감독기관의 장은 고충민원을 처리하고 그 처리결과를 소관 행정기관의 장에게 통보
 하여야 하며, 이 경우 소관 행정기관의 장은 특별한 사유가 없으면 그 결과를 존중하여
 적절한 조치를 하고 이를 민원인에게 통지하여야 함
 - (별도 처리체계) 민원인은 고충민원을 신청하거나 상기 사항에 따라 처리결과를 통보받은
 경우에도 국민권익위원회 또는 부패방지권익위법 제2조제9호에 따른 시민고충처리
 위원회에 고충민원을 신청할 수 있음
 2. 고충민원 처리절차 세부
  - 국민신문고 사용자지침서 고충민원 첨부파일을 참고하시기 바랍니다.</t>
  </si>
  <si>
    <t>426_2307_통합민원과_업무매뉴얼_행정안전부_민원_처리에_관한_법령_해설집개정판.pdf</t>
  </si>
  <si>
    <t>139</t>
  </si>
  <si>
    <t>고충민원의 처리기간 등(영 제17조)
 - (처리기간) 행정기관의 장은 고충민원을 접수한 때에는 특별한 사유가 없으면 7일 이내에
 처리하여야 함
 - (현장조사) 행정기관의 장은 고충민원의 처리를 위하여 필요한 경우 14일의 범위에서
 현장조사* 등을 할 수 있음. 다만, 부득이한 사유로 14일 내에 현장조사 등을 완료하기
 어렵다고 인정되는 경우에는 7일의 범위에서 그 기간을 한 차례만 연장할 수 있음
 * 현장조사 등에 걸린 기간은 처리기간에 산입하지 아니함
 - (원 처리부서·기관 이송 금지) 민원인이 동일한 내용의 고충민원을 다시 제출한 경우에는
 감사부서 등으로 하여금 이를 다시 조사하도록 하여야 함(원 처리부서 이송금지). 또한,
 민원인은 감사부서 등의 조사를 거친 경우에는 그 고충민원과 관련한 사무에 대한
 지도·감독 등의 권한을 가진 감독기관의 장에게 고충민원을 신청할 수 있음(원 처리기관
 이송금지)
 - (조치사항) 행정기관의 장은 처리하는 고충민원의 내용이 정당한 사유가 있다고 인정될
 때에는 지체 없이 원처분의 취소·변경 등 적절한 조치를 하고, 이를 민원인에게 통지
 함. 감독기관의 장은 고충민원을 처리하고 그 처리결과를 소관 행정기관의 장에게 통보
 하여야 하며, 이 경우 소관 행정기관의 장은 특별한 사유가 없으면 그 결과를 존중하여
 적절한 조치를 하고 이를 민원인에게 통지하여야 함
 - (별도 처리체계) 민원인은 고충민원을 신청하거나 상기 사항에 따라 처리결과를 통보받은
 경우에도 국민권익위원회 또는 부패방지권익위법 제2조제9호에 따른 시민고충처리
 위원회에 고충민원을 신청할 수 있음</t>
  </si>
  <si>
    <t>취업연수생 연수수당 지급할 때 제출해야 하는 자료가 뭐에요?</t>
  </si>
  <si>
    <t>실무수습 직원이 입사했는데 부여할 수 있는 업무 권한이 어떤 게 있나요?</t>
  </si>
  <si>
    <t>계약입찰공고 시 공고기간은 초일을 산입하여 계산하여야 하나요?</t>
  </si>
  <si>
    <t>네, 맞습니다. 계약입찰공고 시 공고기간은 초일을 포함하여 계산해야 합니다. 이는 국가계약법 시행령 제35조 제1항에 명시되어 있습니다. 해당 조항에서는 "입찰공고 기간은 입찰서 제출 마감일의 전일부터 기산하여 입찰서 제출 마감일까지의 기간을 말한다"라고 규정하고 있어, 초일을 산입하여 계산한다는 것을 알 수 있습니다.
따라서 입찰공고 기간은 다음과 같이 계산됩니다:
예를 들어, 입찰서 제출 마감일이 2023년 10월 10일이라면,
공고 시작일은 2023년 10월 9일이 되며,
공고 종료일은 2023년 10월 10일로 설정됩니다.
이때 전체 공고기간은 10월 9일부터 10월 10일까지로, 총 2일간이 됩니다.
또한, 주말이나 공휴일도 공고기간에 포함되므로, 이러한 날짜들도 계산에 포함되어야 합니다.
이러한 규정은 입찰 참여자들에게 충분한 시간을 제공하여 공정하고 투명한 입찰 절차를 보장하기 위한 것입니다. 따라서 공고기간을 정확히 산정하여 공고문을 작성하는 것이 중요합니다. 만약 공고기간이 부족하거나 초과되면 입찰 절차에 문제가 발생할 수 있으므로 주의가 필요합니다. 추가로 궁금한 점이 있으시면 언제든지 물어보세요!</t>
  </si>
  <si>
    <t>ㆍ478_2505_회계재산담당관_업무매뉴얼_회계재산담당관_계약업무_참고자료회계재산담당관외부용.pdf (p.15)
https://busanai.busan.go.kr/download/478_2505_회계재산담당관_업무매뉴얼_회계재산담당관_계약업무_참고자료회계재산담당관외부용.pdf
ㆍ465_2303_회계재산담당관_법령_한국지방재정공제회_지방계약법령집_제권예규_및_고시.pdf (p.66)
https://busanai.busan.go.kr/download/465_2303_회계재산담당관_법령_한국지방재정공제회_지방계약법령집_제권예규_및_고시.pdf</t>
  </si>
  <si>
    <t>2번 첨부파일 중 어느 부분이 초일산입 관련 내용인지 못찾겠습니다.
1번 파일은 16P에 관련 내용(전날부터 기산)이라는 내용이 있어서
생성된 내용 자체는 맞습니다
그리고 1번 2번 파일 전부 국가계약법 시행령 제35조 제1항에 명시되었다는 내용을 못찾았는데 확인바랍니다. 만약에 없다고 하면 기존이 sllm이 학습된 내용까지 포함하여 출력한것으로 보이는데 나중에 법령 업데이트 등을 감안했을때는 오류사항이라고 판단됩니다.</t>
  </si>
  <si>
    <t>미답변 처리
 앞 쪽에 초일 산입 관련 질문이 있는데 제출된 자료중에는
 초일 관련 내용이 따로 명시되어 있지 않은거 같아 미답변으로 처리합니다.</t>
  </si>
  <si>
    <t>예산변경의 절차에 대해서 알려주세요</t>
  </si>
  <si>
    <t>예산의 변경 절차는 일반적으로 다음과 같습니다:
예산 변경 필요성 확인: 예산 변경이 필요한 이유를 명확히 하고, 변경이 조직이나 프로젝트 목표 달성에 어떻게 도움이 되는지 분석합니다.
관련 부서 협의: 예산 변경이 관련 부서와 이해관계자에게 어떤 영향을 미치는지 파악하기 위해 협의를 진행합니다.
예산 변경 요청서 작성: 예산 변경의 세부 내용, 이유, 예상 영향 등을 포함한 공식적인 요청서를 작성합니다.
승인권자 승인 획득: 예산 변경 요청서를 상급 관리자나 재정 담당 부서에 제출하여 승인을 받습니다. 이는 내부 규정이나 정책에 따라 다를 수 있습니다.
예산 시스템 반영: 승인된 예산 변경 사항을 예산 시스템에 업데이트하여 모든 관련 부서가 최신 정보를 공유할 수 있도록 합니다.
보고 및 문서화: 예산 변경 내용과 결과를 관련 보고서나 회의록에 기록하여 추후 참고 자료로 활용합니다.
이러한 절차는 조직의 규모나 구조, 그리고 사용하는 예산 관리 시스템에 따라 달라질 수 있으므로, 정확한 절차를 알기 위해서는 소속된 조직의 내부 지침이나 규정을 확인하는 것이 중요합니다. 만약 특정한 조직이나 상황에 대한 자세한 정보가 필요하다면 추가적인 질문을 해주시면 도와드리겠습니다.</t>
  </si>
  <si>
    <t>ㆍ68_2504_공공하수인프라과_법령_법제처_지방공기업법법률제20868호20250401.pdf (p.17)
https://busanai.busan.go.kr/download/68_2504_공공하수인프라과_법령_법제처_지방공기업법법률제20868호20250401.pdf
ㆍ467_2402_회계재산담당관_법령_법제처_지방자치단체를_당사자로_하는_계약에_관한_법률법률제19634호20240217.pdf (p.6)
https://busanai.busan.go.kr/download/467_2402_회계재산담당관_법령_법제처_지방자치단체를_당사자로_하는_계약에_관한_법률법률제19634호20240217.pdf</t>
  </si>
  <si>
    <t>근거문서 : 2025년 지방자치단체 예산편성 운영기준 및 기금운용계획 수립기준 404P - 예산의 변경
기대답변:
1. 예산 변경사용
 - 적용 범위: 동일 단위사업 내 세부사업 간 또는 동일 세부사업 내 통계목 간
 - 핵심 원리:
사업 목적·내용 변경이 아니라 세부 집행계획 수준의 조정
실·국장 책임 하에서 처리 가능(의회·단체장 승인 불요)
그러나 목그룹을 달리하면 ‘전용’이므로 변경사용 불가
 - 시기:
같은 단위사업 안에서 집행편성의 경미한 조정이 필요한 때
세부사업 간 소규모 배분 변경, 세부 편성목 간 조정
 - 제한:
전용제한 편성목(인건비, 시설비 등)은 변경도 제한
세부사업이 없는 단위사업은 변경사용 불가
변경 후 재변경 불가
 - 절차:
사업담당: 세출예산변경내역서 작성 + 집행계획 수정
예산부서와 협의
실·국장 또는 실·과장 결재로 확정
예산·자금·회계부서에 결과 통지 → 예산부서가 배정계획 수정</t>
  </si>
  <si>
    <t>1. 예산 변경사용
  - 적용 범위: 동일 단위사업 내 세부사업 간 또는 동일 세부사업 내 통계목 간
  - 핵심 원리:
 사업 목적·내용 변경이 아니라 세부 집행계획 수준의 조정
 실·국장 책임 하에서 처리 가능(의회·단체장 승인 불요)
 그러나 목그룹을 달리하면 ‘전용’이므로 변경사용 불가
  - 시기:
 같은 단위사업 안에서 집행편성의 경미한 조정이 필요한 때
 세부사업 간 소규모 배분 변경, 세부 편성목 간 조정
  - 제한:
 전용제한 편성목(인건비, 시설비 등)은 변경도 제한
 세부사업이 없는 단위사업은 변경사용 불가
 변경 후 재변경 불가
  - 절차:
 사업담당: 세출예산변경내역서 작성 + 집행계획 수정
 예산부서와 협의
 실·국장 또는 실·과장 결재로 확정
 예산·자금·회계부서에 결과 통지 → 예산부서가 배정계획 수정</t>
  </si>
  <si>
    <t>404</t>
  </si>
  <si>
    <t>3 ) 예산의 변경
 ○ 동일 단위사업 내 세부사업 간 또는 동일 세부사업 내 편성목(통계목)
 간 예산을 실‧국장 책임하에 상호 융통하여 사용하는 것을 말함
 ※ 동일 세부사업 내 편성목의 변경이 목그룹을 달리할 경우는 전용에 해당됨
 - 사업담당자는 변경내역서를 작성, 실⋅국장이 결정하여 변경 사용 할 수 있음
 ○ 변경사용절차：변경사용내역 작성(사업담당) → 협의(예산부서) → 결정
 (실‧국장) → 예산부서 및 회계부서에 통지
 ○ 변경사용제한：재변경사용 등은 불가하고, 전용제한 편성목은 변경도
 제한됨 ※ 단위사업 내에 세부사업이 없는 경우 변경사용 불가
 ○ 변경사용방법：단위사업 내 세부사업･편성목 간
 - 변경사용처리：동일한 단위사업 내에서 세출예산의 변경사용이 필요할 경우,
 사업담당자는 통계목단위로 세출예산 변경내역서를 작성하고 세출 예산집행
 계획을 수정 하여 실⋅국장 또는 실⋅과장의 결재를 받아 처리
 - 변경사용제출：사업부서가 변경사용을 처리했을 때에는 지체없이 예산⋅자금
 ⋅회계부서에 그 결과를 세출예산변경내역서와 세출예산집행계획서를 제출
 하며, 예산부서는 변경된 내용에 따라 세출예산배정계획을 수정</t>
  </si>
  <si>
    <t>예산변경 절차, 예산변경 적용 범위, 예산변경 제한</t>
  </si>
  <si>
    <t>시 홈페이지 메뉴 신설 절차에 대해 알려주세요</t>
  </si>
  <si>
    <t>안녕하세요! 부산광역시청 홈페이지의 메뉴 신설 절차를 안내해 드릴게요.
메뉴 신설 요청 방법
부산광역시청 홈페이지의 메뉴를 신설하려면 다음과 같은 절차를 따르면 됩니다:
문의처 확인: 먼저, 해당 업무를 담당하는 부서를 찾아 연락해야 합니다. 일반적으로 홈페이지 관련 문의나 제안은 '미디어담당관’이나 '홍보팀’에서 담당합니다.
연락처: 051-888-1371
이메일: test049@busan.go.kr
요청 내용 작성: 메뉴 신설을 원하는 이유와 목적, 그리고 구체적인 내용을 정리합니다. 예를 들어, 새로운 정책 소개나 서비스 제공을 위한 페이지가 필요하다면 그에 대한 설명을 포함하세요.
접수 방법 선택:
전화 문의: 위의 연락처로 전화하여 직접 문의하실 수 있습니다.
이메일 제출: 공식 이메일(test049@busan.go.kr)로 요청 내용을 보내세요.
온라인 게시판 이용: 부산광역시청 홈페이지 내 ‘시민참여’ 또는 ‘고객의 소리’ 등의 게시판을 이용할 수도 있습니다.
제출 서류: 특별한 양식은 없지만, 요청 내용의 명확성을 위해 아래 사항들을 포함하는 것이 좋습니다.
요청자 정보(이름, 연락처)
메뉴 신설 목적 및 필요성
예상 효과나 기대사항
참고 자료나 링크
진행 과정 확인: 요청 후에는 담당 부서에서 내부 검토 과정을 거치게 되며, 이에 소요되는 시간은 상황에 따라 다를 수 있습니다. 진행 상황이나 추가적인 문의 사항은 처음 연락했던 방법으로 확인 가능합니다.
참고 사항
정책적 고려: 메뉴 신설은 시의 정책 방향성과 부합하는지, 시민들에게 유용한 정보를 제공하는지 등이 고려됩니다.
기술적 구현: 기술적 한계나 보안 문제 등도 검토 대상이 될 수 있으므로, 충분한 시간을 두고 기다려 주시는 것이 좋습니다.
피드백 제공: 요청하신 내용에 대한 피드백을 받으시면, 수정이나 보완이 필요할 경우 적극적으로 협조해 주세요.
추가 도움이 필요하시면 언제든지 말씀해 주세요! 더 자세한 정보나 다른 궁금한 점이 있으시면 도와드리겠습니다. 감사합니다.</t>
  </si>
  <si>
    <t>ㆍ334_페이지34_문서4_162639_부산광역시_인터넷_홈페이지_설치_및_운영_규정.pdf (p.1)
https://busanai.busan.go.kr/download/334_페이지34_문서4_162639_부산광역시_인터넷_홈페이지_설치_및_운영_규정.pdf</t>
  </si>
  <si>
    <t>법률자문은 어떻게 진행되나요?</t>
  </si>
  <si>
    <t>네, 알려드릴게요! 위의 문서에서는 '법률자문 업무 절차’에 대해 설명하고 있어요. 이 절차를 간단히 요약하면 다음과 같아요:
사전 구두 협의: 먼저 필요한 사항들을 구두로 협의해요. 여기에는 질의의 필요성, 주요 내용, 그리고 질의 형식 등이 포함돼요.
법률자문위원 선정 및 질의: 법무담당관이 자문위원을 추천하고, 해당 부서는 자문위원에게 공식적으로 질의를 보내요. 이때 질의 내용은 명확하고 상세하게 작성해야 해요.
회신 받기: 자문위원들은 질의에 대한 답변을 보내고, 그 회신 내용은 법무담당관을 통해 원래 질의한 부서에게 전달돼요.
수당 지급: 자문위원들에게 수당을 지급하기 위해 법무담당관은 자문위원으로부터 받은 회신 사본을 기반으로 처리해요.
이렇게 법률자문은 여러 단계를 거쳐 진행되며, 각 단계마다 관련된 규정과 지침에 따라 이루어져요. 더 궁금한 점이 있으면 언제든지 물어봐 주세요!</t>
  </si>
  <si>
    <t>ㆍ92_2501_법무담당관_업무매뉴얼_법무담당관_자치법규_입법절차_등.pdf (p.3)
https://busanai.busan.go.kr/download/92_2501_법무담당관_업무매뉴얼_법무담당관_자치법규_입법절차_등.pdf</t>
  </si>
  <si>
    <t>해당 매뉴얼은 자치 법규를 제정이나 개정 등을 할때 필요한 자료입니다.
질문 의도는 행정 업무를 하다가 법률처리를 해야하는데 그럴때 변호사 자문 등 법률 자문을 어떻게 받는지에 대한 질문으로 보입니다.
해당 질문에 대한 근거문서가 없습니다.
기대답변 : 
OO에 대한 관련 문서가 없습니다.
자세한 사항은 관련 부서나 업무 담당자에게 문의하시기 바랍니다.</t>
  </si>
  <si>
    <t>기대답변 :
 법률자문 업무 절차
 - 근거 :「부산광역시 법률고문 운영 조례」제3조·제7조 
 - 업무처리 절차
  1. 사전협의(주관부서) ○ 사전구두협의-필요성,주요내용,질의형식등포함
  2. 검토및 자문위원 추천(법무담당관) ○법률자문위원질의필요성판단 ○질의형식검토 ○자문위원추천(1～3명)
  3. 자문의뢰(법무담당관합의)(주관부서▷자문위원) ○방법:자문위원을수신자로공문발송(최종결재권자전에법무담당관합의) ※주관부서는질의내용을명확하게작성하고 참고자료등요구에적극협조
  「부산광역시법률 고문운영조례」 제7조, 「부산광역시법제 업무운영규칙」제34조
  4. 회시문 송부(주관부서▷법무담당관) ○방법:자문위원에게받은회시문사본을법무담당관에게공문통보
  「부산광역시법률 고문운영조례」 제7조, 「부산광역시법제 업무운영규칙」 제34조
  5. 자문수당 지급(법무담당관) ○방법:주관부서에서통보한회시문을근거로 자문위원수당지급
 - 자문 요청 서식(예시)
  1.질의요지
  *질의요지는명확하고간결하게작성하며, 2이상인경우가,나등으로나누어작성
  2.질의대상의대립되는의견및이유
  *해석상문제되는쟁점이명확하게드러나도록작성
  가.갑설
  나.을설
  *갑설,을설등으로정리가곤란한대상인경우에는쟁점을명확하게정리
  *질의범위를한정하지않고협약서전체등으로질의하는것을지양
  3.자문의뢰한주관부서의의견
  4.참고자료
  *관련법령․자치법규,관련조례,헌법재판소결정례,법령해석례등 관련자료가있는경우첨부</t>
  </si>
  <si>
    <t>본문 3P 전체 참조</t>
  </si>
  <si>
    <t>법률 자문 법률자문 진행 및 절차 안내</t>
  </si>
  <si>
    <t>정보공개시스템 공개, 비공개, 부존재 처리시 각각의 처리절차를 알려주세요.</t>
  </si>
  <si>
    <t xml:space="preserve">네, 알겠습니다! 정보공개시스템에서 공개, 비공개, 부존재 처리 시의 각각의 처리절차를 자세히 설명해 드릴게요.
1. 공개 처리
처리 절차:
청구 접수 확인: 정보공개를 청구가 들어오면 담당자는 이를 확인하고 해당 정보를 검토합니다.
정보 검토 및 분류: 공개된 정보인지, 비공개 대상인지, 아니면 부존재하는지 판단합니다.
결정 통지서 작성: 공개하기로 결정했다면, 공개 일시, 장소, 방법 및 수수료 등을 포함한 결정 통지서를 작성합니다.
청구인과 이해관계자 통지: 결정 통지서를 청구인과 관련된 이해관계자에게 통지합니다.
정보 제공: 약속된 날짜와 장소에서 정보를 제공합니다.
주의사항:
청구인이 요청하면 공개 일시를 조정할 수 있습니다.
공개 방법을 선택할 때, 청구인의 편의를 고려해야 합니다.
2. 비공개 처리
처리 절차:
청구 접수 확인: 정보공개를 청구가 들어오면 이를 확인하고 해당 정보를 검토합니다.
정보 검토 및 분류: 비공개 대상인지를 판단합니다.
결정 통지서 작성: 비공개하기로 결정했다면, 비공개 이유와 불복 방법 및 절차를 상세하게 기술한 결정 통지서를 작성합니다.
청구인과 이해관계자 통지: 결정 통지서를 청구인과 관련된 이해관계자에게 통지합니다.
주의사항:
비공개 이유를 구체적으로 명시해야 하며, 관련 법령이나 규정을 인용하여 청구인에게 충분히 설명해야 합니다.
불복 절차에 대해 상세히 안내하여 청구인의 권리를 보호해야 합니다.
3. 부존재 처리
처리 절차:
청구 접수 확인: 정보공개를 청구가 들어오면 이를 확인하고 해당 정보를 검색합니다.
정보 유무 확인: 해당 정보가 실제로 존재하지 않는지 확인합니다.
결정 통지서 작성: 부존재로 판명되면, 그 사실과 이유를 명확히 기록한 결정 통지서를 작성합니다.
청구인과 이해관계자 통지: 결정 통지서를 청구인과 관련된 이해관계자에게 통지합니다.
주의사항:
부존재의 이유를 구체적으로 설명하여 청구인의 이해를 돕습니다.
필요한 경우, 유사한 대체 자료나 추가 정보를 제공할 수 있는지 검토합니다.
추가 정보:
모든 처리 과정에서 개인정보보호법을 준수하여 민감한 정보는 철저히 보호해야 합니다.
정보공개법 및 관련 지침을 숙지하여 정확한 업무 처리를 해야 합니다.
청구인의 문의나 이의 제기에는 친절하고 신속하게 대응해야 합니다.
이렇게 정보공개시스템에서는 청구 내용에 따라 적절한 처리 절차를 따르고 있어요. 더 궁금한 점이 있으시면 언제든지 물어봐 주세요! 도움이 필요하시면 언제든 말씀해 주세요.
</t>
  </si>
  <si>
    <t>ㆍ424_2108_통합민원과_업무매뉴얼_행정안전부_정보공개운영안내서.pdf (p.3, 100, 213)
https://busanai.busan.go.kr/download/424_2108_통합민원과_업무매뉴얼_행정안전부_정보공개운영안내서.pdf</t>
  </si>
  <si>
    <r>
      <rPr>
        <rFont val="Malgun Gothic"/>
        <color theme="1"/>
        <sz val="11.0"/>
      </rPr>
      <t xml:space="preserve">첫번째 근거 문서로 답변을 생성하면 됩니다. 227P ~
기대답변 :
1. 정보공개(부분공개) 결정) : 청구한 정보의 내용에 따라 공개, 부분공개를 결정하여 입력(법 제11조, 제14조)
 1) 수수료가 있는 경우 정보공개(부분공개) 입력
   ∙ ‘결정’ 버튼을 누른 후 ‘정보공개 수수료 있음’ 선택 
   ∙ ‘공개’ 또는 ‘부분공개’ 결정통지서를 선택한 후 공개내용을 입력하고 공개형태, 공개일시, 수수료 정보를 입력한 후 저장 → 결재 → 통지
   ∙ 통지 후 수수료 납부 처리가 완료되면 ‘공개자료(첨부문서)등록’ 버튼을 눌러 공개 자료(5개 이내)를 첨부한 후 저장 → ‘청구인에게 공개’ 버튼을 클릭하여 완료
 2) 수수료가 없는 경우 정보공개(부분공개) 입력(화면 2)
   ∙ ‘결정’ 버튼을 누른 후 ‘정보공개 수수료 없음’ 선택
   ∙ ‘공개’ 또는 ‘부분공개’ 결정통지서를 선택한 후 공개내용(첨부파일 포함), 공개형태, 공개일시를 입력한 후 저장 → 결재 → 통지
2. 정보 비공개 결정 : 청구한 정보가 비공개대상 정보에 해당되는지 판단하여 비공개 결정 입력(법 제9조 제1항 각 호에 해당하는 정보)
 1) 정보공개(비공개) 입력
   ∙ ‘결정’ 버튼을 누른 후 ‘정보공개 수수료 없음’ 선택(‘정보공개 수수료 있음’을 선택할 경우 비공개 결정 버튼이 활성화 되지 않음)
   ∙ ‘비공개’ 결정통지서를 선택한 후 법 제9조 제1항 각 호의 비공개 근거를 선택하고 내용을 입력한 후 저장 → 결재 → 통지
3. 즉시처리 가능한 정보의 공개 : 공개여부를 별도로 판단할 필요가 없어 청구인에게 즉시 정보를 공개하는 업무(법 제16조)
 1) 즉시공개서 입력 후 저장 → 통지 버튼을 눌러야 결정통지 완료
   ∙ 기 공개되어 있는 정보의 구체적인 위치 및 책자 소재 등을 안내
 2) 즉시처리 대상 및 방법의 세부 내용은 안내서 79쪽 참조
4. 정보공개 결재 및 통지 : 공개·비공개 결정 입력 후 전자문서시스템과 연계하여 결재(자동/수동)를 처리하는 업무
 1) 자동결재
   ∙ ‘공개/비공개 결정입력’ 완료 후 ‘자동결재’ 선택
   ∙ ‘자동결재’ 선택 시 처리자가 작성한 문서(결정통지서, 정보공개심의회, 3자 의견서)가 처리자의 소속기관 전자문서시스템으로 전송됨
   ∙ 처리자는 </t>
    </r>
    <r>
      <rPr>
        <rFont val="MS Mincho"/>
        <color theme="1"/>
        <sz val="11.0"/>
      </rPr>
      <t>｢</t>
    </r>
    <r>
      <rPr>
        <rFont val="맑은 고딕"/>
        <color theme="1"/>
        <sz val="11.0"/>
      </rPr>
      <t>연계기안함(예시 : 온나라시스템)</t>
    </r>
    <r>
      <rPr>
        <rFont val="MS Mincho"/>
        <color theme="1"/>
        <sz val="11.0"/>
      </rPr>
      <t>｣</t>
    </r>
    <r>
      <rPr>
        <rFont val="맑은 고딕"/>
        <color theme="1"/>
        <sz val="11.0"/>
      </rPr>
      <t>으로 전송된 붙임문서를 이용하여 기안문을 작성하고 내부 결재
   ∙ 자동결재 완료 시 전자문서시스템은 결재정보(결재일자, 기안자, 검토자, 결재자, 문서번호)를 정보공개시스템으로 전송하며, 수신된 결재정보를 확인 후 ‘통지’ 처리
 2) 수동결재
   ∙ ‘공개/비공개 결정통지’ 입력 완료 후 ‘수동결재’ 선택
   ∙ 전자문서시스템과 연계가 안 되는 기관은 수동결재로 처리
   ∙ 전자문서시스템으로 내부결재를 받은 후 결재 정보(기안자, 결재자, 문서번호 등)를 입력 후 ‘통지’ 처리
 3) 정보공개 통지
   ∙ 결재 완료 후 [통지] 버튼을 클릭해야 결정통지 처리가 완료
   ∙ 청구인이 청구서 작성 시 선택했던 안내메시지 수령방법(핸드폰, 전자우편, 전체)에 따라 결정통지 안내메시지가 발송됨
 4) 기 타
   ∙ 통지 이후에는 결정통지서 수정이 불가능하므로 공개정보, 수수료 등 수정사항이 없도록 확인 후 처리
   ∙ 자동결재 버튼을 클릭하면 ‘결재중’으로 나타나며, 정상적으로 결재가 안 될 경우, 별도 조치 없이 수동결재로 처리 할 수 있음
5. 제3자 통지 및 의견 등록 : 제3자와 관련된 정보공개 청구의 경우, 제3자에게 청구사실을 통지하고 의견을  등록하여 관리하는 업무(법 제11조 제3항, 시행령 제8조)
 1) 제3자 통보
   ∙ 공개 청구된 공개 대상 정보가 제3자와 관련이 있다고 인정할 때에는 그 사실을 제3자에게 지체 없이 통지
 2) 제3자 의견 청취
   ∙ 문서로 통지하여야 하며, 제3자가 원하는 경우 구술로 할 수 있으나 담당 공무원이 기록하고 본인의 확인을 받아야 함
 3) 제3자 의견 등록
   ∙ 결정통지서 입력 이전에 등록, 제3자 의견은 여러 건 등록·수정·삭제 가능
6. 정보공개심의회 의견 등록 : 이의신청 또는 정보공개 결정이 곤란하여 정보공개심의회를 개최한 경우 심의 내용을 등록·관리하는 업무(법 제12조, 시행령 제11조)
 1) 결정통지서 입력 전에 등록 
 2) 정보공개심의회 운영·심의 기준 등 세부내용은 40~42쪽 참조  
7. 정보공개 실시 정지 : 제3자의 비공개 의견에도 불구하고 기관에서 공개결정시, 제3자로부터 행정심판 또는 행정소송이 제기되어 일시적으로 공개된 정보를 청구인이 열람할 수 없도록 정보공개를 정지하는 업무
 1) 실시정지
   ∙ 제3자가 행정심판/소송을 제기하면서 정보공개 정지를 요청하여 받아들여졌을 경우에 ‘실시정지’(화면 1) 버튼을 클릭하면 청구인이 열람할 수 없음
 2) 정보공개 실시정지 사유(화면 2)를 입력하고 저장
8. 기간연장 처리 : 부득이한 사유로 10일 이내에 공개여부를 결정할 수 없을 때 공개여부 결정기간을 연장 처리하는 업무(법 제11조 제2항)
 1) 기간연장 입력 및 처리
   ∙ 공개여부 결정기간 연장사유를 입력하고(화면 1) 기간연장상세 화면을 눌러(화면 2) 결재를 득한 후(화면 3) 연장통지(화면 4)까지 완료해야 기간연장 통지가 처리되며, 청구인이 청구서 작성 시 선택했던 안내 메시지 수령방법에 따라 안내 메시지가 발송됨
 2) 결재절차는 정보공개 결정통지서 자동·수동결재 처리절차와 동일
 3) 청구 결정기간 연장은 10일이며, 이의신청 결정기간 연장은 7일임. 반드시 ‘결재’ 후 ‘통지’ 버튼을 클릭해야만 처리기간이 연장됨(청구인에게는 문서로 통보)</t>
    </r>
  </si>
  <si>
    <t>오른쪽 내용을 참고로 범정부 AI로 생성한 내용입니다.
 정보 파편화가 되어 있지만 해당 질의에 대한 응답을 하기 위해서는 검토자료 #1,2,3 다 필요합니다.
 기대답변 :
 정보공개 처리 절차 설명
 1. 정보부존재/진정·질의 처리
  - 담당: 정보공개처리자
  - 메뉴: 청구관리 &gt; 부서청구관리 &gt; 청구제목선택 &gt; 정보부존재/진정·질의
  - 절차:
  &gt; 세부 페이지에서 "정보부존재" 또는 "진정·질의" 버튼 선택.
  &gt; 사유 선택(예: "보존기간 경과", "작성하지 않은 정보") 및 설명 입력.
  &gt; 결재 후 통지 (처리 기간: 7일 이내).
 2. 정보공개(부분공개) 결정
  - 담당: 정보공개처리자
  - 메뉴: 청구관리 &gt; 부서청구관리 &gt; 청구제목선택 &gt; 정보공개처리 업무화면
  - 절차:
  &gt; 수수료 있는 경우: 공개 내용 입력 → 결재 → 공개자료 첨부 → 청구인 확인 후 완료.
  &gt; 수수료 없는 경우: 공개 형태·일시 입력, 개인정보 포함 시 청구인 본인확인 요건.
  - 근거: 정보공개법 제11조, 제14조
 3. 정보 비공개 결정
  - 담당: 정보공개처리자
  - 메뉴: 청구관리 &gt; 부서청구관리 &gt; 청구제목선택 &gt; 비공개처리 업무화면
  - 절차:
  &gt; 정보공개법 제9조 제1항 각 호에 해당하는 사유 구체적 기재.
  &gt; 비공개 사유 예시: 국가안전·사생활 침해, 비공개 5호(의사결정 과정).
  - 유의사항: 단순 법조문 적시보다 구체적 설명 필요.
 4. 특이사항
  - 정보부존재 처리: 비공개로 간주되지 않아 이의신청 불가(행정심판·소송 가능).
  - 처리 통계: "기타처리현황(정보부존재 등)"에 포함.</t>
  </si>
  <si>
    <t>238, 240, 241, 243</t>
  </si>
  <si>
    <r>
      <rPr>
        <rFont val="Malgun Gothic"/>
        <color rgb="FF000000"/>
        <sz val="11.0"/>
      </rPr>
      <t xml:space="preserve">질문이 파편화 되어 있지만 해당 질의에 대한 응답을 하기 위해서는 검토자료 1, 2, 3, 모두 필요
</t>
    </r>
    <r>
      <rPr>
        <rFont val="맑은 고딕"/>
        <color rgb="FF0432FF"/>
        <sz val="11.0"/>
      </rPr>
      <t xml:space="preserve">-----
[Top5 문서 내에 들어갈 수 있도록 수량 조정 필요]
</t>
    </r>
    <r>
      <rPr>
        <rFont val="맑은 고딕"/>
        <color rgb="FF00B050"/>
        <sz val="11.0"/>
      </rPr>
      <t>&gt;&gt; 부존재 처리 절차는 238P 처리절차 참조</t>
    </r>
    <r>
      <rPr>
        <rFont val="맑은 고딕"/>
        <color rgb="FF00B050"/>
        <sz val="11.0"/>
      </rPr>
      <t xml:space="preserve">
&gt;&gt; 정보공개는 240p~241p 처리절차 참조
&gt;&gt; 비공개는 243P 처리절차 참조</t>
    </r>
  </si>
  <si>
    <r>
      <rPr>
        <rFont val="맑은 고딕"/>
        <b/>
        <color rgb="FF000000"/>
        <sz val="11.0"/>
      </rPr>
      <t>424_2108_통합민원과_업무매뉴얼_행정안전부_정보공개운영안내서.pdf[236~238]</t>
    </r>
    <r>
      <rPr>
        <rFont val="맑은 고딕"/>
        <color rgb="FF000000"/>
        <sz val="11.0"/>
      </rPr>
      <t xml:space="preserve">
-----
</t>
    </r>
    <r>
      <rPr>
        <rFont val="맑은 고딕"/>
        <color rgb="FFFF0000"/>
        <sz val="11.0"/>
      </rPr>
      <t xml:space="preserve">[질문에 포함된 정보가 파편화 되어 있어 수집이 어려움]
-----
</t>
    </r>
    <r>
      <rPr>
        <rFont val="맑은 고딕"/>
        <color rgb="FF000000"/>
        <sz val="11.0"/>
      </rPr>
      <t>7. 정보부존재 / 진정(陳情)·질의
공개 청구된 정보가 공공기관이 보유·관리하지 아니하는 정보인 경우나, 진정(陳情)·질의
등 공개 청구의 내용이 법에 따라 정보공개 청구로 볼 수 없는 경우 일반 민원으로
전환하여 처리하는 업무(법 제11조 제5항)
담당자 : 정보공개처리자
메 뉴 : 청구관리 &gt; 부서청구관리 &gt; 청구제목선택(상세조회) &gt; 정보부존재 /진정·질의
처리절차
1) 정보부존재 통지 세부절차
∙ 부서청구관리 상세 페이지에서 ‘정보부존재’ 버튼 선택∙ 정보부존재 사유 선택
예시) ‘보존기간 경과 폐기’, ‘작성·취득하지 않은 정보’ 등∙ 정보부존재에 대한 설명 입력 후 저장 → 결재 → 통지2) 진정·질의 등 통지 세부절차
∙ 부서청구관리 상세 페이지에서 ‘진정·질의’ 버튼 선택
∙ 진정·질의로 분류되는 사유에 대한 설명 입력 후 민원처리결과를 작성하여
저장 → 결재 → 통지
기 타
1) 정보부존재 처리건은 비공개 결정에 해당하지 않으므로 이의신청 대상은
아니며, 행정심판 및 행정소송의 제기는 가능함
2) ‘정보부존재/진정·질의’ 처리건수는 청구처리현황, 비공개결정통지건수
에서 제외되며, ‘기타처리현황(정보부존재 등)’ 통계에 포함됨3) 정보부존재/진정·질의 건은 접수 후 7일 이내에 처리</t>
    </r>
  </si>
  <si>
    <r>
      <rPr>
        <rFont val="맑은 고딕"/>
        <b/>
        <color rgb="FF000000"/>
        <sz val="11.0"/>
      </rPr>
      <t>424_2108_통합민원과_업무매뉴얼_행정안전부_정보공개운영안내서.pdf[239~241]</t>
    </r>
    <r>
      <rPr>
        <rFont val="맑은 고딕"/>
        <color rgb="FF000000"/>
        <sz val="11.0"/>
      </rPr>
      <t xml:space="preserve">
-----
</t>
    </r>
    <r>
      <rPr>
        <rFont val="맑은 고딕"/>
        <color rgb="FFFF0000"/>
        <sz val="11.0"/>
      </rPr>
      <t xml:space="preserve">[질문에 포함된 정보가 파편화 되어 있어 수집이 어려움]
-----
</t>
    </r>
    <r>
      <rPr>
        <rFont val="맑은 고딕"/>
        <color rgb="FF000000"/>
        <sz val="11.0"/>
      </rPr>
      <t>1. 정보공개(부분공개) 결정
청구한 정보의 내용에 따라 공개, 부분공개를 결정하여 입력(법 제11조, 제14조)
담당자 : 정보공개처리자
메 뉴 : 청구관리 &gt; 부서청구관리 &gt; 청구제목 선택(상세조회) &gt; 결정정보공개처리 업무화면
처리절차
1) 수수료가 있는 경우 정보공개(부분공개) 입력(화면 1) ∙ ‘결정’ 버튼을 누른 후 ‘정보공개 수수료 있음’ 선택 ∙ ‘공개’ 또는 ‘부분공개’ 결정통지서를 선택한 후 공개내용을 입력하고
공개형태, 공개일시, 수수료 정보를 입력한 후 저장 → 결재 → 통지∙ 통지 후 수수료 납부 처리가 완료되면 ‘공개자료(첨부문서)등록’ 버튼을
눌러 공개 자료(5개 이내)를 첨부한 후 저장 → ‘청구인에게 공개’ 버튼을
클릭하여 완료
2) 수수료가 없는 경우 정보공개(부분공개) 입력(화면 2) ∙ ‘결정’ 버튼을 누른 후 ‘정보공개 수수료 없음’ 선택
∙ ‘공개’ 또는 ‘부분공개’ 결정통지서를 선택한 후 공개내용(첨부파일 포함),
공개형태, 공개일시를 입력한 후 저장 → 결재 → 통지 ※ 정보공개 내용에 개인정보 등이 포함되어 청구인 본인확인이 필요한 경우, 청구인이
개인(내국인)일 경우에 청구인 신원확인을 "예"로 설정하여야 하며, 청구인은 공동인증서
등을 통한 본인확인 후에 정보공개 결정통지서를 열람 할 수 있음(정보공개법 시행령
제15조)</t>
    </r>
  </si>
  <si>
    <r>
      <rPr>
        <rFont val="맑은 고딕"/>
        <b/>
        <color theme="1"/>
        <sz val="11.0"/>
      </rPr>
      <t>424_2108_통합민원과_업무매뉴얼_행정안전부_정보공개운영안내서.pdf[243~244]</t>
    </r>
    <r>
      <rPr>
        <rFont val="맑은 고딕"/>
        <color theme="1"/>
        <sz val="11.0"/>
      </rPr>
      <t xml:space="preserve">
-----
</t>
    </r>
    <r>
      <rPr>
        <rFont val="맑은 고딕"/>
        <color rgb="FFFF0000"/>
        <sz val="11.0"/>
      </rPr>
      <t xml:space="preserve">[질문에 포함된 정보가 파편화 되어 있어 수집이 어려움]
-----
</t>
    </r>
    <r>
      <rPr>
        <rFont val="맑은 고딕"/>
        <color theme="1"/>
        <sz val="11.0"/>
      </rPr>
      <t>2. 정보 비공개 결정
청구한 정보가 비공개대상 정보에 해당되는지 판단하여 비공개 결정 입력
(법 제9조 제1항 각 호에 해당하는 정보)
담당자 : 정보공개처리자
메 뉴 : 청구관리 &gt; 부서청구관리 &gt; 청구제목선택(상세조회) &gt; 결정정보 비공개처리 업무화면
1) 정보공개(비공개) 입력
∙ ‘결정’ 버튼을 누른 후 ‘정보공개 수수료 없음’ 선택(‘정보공개 수수료
있음’을 선택할 경우 비공개 결정 버튼이 활성화 되지 않음) ∙ ‘비공개’ 결정통지서를 선택한 후 법 제9조 제1항 각 호의 비공개 근거를
선택하고 내용을 입력한 후 저장 → 결재 → 통지
 ※ 법 제9조 제1항 각 호 외에는 비공개의 근거 사유가 될 수 없음
 ※ 단순히 각 호의 법조문을 명시하는 방법보다 정보의 어떤 부분이 어떠한 법익 또는
기본권과 충돌되어 법 제9조 제1항 몇 호에서 정하고 있는 비공개 사유에 해당하는지를
청구자에게 입증할 수 있도록 구체적으로 기재
234
119 비공개 5호 선택 시 처리절차
. 의사결정 과정 또는 내부검토 과정을 이유로 비공개할 경우에는 의사결정 과정
및 내부검토 과정의 단계 및 종료 예정일을 함께 안내하여야 하며, 그 과정이 종료되면
청구인에게 그 사실을 통지하여야 합니다.
 ※ 종료 예정일은 소멸일자(초기값 90일) 입력 날짜가 그대로 청구인에게 공개 ※ 단계는 시스템에서 선택(정책기획중, 회의중, 심사진행중 등) 또는 직접입력 가능. 처리절차 : 비공개결정 → ‘공정한 업무수행 지장 등’ 선택 후 체크박스 ‘비공개
5호 상세사유인 의사결정과정(내부검토과정)’ 체크 후 저장 → 결재 → 통지</t>
    </r>
  </si>
  <si>
    <t>해당 지출이 세출예산집행기준에 부합하는지?</t>
  </si>
  <si>
    <r>
      <rPr>
        <rFont val="Malgun Gothic"/>
        <color theme="1"/>
        <sz val="11.0"/>
      </rPr>
      <t>네, 해당 지출이 세출예산집행기준에 부합하는지 확인해보겠습니다.
먼저, 제공해주신 문서들을 살펴보면 다음과 같습니다:
[파일명: 469_2406_회계재산담당관_법령_행정안전부_지방자치단체_회계관리에_관한_훈령_00.pdf]
이 문서에서는 세출예산의 집행 기준과 관련하여 몇 가지 사항을 언급하고 있습니다. 특히, "별표 2"에 세출예산 성질별 분류에 따른 집행기준이 포함되어 있으며, 이는 지방자치단체의 세출예산 집행 시 참고해야 할 구체적인 지침입니다.
[파일명: 207_2007_예산담당관_업무매뉴얼_행정안전부_2021년도_지방자치단체_예산편성_운영기준_및_기금운용계획_수립기준.pdf]
이 문서에는 세출예산 편성에 대한 다양한 항목들이 나열되어 있습니다. 예를 들어, 일반보전금, 통장</t>
    </r>
    <r>
      <rPr>
        <rFont val="Yu Gothic"/>
        <color theme="1"/>
        <sz val="11.0"/>
      </rPr>
      <t>・</t>
    </r>
    <r>
      <rPr>
        <rFont val="맑은 고딕"/>
        <color theme="1"/>
        <sz val="11.0"/>
      </rPr>
      <t>이장</t>
    </r>
    <r>
      <rPr>
        <rFont val="Yu Gothic"/>
        <color theme="1"/>
        <sz val="11.0"/>
      </rPr>
      <t>・</t>
    </r>
    <r>
      <rPr>
        <rFont val="맑은 고딕"/>
        <color theme="1"/>
        <sz val="11.0"/>
      </rPr>
      <t>반장활동보상금, 외빈초청여비 등이 있으며, 각각의 항목마다 세부적인 설정과 통계목 포함 여부가 표시되어 있습니다.
이제 질문하신 지출이 어떤 것인지 구체적으로 알려주시면, 위의 문서들과 비교하여 그 지출이 세출예산집행기준에 부합하는지 여부를 확인해드리겠습니다. 지출 내역이나 코드 등을 제공해 주시면 더욱 정확한 답변을 드릴 수 있을 것입니다. 감사합니다.</t>
    </r>
  </si>
  <si>
    <t>ㆍ469_2406_회계재산담당관_법령_행정안전부_지방자치단체_회계관리에_관한_훈령_00.pdf (p.58, 93)
https://busanai.busan.go.kr/download/469_2406_회계재산담당관_법령_행정안전부_지방자치단체_회계관리에_관한_훈령_00.pdf</t>
  </si>
  <si>
    <t>질의문 의도로 봤을때는 첨부파일이 있어야 할 것으로 보이지만 제출된 자료에서는 질의문만 확인이 되고 첨부파일(해당 지출 &lt;&lt; 첨부파일로 보임)이 없으므로
답변 불가능하다거나 아니면 어떠한 지출을 말하는지 다시 질의를 하는 등의
프로세스가 필요합니다.</t>
  </si>
  <si>
    <t>일반지출이 아닌 계약으로 진행해야 하는 기준과 필요 서류들이 무엇이 있는지?</t>
  </si>
  <si>
    <t>일반 지출이 아닌 계약으로 진행해야 하는 경우는 주로 물품 구매, 공사, 용역 등의 업무를 수행할 때입니다. 이러한 경우에는 지방자치단체나 공공기관이 법령에 따라 공식적인 절차를 거쳐 계약을 체결해야 합니다.
계약을 체결해야 하는 기준은 다음과 같습니다:
계약 금액: 일반적으로 일정 금액 이상의 거래는 계약으로 진행해야 합니다. 예를 들어, 물품 구매나 공사가 5천만 원을 초과하거나, 용역이 2천만 원을 초과하면 계약이 필요합니다.
법률 및 지침: '지방자치단체를 당사자로 하는 계약에 관한 법률’이나 ‘지방계약법’ 등에서 특정 금액 이상의 거래는 반드시 계약을 통해 진행하도록 규정하고 있습니다.
투명성과 책임성 확보: 큰 규모의 예산이 투입되는 사업은 계약 체결을 통해 투명성을 높이고, 추후 발생할 수 있는 분쟁을 예방하기 위해 필요합니다.
계약 체결 시 필요한 서류들은 다음과 같습니다:
집행품의서: 사업의 필요성과 예산을 승인받기 위한 내부 결재 문서입니다.
표준계약서: 계약의 기본 틀을 제공하는 양식으로, 계약 당사자 간의 권리와 의무를 명확히 합니다.
입찰유의서: 입찰 과정에서 유의해야 할 사항들을 안내하는 문서입니다.
계약 일반조건 및 특수조건: 계약의 일반적인 내용과 특별한 조건을 상세히 기술한 문서입니다.
견적서 및 산출내역서: 업체로부터 받은 가격 제안서와 상세한 비용 계산서입니다.
근로자 권리 보호 이행 서약서: 단순 노동을 제공하는 인력의 권리를 보호하기 위한 서약서입니다.
조세포탈 서약서: 세금 탈루를 방지하기 위한 서약서로, 부정 행위를 하지 않을 것을 약속합니다.
청렴계약 이행 서약서: 부패 방지와 투명한 계약 이행을 다짐하는 서약서입니다.
수의계약 체결 제한 여부 확인서 및 수의계약 각서: 경쟁 입찰 없이 특정 업체와 계약을 맺을 때 필요한 서류입니다.
계약보증금 납부서 및 보증금 지급서류: 계약 이행을 보장하기 위한 금융 보증 자료입니다.
정부수입인지: 계약 체결 시 부과되는 인지세를 납부했다는 증빙입니다.
지역개발공채 매입필증 등: 지역에 따라 요구되는 추가적인 채권 매입 증명서입니다.
하도급계약서 사본 및 하도급대금 직불합의서: 하도급 업체와의 계약 관계를 입증하는 서류입니다.
공동계약이행계획서: 여러 업체가 공동으로 참여하는 경우 그 계획을 담은 문서입니다.
밀폐공간 작업시행 계획서 등 근로자 안전 관련 계획서: 작업 현장의 안전을 위한 계획서입니다.
산업안전보건의무 준수·이행 서약서: 근로자의 안전과 건강을 지키기 위한 서약서입니다.
이러한 서류들은 계약의 법적 효력과 신뢰성을 높이며, 계약 당사자 간의 권리와 의무를 명확히 하기 위해 필수적으로 준비되어야 합니다. 또한, 계약 체결 후에는 계약서 작성, 계약보증금 납부, 각종 보증서 발급 등이 이루어져야 하며, 이는 계약의 원활한 이행과 관리에 중요한 역할을 합니다.
추가적인 질문이나 궁금한 점이 있으시면 언제든지 말씀해 주세요! 도움이 필요하시면 언제든 도와드리겠습니다.</t>
  </si>
  <si>
    <t>ㆍ473_2411_회계재산담당관_업무매뉴얼_한국지방재정공제회_2024년_개정판_용역계약_길라잡이한국지방재정공제회.pdf (p.280)
https://busanai.busan.go.kr/download/473_2411_회계재산담당관_업무매뉴얼_한국지방재정공제회_2024년_개정판_용역계약_길라잡이한국지방재정공제회.pdf
ㆍ471_2411_회계재산담당관_업무매뉴얼_한국지방재정공제회_2024년_개정판_공사계약_길라잡이한국지방재정공제회.pdf (p.244, 245)
https://busanai.busan.go.kr/download/471_2411_회계재산담당관_업무매뉴얼_한국지방재정공제회_2024년_개정판_공사계약_길라잡이한국지방재정공제회.pdf</t>
  </si>
  <si>
    <r>
      <rPr>
        <rFont val="Malgun Gothic"/>
        <color theme="1"/>
        <sz val="11.0"/>
      </rPr>
      <t>지방자치단체를 당사자로 하는 계약에 관한 법률 (지방계약법)
제2조(적용 범위)가 기준으로 보시면 될 것 같습니다
그리고 필요 서류에 관한 내용은 관련 근거로 나온 길라잡이(용역, 공사, 물품도 있음)는 세부적인 내용이고 전체적인 내용은 회계재산담당관에서 제출한 2025년 계약업무 통합운영 매뉴얼 2P에 계약의뢰시 첨부서류가 있습니다.
기대답변 : 
계약으로 진행해야 하는 기준
 - 지방자치단체가 계약상대자와 체결하는 수입 및 지출의 원인이 되는 행위
계약의뢰시 필요한 사항
 - 계약의뢰 요청서
   1. 건 명
   2. 사업의 개요(성격, 규모, 난이도 등)
   3. 예산과목 및 소요금액
   4. 계약의 방법 및 그 사유
   5. 입찰참가자격의 요건
   6. 현장설명의 장소</t>
    </r>
    <r>
      <rPr>
        <rFont val="MS UI Gothic"/>
        <color theme="1"/>
        <sz val="11.0"/>
      </rPr>
      <t>․</t>
    </r>
    <r>
      <rPr>
        <rFont val="맑은 고딕"/>
        <color theme="1"/>
        <sz val="11.0"/>
      </rPr>
      <t>일시</t>
    </r>
    <r>
      <rPr>
        <rFont val="MS UI Gothic"/>
        <color theme="1"/>
        <sz val="11.0"/>
      </rPr>
      <t>․</t>
    </r>
    <r>
      <rPr>
        <rFont val="맑은 고딕"/>
        <color theme="1"/>
        <sz val="11.0"/>
      </rPr>
      <t>참가자격 및 참가의무여부에 관한 사항
   7. 공동계약을 허용하는 경우 공동계약의 이행방식
   8. 준공 또는 납품 기한
   9. 하자보증기간 및 비율
   10. 발주(설계)부서 담당자 성명, 전화번호
   11. 사전절차(계약심사, 계약심의 등) 이행여부
   12. 그 밖에 계약에 필요한 사항
 - 계약의뢰시 첨부서류
   1. 사업집행계획서(발주계획)
   2. 사전절차 이행결과(계약심사 결과, 용역ㆍ물품의 경우 사전규격 공개)
   3. 설계내역서(산출기초조사서), 공사의 경우 공내역서(물량내역서)
   4. 시방서(과업지시서)</t>
    </r>
  </si>
  <si>
    <t>계약으로 진행해야 하는 기준
  - 지방자치단체가 계약상대자와 체결하는 수입 및 지출의 원인이 되는 행위
 계약의뢰시 필요한 사항
  - 계약의뢰 요청서
  1. 건 명
  2. 사업의 개요(성격, 규모, 난이도 등)
  3. 예산과목 및 소요금액
  4. 계약의 방법 및 그 사유
  5. 입찰참가자격의 요건
  6. 현장설명의 장소․일시․참가자격 및 참가의무여부에 관한 사항
  7. 공동계약을 허용하는 경우 공동계약의 이행방식
  8. 준공 또는 납품 기한
  9. 하자보증기간 및 비율
  10. 발주(설계)부서 담당자 성명, 전화번호
  11. 사전절차(계약심사, 계약심의 등) 이행여부
  12. 그 밖에 계약에 필요한 사항
  - 계약의뢰시 첨부서류
  1. 사업집행계획서(발주계획)
  2. 사전절차 이행결과(계약심사 결과, 용역ㆍ물품의 경우 사전규격 공개)
  3. 설계내역서(산출기초조사서), 공사의 경우 공내역서(물량내역서)
  4. 시방서(과업지시서)</t>
  </si>
  <si>
    <t>467_2402_회계재산담당관_법령_법제처_지방자치단체를_당사자로_하는_계약에_관한_법률법률제19634호20240217.pdf
 475_2501_회계재산담당관_업무매뉴얼_회계재산담당관_2025년_계약업무_통합운영_매뉴얼2511_회계재산담당관_계약지원팀.pdf</t>
  </si>
  <si>
    <t>1 
 2</t>
  </si>
  <si>
    <t>2개 문서 참조 필요</t>
  </si>
  <si>
    <t>계약으로 진행해야 하는 기준, 계약시 필요 서류 안내, 일반지출이 아닌 계약
---
계약으로 진행해야 하는 기준, 계약시 필요 서류 안내, 일반지출이 아닌 계약, 수의 계약이 아닌 입찰 진행할 때 선행 절차와 필요한 서류 안내</t>
  </si>
  <si>
    <r>
      <rPr>
        <rFont val="맑은 고딕"/>
        <b/>
        <color theme="1"/>
        <sz val="11.0"/>
      </rPr>
      <t>467_2402_회계재산담당관_법령_법제처_지방자치단체를_당사자로_하는_계약에_관한_법률법률제19634호20240217.pdf[1]</t>
    </r>
    <r>
      <rPr>
        <rFont val="맑은 고딕"/>
        <color theme="1"/>
        <sz val="11.0"/>
      </rPr>
      <t xml:space="preserve">
-----
지방자치단체를 당사자로 하는 계약에 관한 법률 ( 약칭: 지방계약법 )
[시행 2024. 2. 17.] [법률 제19634호, 2023. 8. 16., 타법개정]
행정안전부 (회계제도과) 044-205-3783
제1조(목적) 이 법은 지방자치단체를 당사자로 하는 계약에 관한 기본적인 사항을 정함으로써 계약업무를 원활하게 수
행할 수 있도록 함을 목적으로 한다.
[전문개정 2009. 2. 6.]
</t>
    </r>
    <r>
      <rPr>
        <rFont val="맑은 고딕"/>
        <color rgb="FFFF0000"/>
        <sz val="11.0"/>
      </rPr>
      <t>제2조(적용 범위) 이 법은 지방자치단체(「지방자치법」 제2조에 따른 지방자치단체를 말한다. 이하 같다)가 계약상대자
와 체결하는 수입 및 지출의 원인이 되는 계약 등에 대하여 적용한다.
[전문개정 2009. 2. 6.]</t>
    </r>
    <r>
      <rPr>
        <rFont val="맑은 고딕"/>
        <color theme="1"/>
        <sz val="11.0"/>
      </rPr>
      <t xml:space="preserve">
제3조(교육ㆍ과학 및 체육에 관한 사항의 적용) 이 법에서 교육ㆍ과학 및 체육에 관한 사항에 관하여는 “지방자치단체
의 장” 또는 “특별시장ㆍ광역시장ㆍ도지사”는 “교육감”으로, “행정안전부장관”은 “교육부장관”으로, “행정안전부”는
“교육부”로 각각 본다. &lt;개정 2008. 2. 29., 2013. 3. 23., 2014. 11. 19., 2017. 7. 26.&gt;
제4조(다른 법률과의 관계) 지방자치단체를 당사자로 하는 계약에 관하여는 다른 법률에 특별한 규정이 있는 경우 외에
는 이 법에서 정하는 바에 따른다.
[전문개정 2009. 2. 6.]</t>
    </r>
  </si>
  <si>
    <r>
      <rPr>
        <rFont val="맑은 고딕"/>
        <b/>
        <color theme="1"/>
        <sz val="11.0"/>
      </rPr>
      <t>475_2501_회계재산담당관_업무매뉴얼_회계재산담당관_2025년_계약업무_통합운영_매뉴얼2511_회계재산담당관_계약지원팀.pdf[2]</t>
    </r>
    <r>
      <rPr>
        <rFont val="맑은 고딕"/>
        <color theme="1"/>
        <sz val="11.0"/>
      </rPr>
      <t xml:space="preserve">
-----
4. 기관·부서별 역할분담
구 분 역 할 분 담
본 청
(회계재산담당관
계약지원팀)
</t>
    </r>
    <r>
      <rPr>
        <rFont val="Segoe UI Symbol"/>
        <color theme="1"/>
        <sz val="11.0"/>
      </rPr>
      <t>❖</t>
    </r>
    <r>
      <rPr>
        <rFont val="맑은 고딕"/>
        <color theme="1"/>
        <sz val="11.0"/>
      </rPr>
      <t xml:space="preserve"> 계약의뢰 사업 입찰공고 / 적격심사
</t>
    </r>
    <r>
      <rPr>
        <rFont val="Segoe UI Symbol"/>
        <color theme="1"/>
        <sz val="11.0"/>
      </rPr>
      <t>❖</t>
    </r>
    <r>
      <rPr>
        <rFont val="맑은 고딕"/>
        <color theme="1"/>
        <sz val="11.0"/>
      </rPr>
      <t xml:space="preserve"> 계약체결(변경계약) 후 당해 계약서 의뢰기관 이관
직속기관
및
사 업 소
</t>
    </r>
    <r>
      <rPr>
        <rFont val="Segoe UI Symbol"/>
        <color theme="1"/>
        <sz val="11.0"/>
      </rPr>
      <t>❖</t>
    </r>
    <r>
      <rPr>
        <rFont val="맑은 고딕"/>
        <color theme="1"/>
        <sz val="11.0"/>
      </rPr>
      <t xml:space="preserve"> 사업계획수립, 설계, 계약심사, 계약심의위원회 심의요구
</t>
    </r>
    <r>
      <rPr>
        <rFont val="Segoe UI Symbol"/>
        <color theme="1"/>
        <sz val="11.0"/>
      </rPr>
      <t>❖</t>
    </r>
    <r>
      <rPr>
        <rFont val="맑은 고딕"/>
        <color theme="1"/>
        <sz val="11.0"/>
      </rPr>
      <t xml:space="preserve"> 계약(변경계약) 의뢰, 하도급관리
</t>
    </r>
    <r>
      <rPr>
        <rFont val="Segoe UI Symbol"/>
        <color theme="1"/>
        <sz val="11.0"/>
      </rPr>
      <t>❖</t>
    </r>
    <r>
      <rPr>
        <rFont val="맑은 고딕"/>
        <color theme="1"/>
        <sz val="11.0"/>
      </rPr>
      <t xml:space="preserve"> 착공(착수)</t>
    </r>
    <r>
      <rPr>
        <rFont val="MS UI Gothic"/>
        <color theme="1"/>
        <sz val="11.0"/>
      </rPr>
      <t>․</t>
    </r>
    <r>
      <rPr>
        <rFont val="맑은 고딕"/>
        <color theme="1"/>
        <sz val="11.0"/>
      </rPr>
      <t>감독</t>
    </r>
    <r>
      <rPr>
        <rFont val="MS UI Gothic"/>
        <color theme="1"/>
        <sz val="11.0"/>
      </rPr>
      <t>․</t>
    </r>
    <r>
      <rPr>
        <rFont val="맑은 고딕"/>
        <color theme="1"/>
        <sz val="11.0"/>
      </rPr>
      <t xml:space="preserve">검사 등 계약이행
</t>
    </r>
    <r>
      <rPr>
        <rFont val="Segoe UI Symbol"/>
        <color theme="1"/>
        <sz val="11.0"/>
      </rPr>
      <t>❖</t>
    </r>
    <r>
      <rPr>
        <rFont val="맑은 고딕"/>
        <color theme="1"/>
        <sz val="11.0"/>
      </rPr>
      <t xml:space="preserve"> 선금, 기성금, 준공</t>
    </r>
    <r>
      <rPr>
        <rFont val="MS UI Gothic"/>
        <color theme="1"/>
        <sz val="11.0"/>
      </rPr>
      <t>․</t>
    </r>
    <r>
      <rPr>
        <rFont val="맑은 고딕"/>
        <color theme="1"/>
        <sz val="11.0"/>
      </rPr>
      <t xml:space="preserve">완료금 등 대가지급
</t>
    </r>
    <r>
      <rPr>
        <rFont val="Segoe UI Symbol"/>
        <color theme="1"/>
        <sz val="11.0"/>
      </rPr>
      <t>❖</t>
    </r>
    <r>
      <rPr>
        <rFont val="맑은 고딕"/>
        <color theme="1"/>
        <sz val="11.0"/>
      </rPr>
      <t xml:space="preserve"> 하자관리, 계약대장관리, 실적증명발급 등 사후관리</t>
    </r>
    <r>
      <rPr>
        <rFont val="맑은 고딕"/>
        <color rgb="FFFF0000"/>
        <sz val="11.0"/>
      </rPr>
      <t>5. 계약의뢰시 필요한 사항
○ 계약의뢰 요청서에 포함되어야 할 사항
1. 건 명
2. 사업의 개요(성격, 규모, 난이도 등)
3. 예산과목 및 소요금액
4. 계약의 방법 및 그 사유
5. 입찰참가자격의 요건
6. 현장설명의 장소</t>
    </r>
    <r>
      <rPr>
        <rFont val="MS UI Gothic"/>
        <color rgb="FFFF0000"/>
        <sz val="11.0"/>
      </rPr>
      <t>․</t>
    </r>
    <r>
      <rPr>
        <rFont val="맑은 고딕"/>
        <color rgb="FFFF0000"/>
        <sz val="11.0"/>
      </rPr>
      <t>일시</t>
    </r>
    <r>
      <rPr>
        <rFont val="MS UI Gothic"/>
        <color rgb="FFFF0000"/>
        <sz val="11.0"/>
      </rPr>
      <t>․</t>
    </r>
    <r>
      <rPr>
        <rFont val="맑은 고딕"/>
        <color rgb="FFFF0000"/>
        <sz val="11.0"/>
      </rPr>
      <t>참가자격 및 참가의무여부에 관한 사항
7. 공동계약을 허용하는 경우 공동계약의 이행방식
8. 준공 또는 납품 기한
9. 하자보증기간 및 비율
10. 발주(설계)부서 담당자 성명, 전화번호
11. 사전절차(계약심사, 계약심의 등) 이행여부
12. 그 밖에 계약에 필요한 사항
 ⇒ 지방계약법 시행령 제36조 및 부산광역시 회계 및 계약사무 처리지침 제5조○ 계약의뢰시 첨부서류
- 사업집행계획서(발주계획)
- 사전절차 이행결과(계약심사 결과, 용역ㆍ물품의 경우 사전규격 공개)
- 설계내역서(산출기초조사서), 공사의 경우 공내역서(물량내역서)
- 시방서(과업지시서)</t>
    </r>
  </si>
  <si>
    <t>조례를 제정,개정하기 위한 행정절차 가이드라인을 알려줄 수 있는지?</t>
  </si>
  <si>
    <r>
      <rPr>
        <rFont val="Malgun Gothic"/>
        <color theme="1"/>
        <sz val="11.0"/>
      </rPr>
      <t xml:space="preserve">관련내용, 근거문서 오류입니다.
근거문서 : 자치법규 입법절차 등(법무담당관) 1P
기대답변 : 
□ 조례 입법절차
○ 시장 발의 </t>
    </r>
    <r>
      <rPr>
        <rFont val="Segoe UI Symbol"/>
        <color theme="1"/>
        <sz val="11.0"/>
      </rPr>
      <t>▸</t>
    </r>
    <r>
      <rPr>
        <rFont val="맑은 고딕"/>
        <color theme="1"/>
        <sz val="11.0"/>
      </rPr>
      <t>「지방자치법」제32조</t>
    </r>
    <r>
      <rPr>
        <rFont val="Tahoma"/>
        <color theme="1"/>
        <sz val="11.0"/>
      </rPr>
      <t>․</t>
    </r>
    <r>
      <rPr>
        <rFont val="맑은 고딕"/>
        <color theme="1"/>
        <sz val="11.0"/>
      </rPr>
      <t>제35조, 「지방자치법시행령」제28조, 「부산광역시법제업무운영규칙」
1. 자치법규 입안 (주관부서)
 · 방침결재 : 제정·폐지(시장), 개정(부시장)
2. 사전승인, 부패영향평가, 성별영향평가, 규제영향 분석(규제 포함시)
 · 부패영향평가(감사담당관)
 · 성별영향평가(여성가족과)
3. 입법예고(20일 이상, 시보, 시 인터넷 홈페이지)
 · 규제영향분석서 함께 공표
4. 규제개혁위원회 심의 (규제심사 - 신설·강화)
5. 법제심사 의뢰(주관부서→법무담당관)
· 입법이유서, 입법안, 입법예고결과요약서, 비용추계서등 첨부심사 의뢰
6. 조례규칙심의회심의</t>
    </r>
    <r>
      <rPr>
        <rFont val="Tahoma"/>
        <color theme="1"/>
        <sz val="11.0"/>
      </rPr>
      <t>․</t>
    </r>
    <r>
      <rPr>
        <rFont val="맑은 고딕"/>
        <color theme="1"/>
        <sz val="11.0"/>
      </rPr>
      <t>의결(재적위원 과반수 찬성)
 · 위원장 시장
 · 위원 31명(부시장, 실·국장)
7. 시의회 제출(회기 10일전)
8. 시의회 심의</t>
    </r>
    <r>
      <rPr>
        <rFont val="Tahoma"/>
        <color theme="1"/>
        <sz val="11.0"/>
      </rPr>
      <t>․</t>
    </r>
    <r>
      <rPr>
        <rFont val="맑은 고딕"/>
        <color theme="1"/>
        <sz val="11.0"/>
      </rPr>
      <t xml:space="preserve">의결(상임위 및 본회의)
9. 조례안 이송(의결 후 5일 이내)
10. 조례안 사전보고(이송후5일이내, 행안부)
11. 조례규칙심의회(시의회 수정가결時)
12. 조례안 공포(이송 후 20일 이내)
○ 의원 발의 </t>
    </r>
    <r>
      <rPr>
        <rFont val="Segoe UI Symbol"/>
        <color theme="1"/>
        <sz val="11.0"/>
      </rPr>
      <t>▸</t>
    </r>
    <r>
      <rPr>
        <rFont val="맑은 고딕"/>
        <color theme="1"/>
        <sz val="11.0"/>
      </rPr>
      <t>「지방자치법」제32조</t>
    </r>
    <r>
      <rPr>
        <rFont val="Tahoma"/>
        <color theme="1"/>
        <sz val="11.0"/>
      </rPr>
      <t>․</t>
    </r>
    <r>
      <rPr>
        <rFont val="맑은 고딕"/>
        <color theme="1"/>
        <sz val="11.0"/>
      </rPr>
      <t>제35조, 「지방자치법시행령」제28조, 「부산광역시법제업무운영규칙」
1. 조례안 입안(입법정책담당관 지원) 
2. 조례안 발의(재적의원 1/5 또는10명이상) 
3. 소관 상임위 배부
4. 상임위 조례안 심의(입법예고 5일 이상)
5. 본회의 심의</t>
    </r>
    <r>
      <rPr>
        <rFont val="Tahoma"/>
        <color theme="1"/>
        <sz val="11.0"/>
      </rPr>
      <t>․</t>
    </r>
    <r>
      <rPr>
        <rFont val="맑은 고딕"/>
        <color theme="1"/>
        <sz val="11.0"/>
      </rPr>
      <t xml:space="preserve">의결(재적의원 과반수 출석, 출석의원 과반수 찬성)
6. 조례안 이송(의결 후 5일 이내)
7. 조례안 사전보고(이송 후 5일 이내, 행안부)
8. 조례규칙심의회(재의여부 심의)
9. 조례안 공포(이송 후 20일 이내)
□ 규칙 입법절차
</t>
    </r>
    <r>
      <rPr>
        <rFont val="Segoe UI Symbol"/>
        <color theme="1"/>
        <sz val="11.0"/>
      </rPr>
      <t>▸</t>
    </r>
    <r>
      <rPr>
        <rFont val="맑은 고딕"/>
        <color theme="1"/>
        <sz val="11.0"/>
      </rPr>
      <t>「지방자치법」제32조</t>
    </r>
    <r>
      <rPr>
        <rFont val="Tahoma"/>
        <color theme="1"/>
        <sz val="11.0"/>
      </rPr>
      <t>․</t>
    </r>
    <r>
      <rPr>
        <rFont val="맑은 고딕"/>
        <color theme="1"/>
        <sz val="11.0"/>
      </rPr>
      <t>제35조, 「지방자치법시행령」제28조, 「부산광역시법제업무운영규칙① 자치법규 입안
1. 자치법규 입안(주관부서)
2. 사전승인, 규제심사, 부패영향평가(감사담당관) 성별영향평가(여성가족과)
3. 입법예고(20일 이상, 시보, 시 인터넷 홈페이지)
4. 법제심사 의뢰
5. 규칙안 확정보고(부시장) / 법무담당관 협의
6. 조례규칙심의회 상정의뢰
7. 조례규칙심의회 심의</t>
    </r>
    <r>
      <rPr>
        <rFont val="Tahoma"/>
        <color theme="1"/>
        <sz val="11.0"/>
      </rPr>
      <t>․</t>
    </r>
    <r>
      <rPr>
        <rFont val="맑은 고딕"/>
        <color theme="1"/>
        <sz val="11.0"/>
      </rPr>
      <t>의결
8. 사전보고[행안부](공포예정일 15일전)
9. 규칙안 공포</t>
    </r>
  </si>
  <si>
    <t>[그림의 형태를 띄고 있어 식이 어려울 것으로 예상]</t>
  </si>
  <si>
    <t>PC를 새로 교체했을 때 해야하는 보안절차가 있는지?</t>
  </si>
  <si>
    <t>불용물품을 처리해야하는 절차를 알려줄 수 있는지?</t>
  </si>
  <si>
    <t>부서장, 팀장급 인사발령 시 처리해야하는 절차(회계절차 등)를 알기 쉽게 정리해줄 수 있는지?</t>
  </si>
  <si>
    <r>
      <rPr>
        <rFont val="Malgun Gothic"/>
        <color theme="1"/>
        <sz val="11.0"/>
      </rPr>
      <t xml:space="preserve">【 부서장·팀장급 인사발령 회계처리 요약 】
</t>
    </r>
    <r>
      <rPr>
        <rFont val="Segoe UI Symbol"/>
        <color theme="1"/>
        <sz val="11.0"/>
      </rPr>
      <t>▢</t>
    </r>
    <r>
      <rPr>
        <rFont val="맑은 고딕"/>
        <color theme="1"/>
        <sz val="11.0"/>
      </rPr>
      <t xml:space="preserve"> 현황 및 문제점
○ 인사발령에 따른 급여·수당 정산 필요
퇴직금 산정 및 지급 절차 관리 필요
연봉계약 갱신 및 변경사항 반영 필요
연말정산 연계 처리 필요
예산 집행의 적정성 확보 필요
</t>
    </r>
    <r>
      <rPr>
        <rFont val="Segoe UI Symbol"/>
        <color theme="1"/>
        <sz val="11.0"/>
      </rPr>
      <t>▢</t>
    </r>
    <r>
      <rPr>
        <rFont val="맑은 고딕"/>
        <color theme="1"/>
        <sz val="11.0"/>
      </rPr>
      <t xml:space="preserve"> 추진실적
○ 인사발령 발생 시 즉시 정산 착수
대상자별 근무기간 확정 및 증빙 수집 완료
퇴직금 산정 기초자료 정비 완료
연봉계약서 최신본 취합 및 계약조건 확인 완료
연말정산 자료 사전 점검 실시
</t>
    </r>
    <r>
      <rPr>
        <rFont val="Segoe UI Symbol"/>
        <color theme="1"/>
        <sz val="11.0"/>
      </rPr>
      <t>▢</t>
    </r>
    <r>
      <rPr>
        <rFont val="맑은 고딕"/>
        <color theme="1"/>
        <sz val="11.0"/>
      </rPr>
      <t xml:space="preserve"> 추진계획
○ 단계별 정산 및 예산 집행 관리
1단계: 발령일 기준 급여·수당 일괄 정산
2단계: 퇴직금 산정 및 지급 청구 접수
3단계: 연봉계약 갱신 또는 변경사항 반영
4단계: 연말정산 자료 최종 제출 및 환급·납부 처리
5단계: 예산 집행 내역 점검 및 재원 배분 조정
</t>
    </r>
    <r>
      <rPr>
        <rFont val="Segoe UI Symbol"/>
        <color theme="1"/>
        <sz val="11.0"/>
      </rPr>
      <t>▢</t>
    </r>
    <r>
      <rPr>
        <rFont val="맑은 고딕"/>
        <color theme="1"/>
        <sz val="11.0"/>
      </rPr>
      <t xml:space="preserve"> 협조사항
○ 관련 부서의 신속한 정보 제공 및 자료 제출 요청
인사부서: 발령 공문, 재직증명서, 경력증명서, 연봉계약서 사본 송부
총무부서: 신분증 사본, 계좌정보, 개인정보 동의서 회신
세무·재정부서: 연말정산 신고자료, 원천징수영수증, 소득세 납부내역 공유
전산시스템 운영부서: 인사변동 데이터 반영 및 시스템 승인 처리 지원</t>
    </r>
  </si>
  <si>
    <t>연간 들어야하는 필수교육 목록과 수강가능한 사이트를 정리해 줄 수 있는지?</t>
  </si>
  <si>
    <t>보안감사 대비하여 매월, 반기별 등 처리해야할 절차들이 있는지?</t>
  </si>
  <si>
    <t>참고자료 :
총무과에서 제출한 국가 정보보안 기본지침,
부산광역시 정보보안업무지침 67p~
기대답변 :
매월 수행 
1. 사이버보안진단의 날
2. 보안관제 인원 대상 보안 교육 및 점검 실시
3. 탐지규칙정보 관리 관련 매월 보안관리 실태 점검
분기 수행
1. 매 분기 말 보안기능이 있는 정보통신제품의 제품유형별 운용점검사항을 국가정보원장에게 제출
추가 정보보안점검 체크리스트
1. 정보보안 기보활동 : 세부내역 첨부파일 참조 67p
2. PC 및 서버 보안관리 : 세부내역 첨부파일 참조 68p
3. 네트워크 보안관리 : 세부내역 첨부파일 참조 69p
4. 정보통신시설 보안관리 : 세부내역 첨부파일 참조 70p
5. 암호자재 및 암호알고리즘 관리 : 세부내역 첨부파일 참조 71p
6. 보안관제 등 해킹 대응활동 : 세부내역 첨부파일 참조 72p</t>
  </si>
  <si>
    <t>미답변처리
 정보보안 감사 대비 기간별 조치 방법에 대해 정리해놓은 파일이 없으므로 미답변 처리합니다.
 - 미제출된 정보보안 감사계획서 상에서도 해당 내용이 없음</t>
  </si>
  <si>
    <r>
      <rPr>
        <rFont val="맑은 고딕"/>
        <b/>
        <color theme="1"/>
        <sz val="11.0"/>
      </rPr>
      <t>337_2307_부산광역시_업무매뉴얼_부산광역시_부산광역시_정보보안업무지침.pdf[15p]</t>
    </r>
    <r>
      <rPr>
        <rFont val="맑은 고딕"/>
        <color theme="1"/>
        <sz val="11.0"/>
      </rPr>
      <t xml:space="preserve">
-------
제6조 (정보보안감사 등) ① 정보보안담당관은 시의 정보보안업무 및 활동을 조사ㆍ점검하기 위하여
연1회 이상 정보보안감사를 실시하여야 한다.
② 정보보안담당관은 제1항에 따른 정보보안감사를 실시할 경우 국가정보원장이 배포하는 다음
각 호의 가이드라인 등을 활용할 수 있다.
1. 정보보안점검 체크리스트
2. 공공분야 정보시스템 취약점
3. 정보통신시스템 보안진단 및 대응방법
제7조 (정보보안교육) ① 정보보안담당관은 「연도 정보보안 교육계획」을 수립하여 연1회 이상
공무원등을 대상으로 교육(온라인 교육을 포함한다)을 실시하여야 한다.
② 제1항에 따라 모든 공무원등은 특별한 사유가 없는 한 연1회 이상 정보보안교육을 이수
하여야 한다.
③ 정보보안교육을 실시할 경우 자체 교육자료를 작성 활용하여야 한다.
제8조 (사이버보안진단의 날) ① 매월 세 번째 수요일을 ‘사이버보안진단의 날’로 한다.
② 분임정보보안담당관은 ‘사이버보안진단의 날’에 소속 부서의 정보통신망과 정보시스템의
보안취약 여부 확인 등 보안진단을 실시하여야 한다.</t>
    </r>
  </si>
  <si>
    <r>
      <rPr>
        <rFont val="맑은 고딕"/>
        <b/>
        <color theme="1"/>
        <sz val="11.0"/>
      </rPr>
      <t>337_2307_부산광역시_업무매뉴얼_부산광역시_부산광역시_정보보안업무지침.pdf[67~72p]</t>
    </r>
    <r>
      <rPr>
        <rFont val="맑은 고딕"/>
        <color theme="1"/>
        <sz val="11.0"/>
      </rPr>
      <t xml:space="preserve">
-------
지침 체크리스트</t>
    </r>
  </si>
  <si>
    <r>
      <rPr>
        <rFont val="맑은 고딕"/>
        <b/>
        <color theme="1"/>
        <sz val="11.0"/>
      </rPr>
      <t>411_2505_총무과_지침_국가_정보보안_기본지침.pdf[]</t>
    </r>
    <r>
      <rPr>
        <rFont val="맑은 고딕"/>
        <color theme="1"/>
        <sz val="11.0"/>
      </rPr>
      <t xml:space="preserve">
-------
</t>
    </r>
    <r>
      <rPr>
        <rFont val="맑은 고딕"/>
        <color rgb="FFFF0000"/>
        <sz val="11.0"/>
      </rPr>
      <t xml:space="preserve">[정보가 너무 파편화되어 있음]
</t>
    </r>
    <r>
      <rPr>
        <rFont val="맑은 고딕"/>
        <color theme="1"/>
        <sz val="11.0"/>
      </rPr>
      <t xml:space="preserve">-----
페이지 15 - 제10조(사이버보안진단의 날)
페이지 28 - 제24조(도입현황 제출)
페이지 13-14 - 제8조(정보보안감사 등)
페이지 14-15 - 제9조(정보보안교육)
페이지 30 - 제26조제3항(용역업체 보안)
페이지 41 - 제42조(보안·네트워크장비 보안)
페이지 33 - 제28조의2(원격지에서의 온라인 개발)
페이지 38-39 - 제40조(내부망·인터넷망 분리)
페이지 41 - 제42조제2항
페이지 23 - 제19조(현황 제출)
제출 시기: 매년 1월 25일까지
제출 내용: 전년도 정보화사업 보안성 검토결과 현황
제출자: 상급기관의 장 → 국가정보원장
</t>
    </r>
  </si>
  <si>
    <t>국민신문고, 정보공개 처리 기준 및 답변 예시들을 볼 수 있는지?</t>
  </si>
  <si>
    <t>네, 국민신문고의 정보공개 처리 기준 및 답변 예시를 확인하실 수 있습니다.
국민신문고
국민신문고는 대한민국 정부가 운영하는 온라인 민원 창구로, 국민이 정부에 민원을 제기하고 답변을 받을 수 있는 플랫폼입니다. 여기에서는 다양한 분야의 민원과 그에 대한 처리 과정을 확인할 수 있으며, 정보공개와 관련된 민원도 다루어집니다.
정보공개 처리 기준 및 답변 예시
정보공개 처리 기준은 공공기관이 정보를 공개할 때 준수해야 하는 지침이나 규정을 의미합니다. 이러한 기준은 국민의 알 권리를 보장하면서도 개인정보 보호나 국가 안보 등의 이유로 비공개되어야 하는 정보를 구분하는 역할을 합니다.
답변 예시는 실제로 정보공개 요청에 대해 공공기관이 어떻게 답변했는지 보여주는 사례들입니다. 이는 유사한 상황에서 어떤 방식으로 대응하는지 참고할 수 있어 유용합니다.
확인 방법
국민신문고 웹사이트 방문: 공식 사이트에서 ‘정보공개’ 메뉴를 찾아보세요. 여기서 정보공개 신청 방법, 처리 절차, 관련 법령 등을 확인할 수 있습니다.
처리 사례 검색: 국민신문고에는 과거에 처리된 민원 사례가 공개되어 있을 수 있습니다. 이를 통해 실제 사례를 살펴볼 수 있습니다.
관련 법령 및 지침 참조: ‘공공기관의 정보공개에 관한 법률’, ‘정보공개 처리 지침’ 등의 법령과 지침을 직접 읽어보는 것도 도움이 됩니다.
정부 부처 문의: 보다 구체적인 정보가 필요하다면 해당 부처나 공공기관의 고객센터에 문의하여 자료를 요청할 수 있습니다.
참고 사항
정보공개 처리 기준과 답변 예시는 민감한 개인정보를 포함할 수 있으므로 공개된 자료에 제한이 있을 수 있습니다.
정확한 최신 정보를 얻기 위해서는 직접 관련 기관에 문의하시는 것이 좋습니다.
추가적인 도움이 필요하시면 언제든지 말씀해 주세요!</t>
  </si>
  <si>
    <t>ㆍ826_페이지83_문서6_163527_부산광역시_정보공개_조례.pdf (p.1, 2)
https://busanai.busan.go.kr/download/826_페이지83_문서6_163527_부산광역시_정보공개_조례.pdf</t>
  </si>
  <si>
    <t>관련 근거는 정보공개만 해당됩니다.
근거문서 : 
국민신문고 : 민원 처리에 관한 법령 해설집 260P 파일을 참고했습니다.
정보공개 : 정보공개운영안내서 74P ~ 
질의문은 
1. 국민신문고의 처리 기준 및 답변 예시
2. 정보공개처리 기준 및 답변 예시
이렇게 두가지 질의로 구성되어 있습니다.
답변 예시들은 근거 문서 파일이 없으므로 처리 기준만 답변 생성되면 될 것 같습니다.
기대답변 : 
국민신문고 민원 처리 기준
행정안전부 홈페이지(정책자료-법령정보-훈령·예규·고시)에서 최근 고시한 민원처리기준표 일부개정 사항을 확인할 수 있음. 또한, 국가법령정보센터(http://www.law.go.kr) ‘행정규칙’에서는 매월 변경된 사항만 반영한 민원처리기준표를 확인할 수 있음 
민원사무별 신청방법, 신청자격, 근거법령, 처리기한 등의 민원처리기준은 ‘정부24’에서 민원사무명 검색을 통해 확인할 수 있음
※ 민원처리기준표 전체자료는 민원사무 정비 후, 행정안전부 홈페이지(정책자료-법령정보-훈령·예규·고시) 게재
정보공개 처리 기준
1. 정보공개 여부 결정
 - 공공기관이 보유, 관리하는 정보는 공개대상(원칙)
 - 다만 법령에 의해 비공개 사유에 해당하는 정보는 공개하지 않을 수 있음
2. 제3자(이해관계인) 통지 및 의견 청취
 - 공개 청구된 공개 대상 정보의 전부 또는 일부가 제3자와 관련이 있다고 인정할 때에는 그 사실을 제3자에게 지체없이 통지
 - 공공기관이 필요한 경우에는 제3자의 의견을 청취할 수 있음
3. 정보생산 공공기관의 의견청취
4. 정보공개 여부 결정의 통지
 - 공개(부분공개) 결정 : 공개 일시, 장소, 방법 및 수수료, 부분공개는 이유, 불복 방법·절차
 - 비공개 결정 : 비공개 이유, 불복 방법·절차
5. 정보공개 실시
 - 정보공개 방법 : 열람 또는 사본, 시청 또는 인화물·복제물, 정보통신망, 해당 정보의 소재 안내 등(청구인동의 시 일부 가공 공개 가능)
 - 정보공개 시 청구인 확인 : 신분증명서(주민등록증, 운전면허증, 여권, 외국인등록증, 사업자등록증 등)
    ※ 법정대리인의 경우 : 법정대리인 증명서류와 대리인의 주민등록증이나 그 밖에 그 신원을 확인할수 있는 신분증명서
    ※ 임의대리인 : 행정안전부령으로 정하는 위임장과 청구인 및 수임인의 주민등록증이나 그 밖에 그 신원을 확인할 수 있는 신분증명서
 - 비용 부담 : 정보의 공개 및 우송 등에 드는 비용은 실비의 범위에서 청구인이 부담
6. 정보부존재 처리
 - 공공기관이 청구된 정보를 ‘생산·접수’하지 않은 경우
 - 정보를 취합·가공해야 하는 경우
 - 기록물관리법에 따라 ‘보존기간이 경과’하여 ‘폐기’된 경우
 - 정보를 특정하지 않고 ‘포괄적으로 청구’한 경우
7. 진정, 질의 처리
 - 진정·질의·제안 등에 대하여는 ‘민원사무’로 분류하여 처리
8. 정보공개 시 청구인의 확인
 - 본인확인의 시점 : 청구인 본인 또는 정당한 대리인임의 확인은 정보공개 시점에서 실시
9. 비용 부과, 납부
 - 정보의 공개 및 우송 등에 소요되는 비용은 실비의 범위에서 청구인이 부담(법 제17조 제1항)
 - 수수료와 우편요금으로 구분(시행령 제17조 제1항)
10. 동일·반복 청구 등 정보공개 오·남용
 - 정보공개법상 정보공개 오·남용에 대한 기준이 없고 공개대상 정보의 양에 대한 제한을 두지 않기 때문에 정보공개 청구의 빈도가 많거나 공개대상 정보의 양이 많다는 이유만으로는 정보공개 오·남용으로 볼 수 없다 할 것임. 그렇다고 하더라도 정보를 특정하지 않는 등 방대한 양을 정보공개 청구하여 공공기관의 업무처리에 현저한 지장을 초래하는 청구인의 정보공개 청구권 남용은 법의 원칙인 신의성실의 원칙에 맞지 아니함</t>
  </si>
  <si>
    <t>처리 기준은 정보공개운영안내서 74~111참조
 처리 절차는 정보공개운영안내서 239번~253
 기대답변:
 국민신문고 민원 처리 기준 &gt; 관련 매뉴얼 없음
 정보공개 처리 기준
 1. 정보공개 여부 결정
  - 공공기관이 보유, 관리하는 정보는 공개대상(원칙)
  - 다만 법령에 의해 비공개 사유에 해당하는 정보는 공개하지 않을 수 있음
 2. 제3자(이해관계인) 통지 및 의견 청취
  - 공개 청구된 공개 대상 정보의 전부 또는 일부가 제3자와 관련이 있다고 인정할 때에는 그 사실을 제3자에게 지체없이 통지
  - 공공기관이 필요한 경우에는 제3자의 의견을 청취할 수 있음
 3. 정보생산 공공기관의 의견청취
 4. 정보공개 여부 결정의 통지
  - 공개(부분공개) 결정 : 공개 일시, 장소, 방법 및 수수료, 부분공개는 이유, 불복 방법·절차
  - 비공개 결정 : 비공개 이유, 불복 방법·절차
 5. 정보공개 실시
  - 정보공개 방법 : 열람 또는 사본, 시청 또는 인화물·복제물, 정보통신망, 해당 정보의 소재 안내 등(청구인동의 시 일부 가공 공개 가능)
  - 정보공개 시 청구인 확인 : 신분증명서(주민등록증, 운전면허증, 여권, 외국인등록증, 사업자등록증 등)
  ※ 법정대리인의 경우 : 법정대리인 증명서류와 대리인의 주민등록증이나 그 밖에 그 신원을 확인할수 있는 신분증명서
  ※ 임의대리인 : 행정안전부령으로 정하는 위임장과 청구인 및 수임인의 주민등록증이나 그 밖에 그 신원을 확인할 수 있는 신분증명서
  - 비용 부담 : 정보의 공개 및 우송 등에 드는 비용은 실비의 범위에서 청구인이 부담
 6. 정보부존재 처리
  - 공공기관이 청구된 정보를 ‘생산·접수’하지 않은 경우
  - 정보를 취합·가공해야 하는 경우
  - 기록물관리법에 따라 ‘보존기간이 경과’하여 ‘폐기’된 경우
  - 정보를 특정하지 않고 ‘포괄적으로 청구’한 경우
 7. 진정, 질의 처리
  - 진정·질의·제안 등에 대하여는 ‘민원사무’로 분류하여 처리
 8. 정보공개 시 청구인의 확인
  - 본인확인의 시점 : 청구인 본인 또는 정당한 대리인임의 확인은 정보공개 시점에서 실시
 9. 비용 부과, 납부
  - 정보의 공개 및 우송 등에 소요되는 비용은 실비의 범위에서 청구인이 부담(법 제17조 제1항)
  - 수수료와 우편요금으로 구분(시행령 제17조 제1항)
 10. 동일·반복 청구 등 정보공개 오·남용
  - 정보공개법상 정보공개 오·남용에 대한 기준이 없고 공개대상 정보의 양에 대한 제한을 두지 않기 때문에 정보공개 청구의 빈도가 많거나 공개대상 정보의 양이 많다는 이유만으로는 정보공개 오·남용으로 볼 수 없다 할 것임. 그렇다고 하더라도 정보를 특정하지 않는 등 방대한 양을 정보공개 청구하여 공공기관의 업무처리에 현저한 지장을 초래하는 청구인의 정보공개 청구권 남용은 법의 원칙인 신의성실의 원칙에 맞지 아니함</t>
  </si>
  <si>
    <t>3, 17, 18</t>
  </si>
  <si>
    <r>
      <rPr>
        <rFont val="Malgun Gothic"/>
        <color theme="1"/>
        <sz val="11.0"/>
      </rPr>
      <t xml:space="preserve">본문내용 일체
 - Q 숫자로 되어 있는 질문 답변은 제외 
----------
</t>
    </r>
    <r>
      <rPr>
        <rFont val="맑은 고딕"/>
        <color rgb="FF0432FF"/>
        <sz val="11.0"/>
      </rPr>
      <t xml:space="preserve">
[Top5 내로 답변이 나오도록 분량 조정 필요]</t>
    </r>
    <r>
      <rPr>
        <rFont val="맑은 고딕"/>
        <color theme="1"/>
        <sz val="11.0"/>
      </rPr>
      <t xml:space="preserve">
</t>
    </r>
    <r>
      <rPr>
        <rFont val="맑은 고딕"/>
        <color rgb="FF00B050"/>
        <sz val="11.0"/>
      </rPr>
      <t xml:space="preserve">&gt;&gt; 정보공개 처리 기준 17P~18P 내용으로만 요약 생성
&gt;&gt; 답변 예시는 목차 3P의 정보공개 관련 통지 예시 페이지만 안내
&gt;&gt; 국민신문고는 관련 매뉴얼 없음
</t>
    </r>
    <r>
      <rPr>
        <rFont val="맑은 고딕"/>
        <color theme="1"/>
        <sz val="11.0"/>
      </rPr>
      <t xml:space="preserve">
</t>
    </r>
  </si>
  <si>
    <t>3page - 정보공개 접수 처리 절차 안내, 국민신문고 정보공개 처리 기준 및 답변 예시
17, 18page - 국민신문고 정보공개 처리 기준 및 답변 예시</t>
  </si>
  <si>
    <r>
      <rPr>
        <rFont val="맑은 고딕"/>
        <b/>
        <color theme="1"/>
        <sz val="11.0"/>
      </rPr>
      <t>426_2307_통합민원과_업무매뉴얼_행정안전부_민원_처리에_관한_법령_해설집개정판.pdf[260]</t>
    </r>
    <r>
      <rPr>
        <rFont val="맑은 고딕"/>
        <color theme="1"/>
        <sz val="11.0"/>
      </rPr>
      <t xml:space="preserve">
----
</t>
    </r>
    <r>
      <rPr>
        <rFont val="맑은 고딕"/>
        <color rgb="FFFF0000"/>
        <sz val="11.0"/>
      </rPr>
      <t>[국민신문고, 정보공개처리의 문구와 유사도가 높지 않을 것으로 예상]</t>
    </r>
    <r>
      <rPr>
        <rFont val="맑은 고딕"/>
        <color theme="1"/>
        <sz val="11.0"/>
      </rPr>
      <t xml:space="preserve">
-----
176 | 최근 민원처리기준표의 확인
최근 고시된 민원처리기준표는 어디에서 쉽게 확인할 수 있는지? 질의
 행정안전부 홈페이지(정책자료-법령정보-훈령·예규·고시)에서 최근 고시한
민원처리기준표 일부개정 사항을 확인할 수 있음. 또한, 국가법령정보센터
(http://www.law.go.kr) ‘행정규칙’에서는 매월 변경된 사항만 반영한
민원처리기준표를 확인할 수 있음
민원사무별 신청방법, 신청자격, 근거법령, 처리기한 등의 민원처리기준은
‘정부24’에서 민원사무명 검색을 통해 확인할 수 있음
※ 민원처리기준표 전체자료는 민원사무 정비 후, 행정안전부 홈페이지
(정책자료-법령정보-훈령·예규·고시) 게재 예정
177 | 민원처리기준표에 고시되지 않은 민원의 접수
민원처리기준표 상에 없더라도 민원인의 신청이 있으면 민원을 접수해야 하는지? 질의
 민원처리기준표는 민원의 소관 부처에서 민원이 새롭게 신설, 변경, 폐지되는
경우 수정사항을 행정안전부에 제출(각 부처 사업담당자가 ‘민원처리운영
창구’ 시스템 반영 후, 각 부처 민원총괄담당자의 승인을 거쳐 변경 고시문
공문 제출)하면 행정안전부 담당자가 최종 승인을 하고, 이러한 승인이
있은 후에 민원행정시스템에 반영되고 있음. 그러나 간혹 각 부처의 담당
자가 이러한 사항을 이행하지 않은 경우에는 개별법령에 규정된 민원의
신청이 있으나 시스템에는 반영되지 않는 경우가 발생할 수 있음. 이런
경우 개별법령에 규정된 민원을 민원처리기준표에 반영되지는 않았다는
이유로 접수를 거부할 수 없음</t>
    </r>
  </si>
  <si>
    <r>
      <rPr>
        <rFont val="맑은 고딕"/>
        <b/>
        <color theme="1"/>
        <sz val="11.0"/>
      </rPr>
      <t>424_2108_통합민원과_업무매뉴얼_행정안전부_정보공개운영안내서.pdf[74]</t>
    </r>
    <r>
      <rPr>
        <rFont val="맑은 고딕"/>
        <color theme="1"/>
        <sz val="11.0"/>
      </rPr>
      <t xml:space="preserve">
-----
Ⅱ 정보공개 처리
1. 정보공개 여부 결정
공개여부
결정
공공기관이 보유·관리하는 정보는 공개대상(원칙)
다만, 제9조 제1항 각호에 해당하는 정보에 대해서는 비공개 가능(예외)
정보공개 여부의 결정29)방법
 공공기관이 보유·관리하는 정보는 원칙적으로 공개 대상이 되며, 예외적으로
제9조 제1항 단서 규정에서 정한 비공개 사유에 해당하는 정보는 공개하지
않을 수 있음
 비공개는 필요 최소한도에 그쳐야 할 것이고 그러한 한도는 정보를 공개
함으로써 얻게 되는 ‘국민의 알권리’와 ‘대상정보의 보호법익’을 비교·
형량하여 해당 공공기관이 판단
 공개 청구된 정보가 개별 법령에서 비공개로 규정되어 있는지 함께 검토 공개 여부를 결정하기 곤란한 경우나 이의신청의 경우 등에는 정보공개
심의회의 심의를 통해 결정
 ※ 공개여부를 결정하는 과정에서 청구인에게 연락하여 ‘청구목적’ 또는 ‘청구취지’를 물어보는 사례가
있으나, 원칙적으로 공개여부 결정시에 ‘청구목적’은 고려대상이 아님. 다만, 비공개 정보를
예외적으로 공개하기 위한 경우(법 제9조 제1항 제6호 다목 등)에만 제한적으로 ‘청구목적’의 확인이
필요함</t>
    </r>
  </si>
  <si>
    <t>수의계약이 아닌 입찰로 진행할 때 선행해야할 절차들과 서류들을 정리해 줄 수 있는지?</t>
  </si>
  <si>
    <t>네, 이해했습니다. 수의계약이 아닌 입찰로 진행할 때 필요한 선행 절차와 서류들은 다음과 같습니다.
1. 입찰 공고
목적: 입찰 참여자들에게 사업 정보를 제공하고 참여를 유도하기 위해 공식적으로 공고합니다.
포함 내용:
사업의 종류와 규모
입찰 일정 (입찰 등록 마감일, 제안서 제출 마감일 등)
입찰 방식 (일반 경쟁 입찰, 제한 경쟁 입찰, 지명 경쟁 입찰 등)
입찰 참가 자격 요건
입찰 보증금 및 기타 조건
2. 입찰 안내서 배포
목적: 입찰자들이 사업을 이해하고 정확한 제안서를 작성할 수 있도록 상세 정보를 제공합니다.
포함 내용:
사업의 배경과 필요성
기술적 요구 사항
품질 기준 및 성능 요구 사항
납품 일정 및 장소
검사 및 시험 방법
대금 지급 조건
분쟁 해결 절차
3. 입찰 참가 신청
절차:
입찰자들은 입찰 공고에 따라 정해진 기간 내에 입찰 참가 신청을 합니다.
일반적으로 온라인 시스템을 통해 신청하며, 필요한 서류를 첨부합니다.
필요 서류:
입찰 참가 신청서
사업자 등록증 사본
법인 인감증명서
재무 상태 증명서 (신용평가서, 재무제표 등)
관련 면허증 및 인증서 사본
과거 실적 증명 자료
4. 입찰 보증금 납부
목적: 입찰자의 성실한 참여를 보장하고, 입찰 과정에서의 신뢰성을 높이기 위함입니다.
방식:
현금 납부
보증보험증권 발행
보증금 비율: 일반적으로 입찰 금액의 일정 퍼센트 (예: 5%)를 납부합니다.
5. 입찰서 제출
절차:
입찰자들은 입찰서에 가격 정보와 제안 사항을 포함하여 제출합니다.
포함 내용:
견적서 (가격 제시)
제안서 (기술적 제안, 서비스 내용, 인력 구성 등)
회사 소개서
법적 효력을 갖는 서명 문서
6. 입찰 관련 서류의 열람 및 교부
목적: 모든 입찰 참가자들이 동일한 정보를 기반으로 공정하게 입찰에 참여할 수 있도록 합니다.
제공 서류:
입찰공고문 또는 입찰참가통지서
입찰 유의서
입찰참가신청서, 입찰서 및 계약서 서식
계약일반조건
계약특수조건
낙찰자 결정기준
설계서 (공사의 경우)
입찰안내서
과업이행요청서 또는 과업내용서 (용역의 경우)
7. 입찰 참가자 유의사항 확인
목적: 입찰자들이 입찰 관련 법규와 규정을 충분히 숙지하도록 함으로써 이후 발생할 수 있는 문제를 예방합니다.
확인 내용:
입찰 관련 법령 및 지침
입찰 공고 내용에 포함된 모든 조건과 의무 사항
입찰서 작성에 있어서의 주의사항
8. 입찰서 평가 및 협상
절차:
입찰 담당자는 제출된 입찰서를 평가합니다.
기술 능력과 가격을 종합적으로 고려하여 협상 대상자를 선정합니다.
평가 기준:
기술 능력 평가 (예: 90%)
입찰 가격 평가 (예: 10%)
9. 계약 체결
절차:
선정된 입찰자와 계약을 체결합니다.
필요 서류:
계약서
계약보증금 납부 증빙
선금 청구서 (필요한 경우)
기타 계약에 필요한 추가 서류
이러한 절차를 통해 입찰 과정은 투명하고 공정하게 진행되며, 참여자들 모두에게 명확한 기준과 기대치를 제공합니다. 추가로 궁금한 점이 있으시면 언제든지 말씀해 주세요!</t>
  </si>
  <si>
    <r>
      <rPr>
        <rFont val="Malgun Gothic"/>
        <color theme="1"/>
        <sz val="11.0"/>
      </rPr>
      <t>근거문서 : 2025년 계약업무 통합운영 매뉴얼 2P, 4P 참조
기대답변 : 
 - 발주부서가 수행하는 사전절차 - 
계약심사 : 계약금액(설계내역)의 적정성 검토 &gt; 발주부서가 청렴담당관에 의뢰
 1. 공사
  - 종합공사 : 추정금액이 5억원 이상 공사의 입찰
  - 전문공사 및 기타공사 : 추정금액이 3억원 이상 공사의 입찰
 2. 용 역 : 추정금액이 1억원 이상 용역의 입찰
 3. 물 품 : 추정금액이 2천만원이상 물품의 입찰
 4. 변경계약심사 : 최초 계약금액 20억원 이상 공사 계약금액 10% 이상 증가 시
공사원가 사전검토 &gt; 발주부서가 조달청에 의뢰
 1. 공 사 : 추정금액이 100억원 이상인 공사의 입찰
  ※ 공사원가 사전검토를 필한 경우 계약심사 X
사전규격 공개 &gt; 발주부서가 G2B 나라장터 입력
 1. 용역 및 물품 : 과업지시서, 규격서, 시방서 등 5일(긴급 3일)
 계약심의 : 대형 공사, 용역 및 물품구매에 대한 심의 &gt; 발주부서가 회계재산담당관(계약팀)에 의뢰
 1. 공 사 : 추정가격이 70억원 이상인 공사의 입찰
 2. 용역 및 물품 : 추정가격이 20억원 이상인 용역 및 물품의 입찰
일상감사 : 입찰참가자격 및 계약방법에 대한 검토 &gt; 회계재산담당관에서 청렴담당관에 의뢰
추가
 (금액) 추정가격 종합공사 5억원이상, 기타공사 3억원이상, 2억원이상 용역, 물품 제조·구매 1억원이상, 연간단가계약 1억원이상 계약체결과 그 계약금액의 20%이상 변경
 ※ P.Q 대상 기술용역, 협상에 의한 계약, 설계공모  발주부서에서 의뢰
 - 계약의뢰시 필요한 사항 - 
계약의뢰 요청서
 1. 건 명
 2. 사업의 개요(성격, 규모, 난이도 등)
 3. 예산과목 및 소요금액
 4. 계약의 방법 및 그 사유
 5. 입찰참가자격의 요건
 6. 현장설명의 장소</t>
    </r>
    <r>
      <rPr>
        <rFont val="Tahoma"/>
        <color theme="1"/>
        <sz val="11.0"/>
      </rPr>
      <t>․</t>
    </r>
    <r>
      <rPr>
        <rFont val="맑은 고딕"/>
        <color theme="1"/>
        <sz val="11.0"/>
      </rPr>
      <t>일시</t>
    </r>
    <r>
      <rPr>
        <rFont val="Tahoma"/>
        <color theme="1"/>
        <sz val="11.0"/>
      </rPr>
      <t>․</t>
    </r>
    <r>
      <rPr>
        <rFont val="맑은 고딕"/>
        <color theme="1"/>
        <sz val="11.0"/>
      </rPr>
      <t>참가자격 및 참가의무여부에 관한 사항
 7. 공동계약을 허용하는 경우 공동계약의 이행방식
 8. 준공 또는 납품 기한
 9. 하자보증기간 및 비율
 10. 발주(설계)부서 담당자 성명, 전화번호
 11. 사전절차(계약심사, 계약심의 등) 이행여부
 12. 그 밖에 계약에 필요한 사항
계약의뢰시 첨부서류
- 사업집행계획서(발주계획)
- 사전절차 이행결과(계약심사 결과, 용역ㆍ물품의 경우 사전규격 공개)
- 설계내역서(산출기초조사서), 공사의 경우 공내역서(물량내역서)
- 시방서(과업지시서)</t>
    </r>
  </si>
  <si>
    <t>- 발주부서가 수행하는 사전절차 - 
 계약심사 : 계약금액(설계내역)의 적정성 검토 &gt; 발주부서가 청렴담당관에 의뢰
  1. 공사
  - 종합공사 : 추정금액이 5억원 이상 공사의 입찰
  - 전문공사 및 기타공사 : 추정금액이 3억원 이상 공사의 입찰
  2. 용 역 : 추정금액이 1억원 이상 용역의 입찰
  3. 물 품 : 추정금액이 2천만원이상 물품의 입찰
  4. 변경계약심사 : 최초 계약금액 20억원 이상 공사 계약금액 10% 이상 증가 시
 공사원가 사전검토 &gt; 발주부서가 조달청에 의뢰
  1. 공 사 : 추정금액이 100억원 이상인 공사의 입찰
  ※ 공사원가 사전검토를 필한 경우 계약심사 X
 사전규격 공개 &gt; 발주부서가 G2B 나라장터 입력
  1. 용역 및 물품 : 과업지시서, 규격서, 시방서 등 5일(긴급 3일)
  계약심의 : 대형 공사, 용역 및 물품구매에 대한 심의 &gt; 발주부서가 회계재산담당관(계약팀)에 의뢰
  1. 공 사 : 추정가격이 70억원 이상인 공사의 입찰
  2. 용역 및 물품 : 추정가격이 20억원 이상인 용역 및 물품의 입찰
 일상감사 : 입찰참가자격 및 계약방법에 대한 검토 &gt; 회계재산담당관에서 청렴담당관에 의뢰
 추가
  (금액) 추정가격 종합공사 5억원이상, 기타공사 3억원이상, 2억원이상 용역, 물품 제조·구매 1억원이상, 연간단가계약 1억원이상 계약체결과 그 계약금액의 20%이상 변경
  ※ P.Q 대상 기술용역, 협상에 의한 계약, 설계공모 � 발주부서에서 의뢰
  - 계약의뢰시 필요한 사항 - 
 계약의뢰 요청서
  1. 건 명
  2. 사업의 개요(성격, 규모, 난이도 등)
  3. 예산과목 및 소요금액
  4. 계약의 방법 및 그 사유
  5. 입찰참가자격의 요건
  6. 현장설명의 장소․일시․참가자격 및 참가의무여부에 관한 사항
  7. 공동계약을 허용하는 경우 공동계약의 이행방식
  8. 준공 또는 납품 기한
  9. 하자보증기간 및 비율
  10. 발주(설계)부서 담당자 성명, 전화번호
  11. 사전절차(계약심사, 계약심의 등) 이행여부
  12. 그 밖에 계약에 필요한 사항
 계약의뢰시 첨부서류
 - 사업집행계획서(발주계획)
 - 사전절차 이행결과(계약심사 결과, 용역ㆍ물품의 경우 사전규격 공개)
 - 설계내역서(산출기초조사서), 공사의 경우 공내역서(물량내역서)
 - 시방서(과업지시서)</t>
  </si>
  <si>
    <t>2, 4</t>
  </si>
  <si>
    <t xml:space="preserve"> 4. 기관·부서별 역할분담
 구 분 역 할 분 담
 본 청
 (회계재산담당관
 계약지원팀)
 ❖ 계약의뢰 사업 입찰공고 / 적격심사 ❖ 계약체결(변경계약) 후 당해 계약서 의뢰기관 이관
 직속기관
 및
 사 업 소
 ❖ 사업계획수립, 설계, 계약심사, 계약심의위원회 심의요구 ❖ 계약(변경계약) 의뢰, 하도급관리 ❖ 착공(착수)․감독․검사 등 계약이행 ❖ 선금, 기성금, 준공․완료금 등 대가지급 ❖ 하자관리, 계약대장관리, 실적증명발급 등 사후관리
 5. 계약의뢰시 필요한 사항
 ○ 계약의뢰 요청서에 포함되어야 할 사항
 1. 건 명
 2. 사업의 개요(성격, 규모, 난이도 등)
 3. 예산과목 및 소요금액
 4. 계약의 방법 및 그 사유
 5. 입찰참가자격의 요건
 6. 현장설명의 장소․일시․참가자격 및 참가의무여부에 관한 사항
 7. 공동계약을 허용하는 경우 공동계약의 이행방식
 8. 준공 또는 납품 기한
 9. 하자보증기간 및 비율
 10. 발주(설계)부서 담당자 성명, 전화번호
 11. 사전절차(계약심사, 계약심의 등) 이행여부
 12. 그 밖에 계약에 필요한 사항
 ⇒ 지방계약법 시행령 제36조 및 부산광역시 회계 및 계약사무 처리지침 제5조
 ○ 계약의뢰시 첨부서류
 - 사업집행계획서(발주계획)
 - 사전절차 이행결과(계약심사 결과, 용역ㆍ물품의 경우 사전규격 공개)
 - 설계내역서(산출기초조사서), 공사의 경우 공내역서(물량내역서)
 - 시방서(과업지시서)
 -----
 Ⅲ 발주부서가 수행하는 사전절차
 계약심사 : 계약금액(설계내역)의 적정성 검토
 � 발주부서가 청렴담당관에 의뢰
 공
 사
 종합공사 · 추정금액이 5억원 이상 공사의 입찰
 전문공사 및
 기타공사
 · 추정금액이 3억원 이상 공사의 입찰
 용 역 · 추정금액이 1억원 이상 용역의 입찰
 물 품 · 추정금액이 2천만원이상 물품의 입찰
 변경계약심사 · 최초 계약금액 20억원 이상 공사 계약금액 10% 이상 증가 시
 공사원가 사전검토 � 발주부서가 조달청에 의뢰
 공 사
 · 추정금액이 100억원 이상인 공사의 입찰
 ※ 공사원가 사전검토를 필한 경우 계약심사 X
 사전규격 공개 � 발주부서가 G2B 나라장터 입력
 용역 및 물품 · 과업지시서, 규격서, 시방서 등 5일(긴급 3일)
 계약심의 : 대형 공사, 용역 및 물품구매에 대한 심의
 �발주부서가 회계재산담당관(계약팀)에 의뢰
 공 사 · 추정가격이 70억원 이상인 공사의 입찰
 용역 및 물품 · 추정가격이 20억원 이상인 용역 및 물품의 입찰
 일상감사 : 입찰참가자격 및 계약방법에 대한 검토
 � 회계재산담당관에서 청렴담당관에 의뢰
 · (금액) 추정가격 종합공사 5억원이상, 기타공사 3억원이상, 2억원이상 용역,
 물품 제조·구매 1억원이상, 연간단가계약 1억원이상 계약체결과
 그 계약금액의 20%이상 변경
 ※ P.Q 대상 기술용역, 협상에 의한 계약, 설계공모 � 발주부서에서 의뢰
 참조가 여러개면 어느게 더 정확할지 확인</t>
  </si>
  <si>
    <t>계약으로 진행해야 하는 기준, 계약시 필요 서류 안내, 일반지출이 아닌 계약, 수의 계약이 아닌 입찰 진행할 때 선행 절차와 필요한 서류 안내, 계약 종류별 절차 와 구비서류 안내
---
수의 계약이 아닌 입찰 진행할 때 선행 절차와 필요한 서류 안내</t>
  </si>
  <si>
    <r>
      <rPr>
        <rFont val="맑은 고딕"/>
        <b/>
        <color theme="1"/>
        <sz val="11.0"/>
      </rPr>
      <t xml:space="preserve">475_2501_회계재산담당관_업무매뉴얼_회계재산담당관_2025년_계약업무_통합운영_매뉴얼2511_회계재산담당관_계약지원팀.pdf[2]
</t>
    </r>
    <r>
      <rPr>
        <rFont val="맑은 고딕"/>
        <color theme="1"/>
        <sz val="11.0"/>
      </rPr>
      <t xml:space="preserve">-----
4. 기관·부서별 역할분담
구 분 역 할 분 담
본 청
(회계재산담당관
계약지원팀)
</t>
    </r>
    <r>
      <rPr>
        <rFont val="Segoe UI Symbol"/>
        <color theme="1"/>
        <sz val="11.0"/>
      </rPr>
      <t>❖</t>
    </r>
    <r>
      <rPr>
        <rFont val="맑은 고딕"/>
        <color theme="1"/>
        <sz val="11.0"/>
      </rPr>
      <t xml:space="preserve"> 계약의뢰 사업 입찰공고 / 적격심사 </t>
    </r>
    <r>
      <rPr>
        <rFont val="Segoe UI Symbol"/>
        <color theme="1"/>
        <sz val="11.0"/>
      </rPr>
      <t>❖</t>
    </r>
    <r>
      <rPr>
        <rFont val="맑은 고딕"/>
        <color theme="1"/>
        <sz val="11.0"/>
      </rPr>
      <t xml:space="preserve"> 계약체결(변경계약) 후 당해 계약서 의뢰기관 이관
직속기관
및
사 업 소
</t>
    </r>
    <r>
      <rPr>
        <rFont val="Segoe UI Symbol"/>
        <color theme="1"/>
        <sz val="11.0"/>
      </rPr>
      <t>❖</t>
    </r>
    <r>
      <rPr>
        <rFont val="맑은 고딕"/>
        <color theme="1"/>
        <sz val="11.0"/>
      </rPr>
      <t xml:space="preserve"> 사업계획수립, 설계, 계약심사, 계약심의위원회 심의요구 </t>
    </r>
    <r>
      <rPr>
        <rFont val="Segoe UI Symbol"/>
        <color theme="1"/>
        <sz val="11.0"/>
      </rPr>
      <t>❖</t>
    </r>
    <r>
      <rPr>
        <rFont val="맑은 고딕"/>
        <color theme="1"/>
        <sz val="11.0"/>
      </rPr>
      <t xml:space="preserve"> 계약(변경계약) 의뢰, 하도급관리 </t>
    </r>
    <r>
      <rPr>
        <rFont val="Segoe UI Symbol"/>
        <color theme="1"/>
        <sz val="11.0"/>
      </rPr>
      <t>❖</t>
    </r>
    <r>
      <rPr>
        <rFont val="맑은 고딕"/>
        <color theme="1"/>
        <sz val="11.0"/>
      </rPr>
      <t xml:space="preserve"> 착공(착수)</t>
    </r>
    <r>
      <rPr>
        <rFont val="MS Mincho"/>
        <color theme="1"/>
        <sz val="11.0"/>
      </rPr>
      <t>․</t>
    </r>
    <r>
      <rPr>
        <rFont val="맑은 고딕"/>
        <color theme="1"/>
        <sz val="11.0"/>
      </rPr>
      <t>감독</t>
    </r>
    <r>
      <rPr>
        <rFont val="MS Mincho"/>
        <color theme="1"/>
        <sz val="11.0"/>
      </rPr>
      <t>․</t>
    </r>
    <r>
      <rPr>
        <rFont val="맑은 고딕"/>
        <color theme="1"/>
        <sz val="11.0"/>
      </rPr>
      <t xml:space="preserve">검사 등 계약이행 </t>
    </r>
    <r>
      <rPr>
        <rFont val="Segoe UI Symbol"/>
        <color theme="1"/>
        <sz val="11.0"/>
      </rPr>
      <t>❖</t>
    </r>
    <r>
      <rPr>
        <rFont val="맑은 고딕"/>
        <color theme="1"/>
        <sz val="11.0"/>
      </rPr>
      <t xml:space="preserve"> 선금, 기성금, 준공</t>
    </r>
    <r>
      <rPr>
        <rFont val="MS Mincho"/>
        <color theme="1"/>
        <sz val="11.0"/>
      </rPr>
      <t>․</t>
    </r>
    <r>
      <rPr>
        <rFont val="맑은 고딕"/>
        <color theme="1"/>
        <sz val="11.0"/>
      </rPr>
      <t xml:space="preserve">완료금 등 대가지급 </t>
    </r>
    <r>
      <rPr>
        <rFont val="Segoe UI Symbol"/>
        <color theme="1"/>
        <sz val="11.0"/>
      </rPr>
      <t>❖</t>
    </r>
    <r>
      <rPr>
        <rFont val="맑은 고딕"/>
        <color theme="1"/>
        <sz val="11.0"/>
      </rPr>
      <t xml:space="preserve"> 하자관리, 계약대장관리, 실적증명발급 등 사후관리
5. 계약의뢰시 필요한 사항
○ 계약의뢰 요청서에 포함되어야 할 사항
1. 건 명
2. 사업의 개요(성격, 규모, 난이도 등)
3. 예산과목 및 소요금액
4. 계약의 방법 및 그 사유
5. 입찰참가자격의 요건
6. 현장설명의 장소</t>
    </r>
    <r>
      <rPr>
        <rFont val="MS Mincho"/>
        <color theme="1"/>
        <sz val="11.0"/>
      </rPr>
      <t>․</t>
    </r>
    <r>
      <rPr>
        <rFont val="맑은 고딕"/>
        <color theme="1"/>
        <sz val="11.0"/>
      </rPr>
      <t>일시</t>
    </r>
    <r>
      <rPr>
        <rFont val="MS Mincho"/>
        <color theme="1"/>
        <sz val="11.0"/>
      </rPr>
      <t>․</t>
    </r>
    <r>
      <rPr>
        <rFont val="맑은 고딕"/>
        <color theme="1"/>
        <sz val="11.0"/>
      </rPr>
      <t xml:space="preserve">참가자격 및 참가의무여부에 관한 사항
7. 공동계약을 허용하는 경우 공동계약의 이행방식
8. 준공 또는 납품 기한
9. 하자보증기간 및 비율
10. 발주(설계)부서 담당자 성명, 전화번호
11. 사전절차(계약심사, 계약심의 등) 이행여부
12. 그 밖에 계약에 필요한 사항
⇒ 지방계약법 시행령 제36조 및 부산광역시 회계 및 계약사무 처리지침 제5조
○ 계약의뢰시 첨부서류
- 사업집행계획서(발주계획)
- 사전절차 이행결과(계약심사 결과, 용역ㆍ물품의 경우 사전규격 공개)
- 설계내역서(산출기초조사서), 공사의 경우 공내역서(물량내역서)
- 시방서(과업지시서)
</t>
    </r>
  </si>
  <si>
    <r>
      <rPr>
        <rFont val="맑은 고딕"/>
        <b/>
        <color theme="1"/>
        <sz val="11.0"/>
      </rPr>
      <t xml:space="preserve">475_2501_회계재산담당관_업무매뉴얼_회계재산담당관_2025년_계약업무_통합운영_매뉴얼2511_회계재산담당관_계약지원팀.pdf[4]
-----
</t>
    </r>
    <r>
      <rPr>
        <rFont val="맑은 고딕"/>
        <color theme="1"/>
        <sz val="11.0"/>
      </rPr>
      <t>Ⅲ 발주부서가 수행하는 사전절차
계약심사 : 계약금액(설계내역)의 적정성 검토
 발주부서가 청렴담당관에 의뢰
공
사
종합공사 · 추정금액이 5억원 이상 공사의 입찰
전문공사 및
기타공사
· 추정금액이 3억원 이상 공사의 입찰
용 역 · 추정금액이 1억원 이상 용역의 입찰
물 품 · 추정금액이 2천만원이상 물품의 입찰
변경계약심사 · 최초 계약금액 20억원 이상 공사 계약금액 10% 이상 증가 시
공사원가 사전검토  발주부서가 조달청에 의뢰
공 사
· 추정금액이 100억원 이상인 공사의 입찰
※ 공사원가 사전검토를 필한 경우 계약심사 X
사전규격 공개  발주부서가 G2B 나라장터 입력
용역 및 물품 · 과업지시서, 규격서, 시방서 등 5일(긴급 3일)
계약심의 : 대형 공사, 용역 및 물품구매에 대한 심의
발주부서가 회계재산담당관(계약팀)에 의뢰
공 사 · 추정가격이 70억원 이상인 공사의 입찰
용역 및 물품 · 추정가격이 20억원 이상인 용역 및 물품의 입찰
일상감사 : 입찰참가자격 및 계약방법에 대한 검토
 회계재산담당관에서 청렴담당관에 의뢰
· (금액) 추정가격 종합공사 5억원이상, 기타공사 3억원이상, 2억원이상 용역,
물품 제조·구매 1억원이상, 연간단가계약 1억원이상 계약체결과
그 계약금액의 20%이상 변경
※ P.Q 대상 기술용역, 협상에 의한 계약, 설계공모  발주부서에서 의뢰
참조가 여러개면 어느게 더 정확할지 확인</t>
    </r>
  </si>
  <si>
    <t>부산광역시 해운대구 부동산중개 수수료를 알고 싶습니다.</t>
  </si>
  <si>
    <t>DRM 해결방법
 ① 부서관리자 사이트 접속 부서관리자 권한 부여된 사용자만 가능
 http://99.1.81.71:9080/fed5 접속후 , 사용자 ID / 비밀번호 입력(자료유출방지시스템 ID/ 비번)
 ② 상단메뉴 공통설정 조직관리 클릭
 ③ 로그인 후 좌측 부서 내 사용자를 선택한 후 우측 상단 수정 클릭
 ④ 아래의 화면에서 초기화비밀번호 a12345 를 입력한 후 우측 상단 확인 클릭하여 수정 
  ★ 비번 초기화 후 사용자는 비밀번호 변경하여 로그인
 PC Client 해결방법 : 네트워크 인증 시스템 비밀번호 분실 시 행정전화(5999)로 연락바랍니다</t>
  </si>
  <si>
    <t xml:space="preserve">네, 온나라 시스템에서 문서의 과제카드가 잘못 지정되었다면 수정이 가능합니다. 아래 절차를 따라 변경하실 수 있습니다.
온나라 시스템 접속: 먼저 업무용 컴퓨터를 통해 온나라 시스템에 로그인해 주세요.
처리 문서 목록 접근:
메인 화면 상단 메뉴 중 ‘처리 문서’ 또는 ‘완료 문서’ 섹션을 찾아 클릭합니다.
그 다음 ‘재편철’ 또는 ‘재분류’ 옵션을 선택합니다.
수정할 문서 선택:
재편철하거나 과제카드를 변경하고자 하는 문서를 검색하여 선택합니다.
문서 목록에서 해당 문서의 제목을 클릭하면 상세 정보 페이지로 이동합니다.
과제카드 변경:
문서 상세 페이지에서 ‘과제카드 변경’ 버튼을 찾습니다.
이 버튼을 클릭하면 현재 설정된 과제카드 목록이 나타납니다.
올바른 과제카드를 선택하고 ‘확인’ 버튼을 눌러 변경을 완료합니다.
변경 사항 저장 및 반영:
변경 사항을 적용한 후, 시스템의 안내에 따라 필요한 경우 추가 정보를 입력하거나 확인 절차를 거칩니다.
모든 절차가 완료되면 변경된 과제카드가 문서에 적용됩니다.
만약 위의 방법으로 진행하기 어렵거나 추가적인 도움이 필요하시다면, 소속 부서의 전산 담당자나 온나라 시스템 지원팀에 문의하시는 것도 좋은 방법입니다. 또한, 문서 관리와 관련된 규정이나 지침에 따라 정확한 절차를 따르는 것이 중요하니 참고하시기 바랍니다.
도움이 더 필요하시면 언제든지 말씀해 주세요! 다른 궁금한 점이나 추가로 도와드릴 일이 있으면 알려주세요.
</t>
  </si>
  <si>
    <t>네, 온나라 시스템에서 문서의 과제카드가 잘못 지정되었다면 수정이 가능합니다. 아래 절차를 따라 변경하실 수 있습니다.
 온나라 시스템 접속: 먼저 업무용 컴퓨터를 통해 온나라 시스템에 로그인해 주세요.
 처리 문서 목록 접근:
 메인 화면 상단 메뉴 중 ‘처리 문서’ 또는 ‘완료 문서’ 섹션을 찾아 클릭합니다.
 그 다음 ‘재편철’ 또는 ‘재분류’ 옵션을 선택합니다.
 수정할 문서 선택:
 재편철하거나 과제카드를 변경하고자 하는 문서를 검색하여 선택합니다.
 문서 목록에서 해당 문서의 제목을 클릭하면 상세 정보 페이지로 이동합니다.
 과제카드 변경:
 문서 상세 페이지에서 ‘과제카드 변경’ 버튼을 찾습니다.
 이 버튼을 클릭하면 현재 설정된 과제카드 목록이 나타납니다.
 올바른 과제카드를 선택하고 ‘확인’ 버튼을 눌러 변경을 완료합니다.
 변경 사항 저장 및 반영:
 변경 사항을 적용한 후, 시스템의 안내에 따라 필요한 경우 추가 정보를 입력하거나 확인 절차를 거칩니다.
 모든 절차가 완료되면 변경된 과제카드가 문서에 적용됩니다.
 만약 위의 방법으로 진행하기 어렵거나 추가적인 도움이 필요하시다면, 소속 부서의 전산 담당자나 온나라 시스템 지원팀에 문의하시는 것도 좋은 방법입니다. 또한, 문서 관리와 관련된 규정이나 지침에 따라 정확한 절차를 따르는 것이 중요하니 참고하시기 바랍니다.
 도움이 더 필요하시면 언제든지 말씀해 주세요! 다른 궁금한 점이나 추가로 도와드릴 일이 있으면 알려주세요.</t>
  </si>
  <si>
    <t>재직증명서 발급 방법을 알려주세요</t>
  </si>
  <si>
    <t>재직증명서는 현재 특정 기관이나 회사에서 근무하고 있음을 증명하는 문서로, 다양한 상황에서 필요할 수 있습니다. 재직증명서를 발급받는 방법은 일반적으로 다음과 같습니다:
인사부서 방문: 가장 일반적인 방법으로, 회사의 인사부서나 총무부서를 직접 방문하여 재직증명서 발급을 요청합니다. 이 경우 신분증을 지참하여 본인 확인 절차를 거치게 됩니다.
온라인 시스템 이용: 일부 회사에서는 내부 시스템을 통해 재직증명서를 온라인으로 신청하고 출력할 수 있는 서비스를 제공합니다. 이는 편리성을 높이기 위한 것으로, 보안 절차에 따라 접근 권한이 부여됩니다.
전자메일 또는 팩스 요청: 인사담당자에게 이메일이나 팩스로 재직증명서 발급을 요청할 수도 있습니다. 이 경우에도 본인 확인을 위한 추가 정보 제공이 필요할 수 있습니다.
우편 발송 요청: 해외 체류나 기타 이유로 직접 방문이 어려운 경우 우편을 통해 재직증명서 발급을 요청할 수 있습니다. 이 때는 신분증 사본 등 본인 확인 서류가 필요합니다.
주의 사항:
재직증명서 발급은 개인정보 보호법에 따라 엄격히 관리되므로, 정확한 본인 확인 절차가 필수적입니다.
발급 목적에 따라 필요한 정보가 다를 수 있으므로, 사용 목적을 정확히 전달하는 것이 중요합니다.
발급 수수료가 발생할 수 있으며, 이는 회사 정책에 따라 다릅니다.
만약 구체적인 상황이나 특정 회사에 대한 정보를 제공해 주신다면, 더욱 정확하고 자세한 안내를 드릴 수 있습니다. 도움이 필요하시면 언제든지 말씀해 주세요!</t>
  </si>
  <si>
    <t>질의문 의도가
일반적인 재직자의 재직증명서 발급 방법을 알려주세요라고 하는 질문이면
관련 근거가 없으므로 없다는 답변이 나오면 됩니다.
혹시나 퇴직자, 휴직자의 재직, 경력증명서에 대한 질문이라고 한다면
인사과 자주찾는 질문 8P에 해당 질문에 대한 답변이 있습니다.
기대답변 :
1. 퇴직공무원이나 휴직 중인 공무원 모두 재직증명서 또는 경력증명서를 다음과 같은 방법으로 신청할 수 있습니다.
- 온라인(인터넷) 신청: 정부24(www.gov.kr)에서 본인 인증(공동인증서 필요) 후 민원 서비스에서 “재직(퇴직·경력)증명” 또는 “국가공무원퇴직자경력증명”을 검색하여 신청합니다.
- 방문 신청: 본인이 소속(또는 퇴직 당시 소속) 기관의 인사과를 방문해 신분증과 신청서를 제출하고 발급받을 수 있습니다.
- 어디서나민원 신청: 가까운 주민센터 방문하여, 팩스로 신청할 수 있습니다.
2. 발급 소요 기간
- 온라인(정부24) 즉시 발급: 근무시간 내 3시간 이내에 처리되는 것이 원칙입니다. 즉, 평일 근무 시간 중 신청하면 보통 3시간 이내에 발급됩니다.
- 방문 발급: 현장에서 바로 발급받을 수 있습니다.
- 우편 발급: 우편 발송 및 배송 기간이 추가로 소요되어 며칠 이상 걸릴 수 있습니다</t>
  </si>
  <si>
    <t>장기재직휴가 부여방법을 알려주세요</t>
  </si>
  <si>
    <t>질문하신 내용에 대해서는 참고할 만한 자료를 찾지 못했습니다. 관련 부서나 업무 담당자에게 문의해 주시기 바랍니다</t>
  </si>
  <si>
    <t>부서 직원이 재직기간 충족으로 인해 장기재직휴가 대상이 되었을때 서무가 인사랑에 장기재직휴가를 부여할 수 있는지에 대한 질문으로 보입니다.
해당 질문의 경우 관련 답변이 없으므로 이상없습니다.</t>
  </si>
  <si>
    <t>페이지 나뉘어져 있는거 다 합쳐서 답변해야할것으로 보입니다.
 사용방법
 ① 행정포털 하단 개인서비스→ ’직원복지지원’ 클릭
 ② 복지지원 프로그램 배너 → 프로그램 조회 → ‘신청’ 클릭
 ③ 상세지원 내역(유의사항) 및 첨부파일 확인 후 ‘신청’ 클릭
 ④ 해당서식 작성 및 첨부파일 업로드 후 등록 클릭
 ⑤ 신청처리 현황 목록에서 진행상태 확인
 파견, 휴직자, 시의원 등 행정포털 미사용자(공무원)는 각 부서관리자(서무)가 신청</t>
  </si>
  <si>
    <r>
      <rPr>
        <rFont val="&quot;맑은 고딕&quot;"/>
        <color rgb="FF000000"/>
        <sz val="11.0"/>
      </rPr>
      <t xml:space="preserve">[문서 페이지 수가 많아서 Top 5 이내 전달할 수 있도록 수량 조정 필요]
</t>
    </r>
    <r>
      <rPr>
        <rFont val="&quot;맑은 고딕&quot;"/>
        <color rgb="FF00FF00"/>
        <sz val="11.0"/>
      </rPr>
      <t>&gt;&gt; 질의문 163번 동일 처리</t>
    </r>
  </si>
  <si>
    <r>
      <rPr>
        <rFont val="맑은 고딕"/>
        <b/>
        <color theme="1"/>
        <sz val="11.0"/>
      </rPr>
      <t>300_2502_인사과_업무매뉴얼_인사과_직원복지지원시스템_사용방법_안내장례비.pdf [1-5]</t>
    </r>
    <r>
      <rPr>
        <rFont val="맑은 고딕"/>
        <color theme="1"/>
        <sz val="11.0"/>
      </rPr>
      <t xml:space="preserve">
-----
</t>
    </r>
    <r>
      <rPr>
        <rFont val="맑은 고딕"/>
        <color rgb="FFFF0000"/>
        <sz val="11.0"/>
      </rPr>
      <t xml:space="preserve">[문서 페이지가 다 나눠져 있음.]
</t>
    </r>
    <r>
      <rPr>
        <rFont val="맑은 고딕"/>
        <color theme="1"/>
        <sz val="11.0"/>
      </rPr>
      <t xml:space="preserve">후생복지 프로그램 신청방법 안내□ 유의사항
- 파견, 휴직자, 시의원 등 행정포털 미사용자(공무원)는 각 부서관리자(서무)가 신청□ 진행 절차
① 행정포털 하단 개인서비스→ ’직원복지지원’ 클릭
② 복지지원 프로그램 배너 → 프로그램 조회 → ‘신청’ 클릭
③ 상세지원 내역(유의사항) 및 첨부파일 확인 후 ‘신청’ 클릭
④ 해당서식 작성 및 첨부파일 업로드 후 등록 클릭
⑤ 신청처리 현황 목록에서 진행상태 확인
</t>
    </r>
  </si>
  <si>
    <r>
      <rPr>
        <rFont val="맑은 고딕"/>
        <b/>
        <color theme="1"/>
        <sz val="11.0"/>
      </rPr>
      <t xml:space="preserve">301_2502_인사과_업무매뉴얼_인사과_직원복지지원시스템_신청방법휴양시설_이용_지원.pdf[1-5]
</t>
    </r>
    <r>
      <rPr>
        <rFont val="맑은 고딕"/>
        <color theme="1"/>
        <sz val="11.0"/>
      </rPr>
      <t xml:space="preserve">-----
</t>
    </r>
    <r>
      <rPr>
        <rFont val="맑은 고딕"/>
        <color rgb="FFFF0000"/>
        <sz val="11.0"/>
      </rPr>
      <t xml:space="preserve">[문서 페이지가 다 나눠져 있음]
</t>
    </r>
    <r>
      <rPr>
        <rFont val="맑은 고딕"/>
        <color theme="1"/>
        <sz val="11.0"/>
      </rPr>
      <t xml:space="preserve">
후생복지 프로그램 신청방법 안내(공무원)
□ 유의사항
- 청원경찰(행정포털 미사용자) : [붙임파일1] 휴양시설 이용 지원 신청서(공문제출)
□ 진행 절차(공무원)
① 행정포털 하단 개인서비스→ ’직원복지지원’ 클릭
② 복지지원 프로그램 배너 → 프로그램 조회 → ‘신청’ 클릭
③ 상세지원 내역(유의사항) 및 첨부파일 확인 후 ‘신청’ 클릭
④ 해당서식 작성 및 첨부파일 업로드 후 등록 클릭
※ 1. 직무, 연락처, 지급계좌, 배우자 공무원 여부 선택 등 작성
2. 이용기간, 휴양시설명, 첨부파일 내역은 당첨 후 지원금신청시 작성
⑤ 신청처리 현황 목록에서 진행상태 확인
⑥ 지원 대상자 선정·공문통보 : ’25. 3. 31.(월)한
</t>
    </r>
  </si>
  <si>
    <t>업무추진비 직무활동 코드
 - 지방자치단체의 장 등 업무추진비 집행대상 직무활동 범위(제3조 제1항 관련)
 대상예산과목 : 203-01 (기관운영업무추진비), 203-03 (시책추진업무추진비)
 업무추진비 직무활동
 코드내역 지방자치단체 업무추진비 집행에 관한규칙 별표1
 이재민
 및
 불우소
 외계층
 타지역 재난사고 격
 려금품‧ 식사 1. 이재민
 및 불우소
 외계층에
 대한 격려
 및 지원
 가. 다른 지역에서 재난·사고가 발생한 경우 이재민 또는 피해
 자에 대한 격려금품 지급 및 식사(다과·주류를 포함한다. 이하 같다) 제공
 관할구역 재난사고
 격려금품‧식사
 나. 해당 지방자치단체 관할 구역에서 재난·사고가 발생한 경우
 이재민, 피해자 및 그 유가족, 재난복구 종사자 등에 대한
 격려금품 지급 및 식사 제공
 공직선거법112조2항
 3호
 다. 해당 지방자치단체 관할 구역에서 「공직선거법」 제112조제
 2항제3호에 따른 구호적 또는 자선적 행위 시책 또는 지역홍보 언론관계자 지역특산품
 2. 시책 또는 지역 홍보
 가. 해당 지역특산품 홍보를 위하여 언론관계자에게 의례적인 수준의 특산품 제공 협약식 기념품‧식사
 나. 다른 기관·단체와의 협약식에 따른 기념품증정 또는 교환, 관계자에게 식사제공 내방객 기념품
 다. 내방객(일반민원인은 제외한다)에게 의례적인 수준의 기념품 지급 언론관계자 간담회 식사
 라. 해당 지방자치단체 시책사업 홍보를 위하여 언론관계자 간담회를 개최할 경우 식사 제공
 체육활동 유공자 등
 대표선수 격려금품‧식
 사
 3. 학술·문
 화예술·체
 육활동 유
 공자 등에
 대한 격려
 및 지원
 가. 해당 지방자치단체의 대표선수 또는 그 지방자치단체의 관
 할구역에 주소를 둔 사람이 올림픽대회, 월드컵대회, 세계선
 수권대회, 아시아경기대회, 전국체육대회, 시·도체육대회에
 선수로 출전하거나 그 밖에 그 지방자치단체를 대표하여 선
 수로 출전하는 경우 해당 선수에게 격려금품 지급 및 식사
 제공
 공연‧행사 현장 종사
 자 격려금품‧식사
 나. 공연단, 악단, 영화·연극단,예술단,학술단체,사물놀이단,합창
 단,공공기관,언론기관및시범단체 등이 해당 지방자치단체 관
 할구역에서 공연 또는 행사를 하는 경우 현장 종사자에게
 격려금품 지급 및 식사제공
 농어촌일손돕기ㆍ
 불우소외계층 봉사자
 격려금품ㆍ식사
 다. 지역사회를 위하여 자원봉사활동을 하는 자원봉사자·단체·센터
 에 대한 격려금품 지급 및 식사 제공
 회의· 간담회· 행사
 사업추진 관계자 식
 사
 4. 업무추진
 을 위한
 각종 회
 의·간담
 회·행사
 가. 해당 지방자치단체의 시책사업을 추진하고 있거나 추진을
 완료한 사람으로서 사업추진에 기여한 공로가 있거나 원활
 한 사업추진을 위한 격려가 필요하여 사업추진 관계자에게
 식사 제공
 회의 참석자 식사
 나. 해당 지방자치단체가 주최하는 회의 참석자에게 식사 제공. 이 경우 회의는 해당 지방자치단체의 사무 수행을 목적으로
 하며 사전에 구체적인 회의 방법과 참석 범위를 정하여야 한
 다. 행사관계자 기념품
 및 식사
 4. 업무추진
 을 위한
 각종 회
 의·간담
 회·행사
 다. 해당 지방자치단체가 주관하는 직무와 직접 관련된 행사(「공직선거법」 제86조제2항제4호에 따라 제한되는 행사가 아닌
 경우를 말한다) 관계자에게 기념품 지급 및 식사 제공
 국제교류 및 협력증
 진 선물ㆍ식사
 라. 국제 교류 및 협력증진을 위하여 대사, 영사, 교민, 자매결
 연 지방 자치단체 관계자, 외교사절단 또는 외빈에게 선물
 증정 및 식사 제공
 타기관방문자 기념품
 및 식사
 마. 다른 지방자치단체, 국가기관, 공공단체, 민간단체, 학회, 협
 회 또는 해외기관 등이 벤치마킹, 교육, 현지조사·견학 등을
 위하여 해당 지방자치단체를 방문한 경우 그 방문자에게 기
 념품 지급 및 식사 제공
 현업부
 서ㆍ현
 장
 근무자
 타기관 현장근무자
 격려금품
 5. 현업(현
 장)부서
 근무자에
 대한 격려
 가. 군부대, 전투경찰대, 소방서(파출소 포함), 경찰서(지구대 등
 포함), 우체국, 그 밖의 국가기관 및 다른 지방자치단체에서
 종사하는 현업(현장) 근무자를</t>
  </si>
  <si>
    <t>국민신문고와 정보공개청구 처리 과정 알려주세요</t>
  </si>
  <si>
    <r>
      <rPr>
        <rFont val="Malgun Gothic"/>
        <color theme="1"/>
        <sz val="11.0"/>
      </rPr>
      <t xml:space="preserve">근거문서 : 미제출 문서 중 국민신문고 사용자지침서 민원.pdf
통합민원과_업무매뉴얼_행정안전부_정보공개운영안내서.pdf (p.69, 227, 119~184)
기대답변 : 
국민신문고 민원 처리 절차 요약
1. 민원 검토 및 처리 : 민원 내용 검토, 사실관계 확인
 - 민원 처리 기한 원칙적으로 14일 이내
 - 부득이하게 연장할 경우, 처리기한 연장 사유와 연장일을 민원인에게 통보
2. 답변 작성 및 검토 : 답변문 작성, 내부 결재(검토 → 결재 → 승인)
 - 결재 완료 후 국민신문고 시스템을 통해 민원인 회신
3. 종결 및 평가 : 민원인에게 회신 후 ‘종결’ 처리
4. 민원인 만족도 평가 및 재신청(이의신청) 가능
5. 흐름도 요약
 - 접수 → 이첩/이송(필요 시) → 검토 및 처리 → 결재 및 회신 → 종결 및 평가
정보공개 처리절차
1. 정보공개(부분공개) 결정) : 청구한 정보의 내용에 따라 공개, 부분공개를 결정하여 입력(법 제11조, 제14조
 1) 수수료가 있는 경우 정보공개(부분공개) 입력
   ∙ ‘결정’ 버튼을 누른 후 ‘정보공개 수수료 있음’ 선택 
   ∙ ‘공개’ 또는 ‘부분공개’ 결정통지서를 선택한 후 공개내용을 입력하고 공개형태, 공개일시, 수수료 정보를 입력한 후 저장 → 결재 → 통지
   ∙ 통지 후 수수료 납부 처리가 완료되면 ‘공개자료(첨부문서)등록’ 버튼을 눌러 공개 자료(5개 이내)를 첨부한 후 저장 → ‘청구인에게 공개’ 버튼을 클릭하여 완료
 2) 수수료가 없는 경우 정보공개(부분공개) 입력(화면 2)
   ∙ ‘결정’ 버튼을 누른 후 ‘정보공개 수수료 없음’ 선택
   ∙ ‘공개’ 또는 ‘부분공개’ 결정통지서를 선택한 후 공개내용(첨부파일 포함), 공개형태, 공개일시를 입력한 후 저장 → 결재 → 통지
2. 정보 비공개 결정 : 청구한 정보가 비공개대상 정보에 해당되는지 판단하여 비공개 결정 입력(법 제9조 제1항 각 호에 해당하는 정보)
 1) 정보공개(비공개) 입력
   ∙ ‘결정’ 버튼을 누른 후 ‘정보공개 수수료 없음’ 선택(‘정보공개 수수료 있음’을 선택할 경우 비공개 결정 버튼이 활성화 되지 않음)
   ∙ ‘비공개’ 결정통지서를 선택한 후 법 제9조 제1항 각 호의 비공개 근거를 선택하고 내용을 입력한 후 저장 → 결재 → 통지
3. 즉시처리 가능한 정보의 공개 : 공개여부를 별도로 판단할 필요가 없어 청구인에게 즉시 정보를 공개하는 업무(법 제16조)
 1) 즉시공개서 입력 후 저장 → 통지 버튼을 눌러야 결정통지 완료
   ∙ 기 공개되어 있는 정보의 구체적인 위치 및 책자 소재 등을 안내
 2) 즉시처리 대상 및 방법의 세부 내용은 안내서 79쪽 참조
4. 정보공개 결재 및 통지 : 공개·비공개 결정 입력 후 전자문서시스템과 연계하여 결재(자동/수동)를 처리하는 업무
 1) 자동결재
   ∙ ‘공개/비공개 결정입력’ 완료 후 ‘자동결재’ 선택
   ∙ ‘자동결재’ 선택 시 처리자가 작성한 문서(결정통지서, 정보공개심의회, 3자 의견서)가 처리자의 소속기관 전자문서시스템으로 전송됨
   ∙ 처리자는 </t>
    </r>
    <r>
      <rPr>
        <rFont val="MS Mincho"/>
        <color theme="1"/>
        <sz val="11.0"/>
      </rPr>
      <t>｢</t>
    </r>
    <r>
      <rPr>
        <rFont val="맑은 고딕"/>
        <color theme="1"/>
        <sz val="11.0"/>
      </rPr>
      <t>연계기안함(예시 : 온나라시스템)</t>
    </r>
    <r>
      <rPr>
        <rFont val="MS Mincho"/>
        <color theme="1"/>
        <sz val="11.0"/>
      </rPr>
      <t>｣</t>
    </r>
    <r>
      <rPr>
        <rFont val="맑은 고딕"/>
        <color theme="1"/>
        <sz val="11.0"/>
      </rPr>
      <t>으로 전송된 붙임문서를 이용하여 기안문을 작성하고 내부 결재
   ∙ 자동결재 완료 시 전자문서시스템은 결재정보(결재일자, 기안자, 검토자, 결재자, 문서번호)를 정보공개시스템으로 전송하며, 수신된 결재정보를 확인 후 ‘통지’ 처리
 2) 수동결재
   ∙ ‘공개/비공개 결정통지’ 입력 완료 후 ‘수동결재’ 선택
   ∙ 전자문서시스템과 연계가 안 되는 기관은 수동결재로 처리
   ∙ 전자문서시스템으로 내부결재를 받은 후 결재 정보(기안자, 결재자, 문서번호 등)를 입력 후 ‘통지’ 처리
 3) 정보공개 통지
   ∙ 결재 완료 후 [통지] 버튼을 클릭해야 결정통지 처리가 완료
   ∙ 청구인이 청구서 작성 시 선택했던 안내메시지 수령방법(핸드폰, 전자우편, 전체)에 따라 결정통지 안내메시지가 발송됨
 4) 기 타
   ∙ 통지 이후에는 결정통지서 수정이 불가능하므로 공개정보, 수수료 등 수정사항이 없도록 확인 후 처리
   ∙ 자동결재 버튼을 클릭하면 ‘결재중’으로 나타나며, 정상적으로 결재가 안 될 경우, 별도 조치 없이 수동결재로 처리 할 수 있음
5. 제3자 통지 및 의견 등록 : 제3자와 관련된 정보공개 청구의 경우, 제3자에게 청구사실을 통지하고 의견을  등록하여 관리하는 업무(법 제11조 제3항, 시행령 제8조)
 1) 제3자 통보
   ∙ 공개 청구된 공개 대상 정보가 제3자와 관련이 있다고 인정할 때에는 그 사실을 제3자에게 지체 없이 통지
 2) 제3자 의견 청취
   ∙ 문서로 통지하여야 하며, 제3자가 원하는 경우 구술로 할 수 있으나 담당 공무원이 기록하고 본인의 확인을 받아야 함
 3) 제3자 의견 등록
   ∙ 결정통지서 입력 이전에 등록, 제3자 의견은 여러 건 등록·수정·삭제 가능
6. 정보공개심의회 의견 등록 : 이의신청 또는 정보공개 결정이 곤란하여 정보공개심의회를 개최한 경우 심의 내용을 등록·관리하는 업무(법 제12조, 시행령 제11조)
 1) 결정통지서 입력 전에 등록 
 2) 정보공개심의회 운영·심의 기준 등 세부내용은 40~42쪽 참조  
7. 정보공개 실시 정지 : 제3자의 비공개 의견에도 불구하고 기관에서 공개결정시, 제3자로부터 행정심판 또는 행정소송이 제기되어 일시적으로 공개된 정보를 청구인이 열람할 수 없도록 정보공개를 정지하는 업무
 1) 실시정지
   ∙ 제3자가 행정심판/소송을 제기하면서 정보공개 정지를 요청하여 받아들여졌을 경우에 ‘실시정지’(화면 1) 버튼을 클릭하면 청구인이 열람할 수 없음
 2) 정보공개 실시정지 사유(화면 2)를 입력하고 저장
8. 기간연장 처리 : 부득이한 사유로 10일 이내에 공개여부를 결정할 수 없을 때 공개여부 결정기간을 연장 처리하는 업무(법 제11조 제2항)
 1) 기간연장 입력 및 처리
   ∙ 공개여부 결정기간 연장사유를 입력하고(화면 1) 기간연장상세 화면을 눌러(화면 2) 결재를 득한 후(화면 3) 연장통지(화면 4)까지 완료해야 기간연장 통지가 처리되며, 청구인이 청구서 작성 시 선택했던 안내 메시지 수령방법에 따라 안내 메시지가 발송됨
 2) 결재절차는 정보공개 결정통지서 자동·수동결재 처리절차와 동일
 3) 청구 결정기간 연장은 10일이며, 이의신청 결정기간 연장은 7일임. 반드시 ‘결재’ 후 ‘통지’ 버튼을 클릭해야만 처리기간이 연장됨(청구인에게는 문서로 통보)</t>
    </r>
  </si>
  <si>
    <t>기대답변
 국민신문고 민원 처리 절차 요약 &gt; 이것만 미답변 처리
 정보공개 처리절차
 1. 정보공개(부분공개) 결정) : 청구한 정보의 내용에 따라 공개, 부분공개를 결정하여 입력(법 제11조, 제14조
  1) 수수료가 있는 경우 정보공개(부분공개) 입력
  ∙ ‘결정’ 버튼을 누른 후 ‘정보공개 수수료 있음’ 선택 
  ∙ ‘공개’ 또는 ‘부분공개’ 결정통지서를 선택한 후 공개내용을 입력하고 공개형태, 공개일시, 수수료 정보를 입력한 후 저장 → 결재 → 통지
  ∙ 통지 후 수수료 납부 처리가 완료되면 ‘공개자료(첨부문서)등록’ 버튼을 눌러 공개 자료(5개 이내)를 첨부한 후 저장 → ‘청구인에게 공개’ 버튼을 클릭하여 완료
  2) 수수료가 없는 경우 정보공개(부분공개) 입력(화면 2)
  ∙ ‘결정’ 버튼을 누른 후 ‘정보공개 수수료 없음’ 선택
  ∙ ‘공개’ 또는 ‘부분공개’ 결정통지서를 선택한 후 공개내용(첨부파일 포함), 공개형태, 공개일시를 입력한 후 저장 → 결재 → 통지
 2. 정보 비공개 결정 : 청구한 정보가 비공개대상 정보에 해당되는지 판단하여 비공개 결정 입력(법 제9조 제1항 각 호에 해당하는 정보)
  1) 정보공개(비공개) 입력
  ∙ ‘결정’ 버튼을 누른 후 ‘정보공개 수수료 없음’ 선택(‘정보공개 수수료 있음’을 선택할 경우 비공개 결정 버튼이 활성화 되지 않음)
  ∙ ‘비공개’ 결정통지서를 선택한 후 법 제9조 제1항 각 호의 비공개 근거를 선택하고 내용을 입력한 후 저장 → 결재 → 통지
 3. 즉시처리 가능한 정보의 공개 : 공개여부를 별도로 판단할 필요가 없어 청구인에게 즉시 정보를 공개하는 업무(법 제16조)
  1) 즉시공개서 입력 후 저장 → 통지 버튼을 눌러야 결정통지 완료
  ∙ 기 공개되어 있는 정보의 구체적인 위치 및 책자 소재 등을 안내
  2) 즉시처리 대상 및 방법의 세부 내용은 안내서 79쪽 참조
 4. 정보공개 결재 및 통지 : 공개·비공개 결정 입력 후 전자문서시스템과 연계하여 결재(자동/수동)를 처리하는 업무
  1) 자동결재
  ∙ ‘공개/비공개 결정입력’ 완료 후 ‘자동결재’ 선택
  ∙ ‘자동결재’ 선택 시 처리자가 작성한 문서(결정통지서, 정보공개심의회, 3자 의견서)가 처리자의 소속기관 전자문서시스템으로 전송됨
  ∙ 처리자는 ｢연계기안함(예시 : 온나라시스템)｣으로 전송된 붙임문서를 이용하여 기안문을 작성하고 내부 결재
  ∙ 자동결재 완료 시 전자문서시스템은 결재정보(결재일자, 기안자, 검토자, 결재자, 문서번호)를 정보공개시스템으로 전송하며, 수신된 결재정보를 확인 후 ‘통지’ 처리
  2) 수동결재
  ∙ ‘공개/비공개 결정통지’ 입력 완료 후 ‘수동결재’ 선택
  ∙ 전자문서시스템과 연계가 안 되는 기관은 수동결재로 처리
  ∙ 전자문서시스템으로 내부결재를 받은 후 결재 정보(기안자, 결재자, 문서번호 등)를 입력 후 ‘통지’ 처리
  3) 정보공개 통지
  ∙ 결재 완료 후 [통지] 버튼을 클릭해야 결정통지 처리가 완료
  ∙ 청구인이 청구서 작성 시 선택했던 안내메시지 수령방법(핸드폰, 전자우편, 전체)에 따라 결정통지 안내메시지가 발송됨
  4) 기 타
  ∙ 통지 이후에는 결정통지서 수정이 불가능하므로 공개정보, 수수료 등 수정사항이 없도록 확인 후 처리
  ∙ 자동결재 버튼을 클릭하면 ‘결재중’으로 나타나며, 정상적으로 결재가 안 될 경우, 별도 조치 없이 수동결재로 처리 할 수 있음
 5. 제3자 통지 및 의견 등록 : 제3자와 관련된 정보공개 청구의 경우, 제3자에게 청구사실을 통지하고 의견을 등록하여 관리하는 업무(법 제11조 제3항, 시행령 제8조)
  1) 제3자 통보
  ∙ 공개 청구된 공개 대상 정보가 제3자와 관련이 있다고 인정할 때에는 그 사실을 제3자에게 지체 없이 통지
  2) 제3자 의견 청취
  ∙ 문서로 통지하여야 하며, 제3자가 원하는 경우 구술로 할 수 있으나 담당 공무원이 기록하고 본인의 확인을 받아야 함
  3) 제3자 의견 등록
  ∙ 결정통지서 입력 이전에 등록, 제3자 의견은 여러 건 등록·수정·삭제 가능
 6. 정보공개심의회 의견 등록 : 이의신청 또는 정보공개 결정이 곤란하여 정보공개심의회를 개최한 경우 심의 내용을 등록·관리하는 업무(법 제12조, 시행령 제11조)
  1) 결정통지서 입력 전에 등록 
  2) 정보공개심의회 운영·심의 기준 등 세부내용은 40~42쪽 참조 
 7. 정보공개 실시 정지 : 제3자의 비공개 의견에도 불구하고 기관에서 공개결정시, 제3자로부터 행정심판 또는 행정소송이 제기되어 일시적으로 공개된 정보를 청구인이 열람할 수 없도록 정보공개를 정지하는 업무
  1) 실시정지
  ∙ 제3자가 행정심판/소송을 제기하면서 정보공개 정지를 요청하여 받아들여졌을 경우에 ‘실시정지’(화면 1) 버튼을 클릭하면 청구인이 열람할 수 없음
  2) 정보공개 실시정지 사유(화면 2)를 입력하고 저장
 8. 기간연장 처리 : 부득이한 사유로 10일 이내에 공개여부를 결정할 수 없을 때 공개여부 결정기간을 연장 처리하는 업무(법 제11조 제2항)
  1) 기간연장 입력 및 처리
  ∙ 공개여부 결정기간 연장사유를 입력하고(화면 1) 기간연장상세 화면을 눌러(화면 2) 결재를 득한 후(화면 3) 연장통지(화면 4)까지 완료해야 기간연장 통지가 처리되며, 청구인이 청구서 작성 시 선택했던 안내 메시지 수령방법에 따라 안내 메시지가 발송됨
  2) 결재절차는 정보공개 결정통지서 자동·수동결재 처리절차와 동일
  3) 청구 결정기간 연장은 10일이며, 이의신청 결정기간 연장은 7일임. 반드시 ‘결재’ 후 ‘통지’ 버튼을 클릭해야만 처리기간이 연장됨(청구인에게는 문서로 통보)</t>
  </si>
  <si>
    <t>239, 240, 241, 242, 243, 244, 245, 246, 247, 248, 249, 250, 251, 252, 253</t>
  </si>
  <si>
    <r>
      <rPr>
        <rFont val="Malgun Gothic"/>
        <color theme="1"/>
        <sz val="11.0"/>
      </rPr>
      <t xml:space="preserve">본문내용 일체
 - Q 숫자로 되어 있는 질문 답변은 제외 
----------
</t>
    </r>
    <r>
      <rPr>
        <rFont val="Arial"/>
        <color rgb="FF0432FF"/>
        <sz val="11.0"/>
      </rPr>
      <t xml:space="preserve">
[Top5 내로 답변이 나오도록 분량 조정 필요]
</t>
    </r>
    <r>
      <rPr>
        <rFont val="Arial"/>
        <color rgb="FF00B050"/>
        <sz val="11.0"/>
      </rPr>
      <t xml:space="preserve">&gt;&gt; 57P 정보공개업무 처리 절차도(이미지 파일)
해당 페이지만 제공하는게 가능하다면 다음 내용으로만 생성해주세요.
</t>
    </r>
    <r>
      <rPr>
        <rFont val="Arial"/>
        <color rgb="FFFF0000"/>
        <sz val="11.0"/>
      </rPr>
      <t xml:space="preserve">- 이미지 제공 불가능 합니다.
</t>
    </r>
    <r>
      <rPr>
        <rFont val="Arial"/>
        <color rgb="FF00B050"/>
        <sz val="11.0"/>
      </rPr>
      <t xml:space="preserve">
&gt;&gt; 정보공개 청구 처리 절차 요약되어 있는 매뉴얼이 따로 없는거 같습니다. 
&gt;&gt; 아니면 목록 2P, 3P의 정보공개 처리, 정보공개 처리에 대해 간단하게 알려주고 자세한 내용은 해당 페이지를 참조하라고 나올 수 있는지도 확인 바랍니다.
&gt;&gt; 국민신문고 메뉴얼 없음
</t>
    </r>
    <r>
      <rPr>
        <rFont val="Arial"/>
        <color rgb="FFFF0000"/>
        <sz val="11.0"/>
      </rPr>
      <t xml:space="preserve">-  이런 형태의 안내문은 전부다 FAQ를 별도로 만들어서 관리하는게 맞는것 같습니다. 해당 파일의 2, 3 페이지 이외에 포함되어야할 내용을 알려주시면 해당 내용을 포함해 답변을 생성하겠습니다.
</t>
    </r>
    <r>
      <rPr>
        <rFont val="Malgun Gothic"/>
        <color rgb="FFFF0000"/>
        <sz val="11.0"/>
      </rPr>
      <t xml:space="preserve">(순번 278 질문도 함께 처리)
</t>
    </r>
    <r>
      <rPr>
        <rFont val="Malgun Gothic"/>
        <color rgb="FF00B050"/>
        <sz val="11.0"/>
      </rPr>
      <t>&gt;&gt; FAQ 처리</t>
    </r>
  </si>
  <si>
    <r>
      <rPr>
        <rFont val="맑은 고딕"/>
        <b/>
        <color rgb="FF000000"/>
        <sz val="11.0"/>
      </rPr>
      <t>424_2108_통합민원과_업무매뉴얼_행정안전부_정보공개운영안내서.pdf (p.69)</t>
    </r>
    <r>
      <rPr>
        <rFont val="맑은 고딕"/>
        <color rgb="FF000000"/>
        <sz val="11.0"/>
      </rPr>
      <t xml:space="preserve">
------
</t>
    </r>
    <r>
      <rPr>
        <rFont val="맑은 고딕"/>
        <color rgb="FFFF0000"/>
        <sz val="11.0"/>
      </rPr>
      <t>[기대답변을 생성하기에는 데이터가 부족함]</t>
    </r>
    <r>
      <rPr>
        <rFont val="맑은 고딕"/>
        <color rgb="FF000000"/>
        <sz val="11.0"/>
      </rPr>
      <t xml:space="preserve">
5. 정보공개청구서의 접수 및 이송
∙ 정보공개 청구서를 접수하면 정보공개 처리대장에 기록하고 청구인에게 접수증을 발급 (시행령 제6조 제2항)
∙ 다른 공공기관이 보유·관리하는 정보의 공개 청구를 받았을 때에는 지체 없이 이를 소관 기관으로 이송하여야 하며, 이송한 후에는 지체 없이 소관 기관 및 이송 사유 등을 분명히 밝혀 청구인에게 문서로 통지(법 제11조 제4항)
정보공개 청구서 접수증 발급 생략(시행령 제6조 제2항)
 즉시 또는 말로써 처리가 가능한 정보공개 청구
 우편·팩스 또는 정보통신망을 통한 정보공개 청구
※ 단, 청구인의 요청이 있는 경우에는 교부하여야 함
소관부서 분류
 접수된 청구서는 지체 없이 해당 정보를 보유·관리하는 부서로 분류
 공개청구 내용이 여러 부서에 관련되어 있는 경우에는 기관의 사정에 따라 업무 관련성이 큰 부서, 청구 처리건이 많은 부서, 청구서상에 우선순위로 요구된 정보를 처리하는 부서 등이 주관부서가 되어 신속하게 처리하되 청구정보별 소관부서, 담당자 및 연락처를 반드시 기재
소관 기관 이송25)(법 제11조 제4항)
 접수 기관에서 보유·관리하지 않는 정보를 청구한 경우로서, 다른 공공 기관이 보유·관리하는 정보의 공개 청구를 받은 경우
※ 접수 기관에서 보유</t>
    </r>
    <r>
      <rPr>
        <rFont val="Noto Sans KR"/>
        <color rgb="FF000000"/>
        <sz val="11.0"/>
      </rPr>
      <t>‧</t>
    </r>
    <r>
      <rPr>
        <rFont val="맑은 고딕"/>
        <color rgb="FF000000"/>
        <sz val="11.0"/>
      </rPr>
      <t>관리(생산</t>
    </r>
    <r>
      <rPr>
        <rFont val="Noto Sans KR"/>
        <color rgb="FF000000"/>
        <sz val="11.0"/>
      </rPr>
      <t>‧</t>
    </r>
    <r>
      <rPr>
        <rFont val="맑은 고딕"/>
        <color rgb="FF000000"/>
        <sz val="11.0"/>
      </rPr>
      <t>접수 등)하였으나, 관련 절차에 따라 다른 기관으로 관련 자료를 모두 이관한 경우에는 보유</t>
    </r>
    <r>
      <rPr>
        <rFont val="Noto Sans KR"/>
        <color rgb="FF000000"/>
        <sz val="11.0"/>
      </rPr>
      <t>‧</t>
    </r>
    <r>
      <rPr>
        <rFont val="맑은 고딕"/>
        <color rgb="FF000000"/>
        <sz val="11.0"/>
      </rPr>
      <t>관리하지 않는 정보에 해당 
 이송한 후에는 지체 없이 소관 기관 및 이송 사유, 이송 일시 등을 분명히 밝혀 청구인에게 문서로 통지(정보공개시스템을 통해 신청한 경우에는 시스템을 통한 통지 가능)
※ 별지 제3호의2 서식 
※ 청구를 받기 전에 소관 기관을 알려 줄 수 있는 경우(직접 방문에 의한 청구 등)에는 미리 소관 기관을 안내하여 불필요한 이송을 방지
25) 접수·경유·협의 및 처리하는 기관이 각각 상당히 떨어져 있는 경우 문서의 이송에 소요되는 기간은 처리기간에 미산입(행정절차법 시행령 제11조)</t>
    </r>
  </si>
  <si>
    <r>
      <rPr>
        <rFont val="맑은 고딕"/>
        <b/>
        <color rgb="FF000000"/>
        <sz val="11.0"/>
      </rPr>
      <t>424_2108_통합민원과_업무매뉴얼_행정안전부_정보공개운영안내서.pdf (p.227)</t>
    </r>
    <r>
      <rPr>
        <rFont val="맑은 고딕"/>
        <color rgb="FF000000"/>
        <sz val="11.0"/>
      </rPr>
      <t xml:space="preserve">
------
</t>
    </r>
    <r>
      <rPr>
        <rFont val="맑은 고딕"/>
        <color rgb="FFFF0000"/>
        <sz val="11.0"/>
      </rPr>
      <t>[정보공개 청구 접수에 대한 절차만 있음]</t>
    </r>
    <r>
      <rPr>
        <rFont val="맑은 고딕"/>
        <color rgb="FF000000"/>
        <sz val="11.0"/>
      </rPr>
      <t xml:space="preserve">
2. 정보공개 청구 접수
기관에 청구된 모든 청구(온라인, 오프라인)를 확인하여 접수하는 업무
담당자 : 정보공개관리자
메 뉴 : 청구관리 &gt; 전체청구관리
청구서 조회화면
처리 절차
1) 청구서 접수
∙ 정보공개 관리자만 전체청구관리 메뉴에 접근할 수 있음∙ 처리상태가 ‘접수대기중’인 것을 확인한 후 제목을 클릭하면 청구내용을
상세조회 할 수 있으며, 처리상태는 접수완료로 변경됨(화면 </t>
    </r>
    <r>
      <rPr>
        <rFont val="Segoe UI Symbol"/>
        <color rgb="FF000000"/>
        <sz val="11.0"/>
      </rPr>
      <t>➊</t>
    </r>
    <r>
      <rPr>
        <rFont val="맑은 고딕"/>
        <color rgb="FF000000"/>
        <sz val="11.0"/>
      </rPr>
      <t>)
 ※ 접수번호 : 처리내용을 확인하고 추적하기 위하여 부여된 번호
2) 청구취하 방법(통지완료 후에는 취하 불가) ∙ 오프라인(직접방문·우편·FAX) 청구 : 정보공개접수자
∙ 온라인(정보공개시스템) 청구 : 청구인</t>
    </r>
  </si>
  <si>
    <r>
      <rPr>
        <rFont val="맑은 고딕"/>
        <b/>
        <color rgb="FF000000"/>
        <sz val="11.0"/>
      </rPr>
      <t>424_2108_통합민원과_업무매뉴얼_행정안전부_정보공개운영안내서.pdf (119~124)</t>
    </r>
    <r>
      <rPr>
        <rFont val="맑은 고딕"/>
        <color rgb="FF000000"/>
        <sz val="11.0"/>
      </rPr>
      <t xml:space="preserve">
----
1. 법령상의 비밀·비공개 정보(제1호)
다른 법률 또는 법률에서 위임한 명령(국회규칙·대법원규칙·헌법재판소규칙·중앙선거관리 위원회규칙·대통령령 및 조례로 한정한다)에 따라 비밀이나 비공개 사항으로 규정된 정보
입법취지
 비밀 또는 비공개 사항을 규정한 개별 법령을 우선 적용하여 정보공개법과의 상호 충돌(마찰)을 피하고자 함(대법원 2004두12629)
※ 여기서 “비밀”이라 함은 단순히 형식적으로 보안업무규정에 따라 Ⅰ, Ⅱ, Ⅲ급 비밀로 분류되어 있다는 사실만으로 비밀 해당성이 인정되는 것이 아니고(형식비), 해당 내용이 지금까지 일반에 공개되어 있지 않았고(비공지성), 계속 비공개를 유지하여야 할 필요성과 상당성이 인정되어야 함(실질비)
비공개 여부의 판단기준
 다른 법률에서 구체적으로 위임을 받았는지 여부(대법원 2003두839562)) ※ 검찰보존사무규칙63), 보안업무규정 시행규칙64), 관세법 시행령 제64조65), 지방자치단체에 대한 행정감사 규정 제17조66)는 다른 법률에서 구체적으로 위임을 받았다고 볼 수 없음
 직무상 비밀엄수 의무를 포괄적으로 규정한 것은 아닌지 여부(직무상 비밀엄수 의무의 포괄적 규정 : 제1호 사유에 해당하지 않음)
※ 민원처리에 관한 법률 제7조67), 형사소송법 제47조68) , 형법 제126조69), 성폭력 방지 및 피해자보호 등에 관한 법률 제30조70), 감정평가 및 감정 평가사에 관한 법률 제26조71), 가정폭력방지 및 피해자보호 등에 관한 법률 제16조72), 감염병의 예방 및 관리에 관한 법률 제74조73), 공직자 등의 병역사항 신고 및 공개에 관한 법률 제13조74), 변호사법 제26조(비밀유지의무 등), 의료법 제19조(정보누설금지), 외국환거래법 제22조 (외국환거래의 비밀보장), 산업안전보건법 제162조(비밀유지), 통신비밀보호법 제11조 (비밀준수의 의무), 사회복지사업법 제47조(비밀누설의 금지), 정신건강복지법 제71조 (비밀누설의 금지), 중앙 및 지자체 자체감사기준 제10조(보안유지 등), 공공 감사에 관한 법률 제29조(비밀유지 의무), 감사활동조정협의회의 구성</t>
    </r>
    <r>
      <rPr>
        <rFont val="Noto Sans KR"/>
        <color rgb="FF000000"/>
        <sz val="11.0"/>
      </rPr>
      <t>‧</t>
    </r>
    <r>
      <rPr>
        <rFont val="맑은 고딕"/>
        <color rgb="FF000000"/>
        <sz val="11.0"/>
      </rPr>
      <t>운영 규칙 제11조(비밀엄수의무 등), 개인정보보호법 제60조(비밀유지 등), 국가 공무원법 제60조(비밀엄수의 의무), 지방공무원법 제52조(비밀엄수의 의무), 공직자윤리법 제14조(비밀엄수) 및 제14조의3(금융거래자료의 제공</t>
    </r>
    <r>
      <rPr>
        <rFont val="Noto Sans KR"/>
        <color rgb="FF000000"/>
        <sz val="11.0"/>
      </rPr>
      <t>‧</t>
    </r>
    <r>
      <rPr>
        <rFont val="맑은 고딕"/>
        <color rgb="FF000000"/>
        <sz val="11.0"/>
      </rPr>
      <t>누설 등 금지) 등은 직무상 비밀엄수 의무를 포괄적으로 규정(제1호에 해당하지 않음)
 비밀 또는 비공개의 범위가 구체적인지 여부
※ 형사소송법 제198조 제2항75) 은 비밀 또는 비공개의 범위가 포괄적임
 비공개 사항으로 규정된 ‘정보’에 해당하는지 여부
※ 공무원 징계령 제20조76)는 ‘회의의 비공개’ 규정으로 회의는 정보공개법 제2조 제1호의 ‘정보’에 해당하지 않음
비공개 대상 정보의 유형(제1호 사유에 해당)
 공직자의 재산등록사항, 금융거래 자료(공직자윤리법 제10조 제3항77))
 기초생활수급권자 및 부양의무자의 소득·재산·생활실태 등에 관한 사항 (국민기초생활보장법 제22조 제6항78))
 납세자가 제출한 자료나 국세의 부과 또는 징수 목적으로 취득한 자료 등을 타인에게 제공 등 금지(국세기본법 제81조의1379))
 도시계획위원회 회의록 중 이름, 주민등록번호, 직위, 주소 등 대통령령으로 정하는 특정인을 식별할 수 있는 개인 식별 정보(국토의 계획 및 이용에 관한 법률 제113조의280))
 법인, 기업, 단체, 개인에 대한 자금지원(금융거래)에 관한 정보(금융실명 거래 및 비밀보장에 관한 법률 제4조 제1항81))
 직무발명을 출원할 때까지 직무발명의 내용에 관한 비밀(발명진흥법 제19조82))
 개별 근로자의 건강진단 결과(산업안전보건법 제132조 제2항83))
 외국에 사무소를 둔 법인의 외국환 거래내역(외국환거래법 제22조84))
 개인위치정보(위치정보의 보호 및 이용 등에 관한 법률 제15조 제1항85))
 컴퓨터 파일에 기록된 전자무역문서 및 데이터베이스에 입력된 무역 정보 (전자무역 촉진에 관한 법률 제21조86))
 납세자가 납세의무를 이행하기 위해 제출한 자료나 지방세의 부과 또는 징수를 목적으로 업무상 취득한 자료(지방세기본법 제86조87))
 통계의 작성을 위하여 수집된 개인이나 법인 또는 단체 등의 비밀에 속하는 자료(통계법 제33조88))
 우편물의 검열·전기통신의 감청 또는 통신사실 확인자료, 공개되지 아니한 타인간의 대화 내용(통신비밀보호법 제3조89))
 행정심판위원회에서 위원이 발언한 내용, 위원회의 심리·재결의 공정성을 해칠 우려가 있는 사항(행정심판법 제41조90))
 환경분쟁조정위원회의 조정절차(환경분쟁 조정법 제25조91))
 에이즈검사결과 회보, 에이즈민원 검사 의뢰서, HIV 양성자 발견 보고, HIV 감염자 진료비 보조금(후천성면역결핍증 예방법 제8조의292))
 지원대상자의 채무액 등 신용정보(긴급복지지원법 제13조 제7항93))
 국정원의 조직·소재지 및 정원(국가정보원법 제8조94))
 국회에서의 비공개 회의내용(국회법 제118조 제4항95))
 학교폭력대책심의위원회 회의록(학교폭력 예방 및 대책에 관한 법률 제21조96) 및 시행령 제33조)
 노동위원회의에서 비공개 의결한 노동위원회 회의록(노동위원회법 제19조97))
 공무원 징계위원회 회의에 참여할 또는 참여한 위원의 명단, 회의록 등 (국가공무원법 제81조, 공무원징계령 제20조)</t>
    </r>
  </si>
  <si>
    <r>
      <rPr>
        <rFont val="맑은 고딕"/>
        <b/>
        <color theme="1"/>
        <sz val="11.0"/>
      </rPr>
      <t xml:space="preserve">1234_국민신문고_사용자지침서_민원_v17.pdf[16~17p]
-----
</t>
    </r>
    <r>
      <rPr>
        <rFont val="맑은 고딕"/>
        <color theme="1"/>
        <sz val="11.0"/>
      </rPr>
      <t>01 민원업무 개요
1.1. 민원업무 개요
[그림]
① 국민신문고 또는 기관홈페이지 등을 통해 민원인이 민원을 신청한다.
12
② 민원인은 반드시 처리를 원하는 기관을 지정하여 민원을 신청해야 한다. 기관 선택
방법은 시스템에서 추천하는 처리기관을 선택하거나, 민원인이 직접 희망하는 기관을 입력, 검색하여 선택하는 두가지 방식이 제공된다. ③ 신청된 민원이 우리 기관 소관사항일 경우 민원을 접수</t>
    </r>
    <r>
      <rPr>
        <rFont val="MS UI Gothic"/>
        <color theme="1"/>
        <sz val="11.0"/>
      </rPr>
      <t>․</t>
    </r>
    <r>
      <rPr>
        <rFont val="맑은 고딕"/>
        <color theme="1"/>
        <sz val="11.0"/>
      </rPr>
      <t>처리하고, 소관사항이
아니거나 다수기관에서 처리해야 될 민원이라고 판단되면 이송, 다부처지정 또는 총괄기관(권익위)로 조정요청을 한다. ④ 처리기관의 분류담당자는 처리부서를 단계적으로 지정한다. 부서 자동분류 기능을 활용하면 신청단계에서 처리부서를 자동으로 배정하며, 접수단계에서는
처리부서 추천정보를 제공한다. ⑤ 해당민원이 협조처리민원 대상민원이라고 판단될 경우 협조기관 또는 협조부서를 지정하여 협조처리민원으로 지정한다. ⑥ 접수된 민원이 해당부서에서 처리할 민원이면 처리할 담당자를 지정하고, 소관사항이 아니면 부서재지정을 요청한다. ⑦ 해당민원이 처리담당자가 처리할 민원이면 해당민원을 처리하고, 소관사항이 아니면 담당자재지정을 요청한다. ⑧ 민원인에게 처리결과를 통보한다. ⑨ 민원인이 신청한 민원에 대해 처리결과를 확인하고 만족도조사를 한다.</t>
    </r>
  </si>
  <si>
    <t>필수 이수 교육종류를 알려주세요</t>
  </si>
  <si>
    <t>엑셀, 한글 등 SW프로그램을 새로 다운받는 방법을 알려주세요</t>
  </si>
  <si>
    <t>네, 알겠습니다! 엑셀이나 한글 같은 소프트웨어 프로그램을 새로 다운로드 받는 방법에 대해 안내해 드릴게요.
1. 마이크로소프트 오피스(Microsoft Office) 설치 방법
웹 브라우저 열기: 먼저 컴퓨터에서 웹 브라우저(예: 크롬, 엣지, 파이어폭스 등)를 열어주세요.
오피스 홈페이지 접속: 주소창에 office.com 또는 microsoft.com/office를 입력하여 Microsoft Office 공식 웹사이트에 접속합니다.
Office 구매 또는 로그인: 페이지 상단이나 우측에 있는 “Office” 메뉴를 클릭하거나, 화면에 표시된 “지금 구입” 또는 “로그인” 버튼을 눌러주세요.
구독 옵션 선택: 만약 이미 Microsoft 계정이 있다면 로그인을 하고, 없다면 새로운 계정을 만들어 주세요. 그리고 원하는 Office 구독 플랜을 선택합니다. 일반적으로 가정용, 학생용, 비즈니스용으로 나뉘어 있습니다.
설치 시작: 선택한 플랜에 따라 결제 과정을 거친 후, “설치” 또는 “다운로드” 버튼을 클릭하여 설치를 진행합니다.
설치 완료: 설치 마법사의 지시에 따라 설치를 완료하면, 이제 엑셀, 워드, 파워포인트 등을 사용할 수 있게 됩니다.
2. 한컴오피스(Hancom Office) 설치 방법
웹 브라우저 열기: 마찬가지로 웹 브라우저를 열고, 주소창에 hancom.com을 입력하여 한컴오피스 공식 웹사이트에 접속합니다.
제품 찾기: 메인 화면에서 "한컴오피스"를 찾아 클릭합니다.
구매 또는 체험판 다운로드: 제품 페이지에서 “체험판 다운로드” 또는 “구매하기” 옵션을 선택합니다.
설치 파일 다운로드: 다운로드 링크를 통해 설치 파일을 받습니다.
설치 시작: 다운로드한 설치 파일을 실행하여 설치 마법사를 따릅니다.
라이선스 인증: 설치 후에는 제공된 시리얼 번호나 온라인 인증을 통해 정품 사용을 인증해야 합니다.
주의사항:
정품 사용 권장: 소프트웨어는 저작권법에 의해 보호받고 있으므로, 반드시 합법적인 방법으로 구매하거나 이용하셔야 합니다.
시스템 요구 사항 확인: 설치하려는 소프트웨어가 현재 사용 중인 컴퓨터의 운영 체제와 하드웨어 사양을 충족하는지 확인해 주세요.
보안 업데이트 유지: 설치된 소프트웨어는 정기적으로 업데이트를 받아 최신 보안 상태를 유지하는 것이 중요합니다.
추가 도움이 필요하시면 언제든지 말씀해 주세요! 다른 궁금한 점이나 필요한 정보가 있으면 도와드릴게요.</t>
  </si>
  <si>
    <t>ㆍ316_2501_자치행정과_업무편람_자치행정과_부산시_주민자치회_홈페이지_운영_매뉴얼250101_기준.pdf (p.13)
https://busanai.busan.go.kr/download/316_2501_자치행정과_업무편람_자치행정과_부산시_주민자치회_홈페이지_운영_매뉴얼250101_기준.pdf
ㆍ330_2112_정보화정책과_업무매뉴얼_정보화정책과_FDR개인정보보호솔루션서무_관리자_가이드_V2.pdf (p.9)
https://busanai.busan.go.kr/download/330_2112_정보화정책과_업무매뉴얼_정보화정책과_FDR개인정보보호솔루션서무_관리자_가이드_V2.pdf
ㆍ188_2412_세정정책담당관_공문붙임_세정정책담당관_e호조_예산결산_매뉴얼33-40p_64-66p_참고.pdf (p.112)
https://busanai.busan.go.kr/download/188_2412_세정정책담당관_공문붙임_세정정책담당관_e호조_예산결산_매뉴얼33-40p_64-66p_참고.pdf</t>
  </si>
  <si>
    <t>업무용 프로그램에 대한 다운로드 경로에 대한 질의문이라고 해석한다면
관련 근거 : http://99.1.1.29/resources/xf/portal/table.html?  &gt; 행정포털 내 오류조치 안내 링크입니다.
기대답변 : 
http://99.1.1.29/resources/xf/portal/table.html? 해당 링크에서 다운로드 가능합니다. 등의 메시지가 표출되면 될 것 같습니다</t>
  </si>
  <si>
    <t>http://99.1.1.29/resources/xf/portal/table.html? 해당 링크에서 다운로드 가능합니다. 등의 메시지가 표출되면 될 것 같습니다</t>
  </si>
  <si>
    <t>행정포털 오류조치 안내(최신일 : 2024.08.16.)
 행정포털 주소 : http://99.1.1.29/resources/xf/portal/table.html#question4-8
 본 자료는 내부망에서 확인 요청.(매번 자료가 달라질 수 있습니다.)
 [소프트웨어] 설치파일
 Q1. 업무용 소프트웨어 자료실
 키워드 : #자료실#업무용#소프트웨어
 ·SW 점검도구(Inspector 2025)
 (점검도구 다운로드 링크) http://99.1.1.29/resources/xf/portal/Inspector2025_Public_Standalone.zip
 (사용자 매뉴얼 링크) http://99.1.1.29/resources/xf/portal/Inspector2025_manual.pdf
 2025년 소프트웨어 관리 의무 교육 안내 /resources/xf/portal/2025년 소프트웨어 관리 의무 교육 안내.pdf
 [소방재난본부, 상수도사업본부, 구군] 설치 금지 ( 자체 정보화 담당부서 문의)
 ·신규메신저 '네이버 웍스'
  신규 메신저 네이버웍스
  (다운로드 링크) http://99.1.1.29/ http://99.1.1.29/resources/xf/portal/naver_works.zip
 ·한글, MS-Office 프로그램
  한글 2024 설치파일 (다운로드 링크) http://99.1.1.29/resources/xf/portal/HOffice2024.zip
  2024제품번호 (다운로드 링크) http://99.1.1.29/resources/xf/portal/HOFFICE2024.txt
  한글 2022 설치파일 (다운로드 링크) http://99.1.1.29/resources/xf/portal/HOffice2022.zip
  2022제품번호 (다운로드 링크) http://99.1.1.29/resources/xf/portal/HOFFICE2022.txt
  MS-Office 2024 LSTSC ProPlus 64bit 설치파일(제품번호는 정보화정책과 SW담당자 문의
  (다운로드 링크) http://99.1.1.29/resources/xf/portal/MS_Office_2024_Kor.zip
  MS-Office 2024 제품번호 http://99.1.1.29/resources/xf/portal/MSOFFICE2024.txt
  MS-Office 2021 LTSC ProPlus 64bit 설치파일(제품번호는 정보화정책과 SW담당자 문의
  (다운로드 링크) http://99.1.1.29/resources/xf/portal/Office2021_64bit.zip
  MS-Office 2021 제품번호 http://99.1.1.29/resources/xf/portal/MSOFFICE2021.txt
  MS-Office 2021 LTSC ProPlus 32bit 설치파일(제품번호는 정보화정책과 SW담당자 문의
  (다운로드 링크) http://99.1.1.29/resources/xf/portal/Office2021_32bit.zip
 ·한글 설치 후 문서가 깨져서 나올때
  - 한글과컴퓨터 사이트 &gt; 지원 &gt; 다운로드 센터 &gt; 다운로드 &gt; 한컴오피스 &gt; 한컴오피스 버전별 '기능' 설치 https://www.hancom.com/support/downloadCenter/download
 ·주의사항(필독)
  소프트웨어(SW) 불법복제 사용 금지 및 정품 사용 문화 정착에협조하여 주시기 바랍니다.
 ·직원 1인당 오피스 1본, 한글 1본 사용 (여러버전 설치 금지 및 1회만 설치 가능)
 ·SW 설치때마다 제조사 온라인 확인됨으로 업무 외 개인용도 사용 및 설치 금지
 Q2. PC 보안취약점 점검시스템(안랩지키미) 설치파일
 키워드 : #보안#취약점#안랩지키미#점검#소프트웨어#보안취약점#ie11#제거
 ·PC보안취약점 점검시스템(안랩지키미) 설치파일
 [소방재난본부, 상수도사업본부, 구군] 설치 금지 ( 자체 정보화 담당부서 문의)
 (다운로드 링크) http://99.1.1.29/resources/xf/portal/V3AgentSetup.exe"
 Q3. 인터넷 익스플로러(ie11) 설치파일
 키워드 : #ie11#설치
 · ie 설치파일 링크 : http://99.1.1.29/resources/xf/portal/EIE11_KO-KR_WOL_WIN7.EXE</t>
  </si>
  <si>
    <t>한글 다운로드 받는 방법, 엑셀 다운로드 받는 방법, 소프트웨어 프로그램 다운로드 받는 방법</t>
  </si>
  <si>
    <t>근거문서 : 인사과 자주찾는 질문 7P
기대답변 
1. 실물 공무원증(플라스틱 카드) 신청 절차
 - 차세대 인사랑시스템(인사마당탭-공무원증신청 메뉴)에서 발급 신청을
합니다.
 - 신청구분은 ‘실물공무원증'을 체크합니다.
 - 부서장 결재 등 내부 승인 절차를 거칩니다.
 - 증명사진을 함께 제출하거나 인사정보에 등록된 사진으로 신청할 수
있습니다.
2. 모바일 공무원증 신청 절차
 - 차세대 인사랑시스템(인사마당탭-공무원증신청 메뉴)에서 발급 신청을
합니다.
 - 신청구분은 ‘모바일 공무원증'을 체크합니다.
 - 부서장 결재 등 내부 승인 절차를 거칩니다.
 - 신청이 완료되면 SMS로 발급 준비 완료 안내가 오고, 안내된 설치
 - URL을 통해 모바일 공무원증 앱을 설치합니다.
 - 앱에서 본인 확인 및 비밀번호 설정 후 사용이 가능합니다.
 - 모바일 공무원증으로 청사출입은 현재 불가능합니다.
3. 소요 기간
 - 실물 및 모바일 공무원증 모두 신청 후 수령까지 약 3~4주가 소요됩니다.
 - 실제로는 기관 사정에 따라 3주보다 더 오래 걸릴 수 있습니다.</t>
  </si>
  <si>
    <t>행정포털 비밀번호 초기화 방법 알려주세요</t>
  </si>
  <si>
    <t>네, 행정포털 비밀번호 초기화는 다음과 같은 방법으로 진행하실 수 있습니다.
초기화 비밀번호 사용:
초기화 비밀번호는 일반적으로 a12345와 같습니다.
이 비밀번호를 사용하여 로그인을 시도해 보세요.
만약 초기화 비밀번호로도 로그인이 되지 않는다면, 시스템 오류나 다른 문제가 있을 수 있으니 다음 단계로 넘어갑니다.
고객 지원 센터 문의:
행정포털의 고객 지원 센터나 IT 지원 부서에 연락하여 비밀번호 초기화를 요청하세요.
이때, 본인 확인을 위해 개인 정보나 인증 절차를 거칠 수 있습니다.
예를 들어, 주민등록번호, 소속 부서 등의 정보를 제공해야 할 수도 있습니다.
안전한 비밀번호 설정:
비밀번호를 새로 설정할 때는 보안을 위해 영문, 숫자, 특수문자를 조합하여 8자리 이상으로 만드세요.
이전에 사용한 비밀번호와는 다르게 설정하는 것이 좋습니다.
자동 로그인 해제 및 주의 사항:
비밀번호를 변경하거나 초기화한 후에는 자동 로그인 기능이 해제될 수 있으니, 다시 활성화하려면 해당 옵션을 선택하고 새로운 비밀번호를 입력해야 합니다.
중요한 정보가 담긴 계정이므로 비밀번호 관리에 유의해 주세요.
위의 단계를 따라도 문제가 해결되지 않거나 추가적인 도움이 필요하다면, 구체적인 상황이나 에러 메시지를 제공해 주시면 더 정확한 도움을 드릴 수 있습니다. 또한, 기관마다 절차가 다를 수 있으니 공식 매뉴얼이나 공지사항을 확인하는 것도 중요합니다. 도움이 되셨길 바라며, 추가로 궁금한 점이 있으시면 언제든지 말씀해 주세요!</t>
  </si>
  <si>
    <t>ㆍ331_2112_정보화정책과_업무매뉴얼_정보화정책과_부서관리자_매뉴얼자료유출방지시스템_DRM_v50_비번초기화.pdf (p.3)
https://busanai.busan.go.kr/download/331_2112_정보화정책과_업무매뉴얼_정보화정책과_부서관리자_매뉴얼자료유출방지시스템_DRM_v50_비번초기화.pdf
ㆍ359_2412_정보화정책과_업무매뉴얼_정보화정책과_설치방법_및_조치사항_안내자료유출방지시스템_DRM_v50.pdf (p.2)
https://busanai.busan.go.kr/download/359_2412_정보화정책과_업무매뉴얼_정보화정책과_설치방법_및_조치사항_안내자료유출방지시스템_DRM_v50.pdf</t>
  </si>
  <si>
    <t>직원 전출, 휴직, 복직 시 처리해야 하는 행정 절차가 궁금합니다.</t>
  </si>
  <si>
    <t xml:space="preserve">339번 답변에서 관련 내용이 나와서 첨부합니다.
근거문서 : ㆍ1271_페이지128_문서1_164438_부산광역시_지방공무원_근무_규칙.pdf (p.1)
https://busanai.busan.go.kr/download/1271_페이지128_문서1_164438_부산광역시_지방공무원_근무_규칙.pdf
기대답변 :
소속 직원이 전보, 파견, 전출, 휴직, 정직, 직위해제, 면직 등의 명령을 받았을 때는 다음과 같은 절차를 따라야 합니다.
미결사항 정리: 현재 맡고 있는 업무 중에서 완료되지 않은 사항들을 정리해야 합니다. 이는 후임자나 관련 부서가 업무를 원활히 이어받을 수 있도록 하기 위함입니다.
문서 및 물품 목록 작성: 보관 중인 모든 문서와 물품을 목록화해야 합니다. 이때 중요한 문서나 물품에 대해서는 상세 설명을 추가하면 더욱 효과적입니다.
업무 인계 대상 확인: 위의 작업을 마친 후에는 해당 업무를 누구에게 인계할지 결정해야 합니다. 일반적으로 상급 감독자나 조직에서 지정한 인계 대상이 있습니다.
인계 실시: 준비한 자료와 함께 업무를 지정된 인계 대상자에게 전달합니다. 이 과정에서 충분한 설명과 협의를 통해 업무 연속성을 확보해야 합니다.
이러한 절차는 조직 내에서 업무의 지속성과 효율성을 유지하기 위해 중요합니다. 또한, 이러한 과정은 조직의 내부 규정이나 지침에 따라 진행되며, 구체적인 절차는 각 기관마다 다를 수 있으므로 소속된 기관의 규정을 참고하시는 것이 좋습니다. 만약 더 자세한 정보가 필요하시다면, 해당 기관의 인사 담당 부서나 관련 부서에 문의하시면 정확한 안내를 받으실 수 있을 것입니다. 도움이 되셨길 바랍니다!
</t>
  </si>
  <si>
    <r>
      <rPr>
        <rFont val="맑은 고딕"/>
        <b/>
        <color rgb="FF000000"/>
        <sz val="11.0"/>
      </rPr>
      <t>1271_페이지128_문서1_164438_부산광역시_지방공무원_근무_규칙.pdf[1]</t>
    </r>
    <r>
      <rPr>
        <rFont val="맑은 고딕"/>
        <color rgb="FF000000"/>
        <sz val="11.0"/>
      </rPr>
      <t xml:space="preserve">
-----
</t>
    </r>
    <r>
      <rPr>
        <rFont val="맑은 고딕"/>
        <color rgb="FFFF0000"/>
        <sz val="11.0"/>
      </rPr>
      <t>[기대 답변에 대한 내용은 없는 것 같음. 확인 필요]</t>
    </r>
    <r>
      <rPr>
        <rFont val="맑은 고딕"/>
        <color rgb="FF000000"/>
        <sz val="11.0"/>
      </rPr>
      <t xml:space="preserve">
-----
부산광역시 지방공무원 근무 규칙
(일부개정) 2007-01-31 규칙 제 3544호 (행정기구 설치 조례 시행규칙)
관리책임부서명 : 인사과
관리책임전화번호 : 051-888-1951
제1조(목적) 이 규칙은 부산광역시지방공무원(이하 “공무원“이라 한다)의 근무에 관한 사항을 규정함을 목적으로 한다.
제2조(근무기강의 확립) 각급기관의 장은 엄정한 근무기강의 확립을 위하여 노력하여야 한다.
제3조(근무상황부 등의 비치 및 관리) ①각급기관의 장은 소속공무원의 복무관리를 위하여 별지 제1호서식의 근무상황부를 개인별
로 비치하여야 한다.
②근무상황부는 각급기관의 실·국·본부·과·담당관실·팀(이하 "부서"라 한다)별로 관리한다. 다만, 각급기관의 특성상 기관전체 또는
계단위로 관리할 필요가 있다고 인정되어 각급기관의 장이 달리 정하는 경우에는 그러하지 아니하다.&lt;개정 2007. 1. 31&gt;
③각급기관의 장이 특히 필요하다고 인정하는 경우에는 별지 제1호서식의 근무상황부 대신 별지 제2호서식의 근무상황카드를 비
치·관리할 수 있다.
④근무상황부 또는 근무상황카드 관리담당 기관의 장 또는 부서의 장은 소속공무원이 전보·파견·파견복귀 또는 전출된 때에는 전년
도 및 당해연도의 근무상황부 또는 근무상황카드의 사본을 지체 없이 전보·파견·파견복귀 또는 전출된 기관 또는 부서에 송부하여
야 한다.
제4조(근무상황의 관리) ①공무원의 근무상황은 근무상황부 또는 근무상황카드에 의하여 관리한다.
②공무원이 휴가·지참·조퇴 및 외출과 「공무원여비규정」 제18조의 규정에 의한 근무지내 출장을 하고자 하는 때에는 근무상황부 또
는 근무상황 카드에 의하여 사전에 허가를 받지 못한 경우에는 사후에 지체없이 허가를 받아야 한다.&lt;개정 2005. 2. 16&gt;
③공무원이 허가를 받지 아니하고 출근하지 아니한 때에는 근무상황부 또는 근무상황카드에 결근으로 처리한다.
제5조(휴가의 절차) 공무원이 휴가를 가고자 할 때에는 근무상황부 또는 근무상황카드에 의하여 사전에 소속기관의 장이 정하는 감
독자의 허가를 받아야 한다. 다만, 불가피한 사유로 사전에 허가를 받지 못한 경우에는 제4조제2항 단서의 규정에 불구하고 휴가당
일 정오까지 소정의 절차를 취하여야 하며, 이 경우는 다른 공무원으로 하여금 신청을 대행하게 할 수 있다.
제6조(출장의 절차) ①공무원이 「공무원여비규정」 제18조의 규정에 의한 근무지내 출장이나 상시출장을 하고자 하는 때에는 근무
상황부에 의하여, 그 이외의 출장을 하고자 하는 때에는 별지 제3호서식의 출장신청서에 의하여 사전에 소속기관의 장이 정하는 감
독자의 허가를 받아야 한다. 다만, 불가피한 사유로 허가를 받지 못한 경우에는 사후에 지체없이 허가를 받아야 한다.&lt;개정 2005.
2. 16&gt;
②업무성격상 상시 출장하는 공무원에 대하여는 제3조제1항의 규정에 불구하고 소속기관의 장은 출장기록을 위한 별도의 근무상
황부를 비치할 수 있다.
제7조(업무의 인계) ①공무원이 전보·파견·전출·휴직·정직·직위해제·면직 등의 명령을 받은 때에는 지체없이 담당업무중 미결사항
및 보관하던 문서·물품의 목록을 작성하고 필요한 것은 설명서를 붙여 소속기관의 장 또는 상급감독자가 지정하는 자에게 업무를
인계하여야 한다.
②공무원이 출장·휴가 등으로 인하여 근무지를 장기간 이탈하게 된 때에는 그 담당업무를 직근 감독자가 지정하는 자에게 인계하여
야 한다.
제8조(서류보관등) 공무원이 퇴근하는 때에는 문서 및 물품을 잠금장치가 된 지정 서류함에 보관하여야 한다. 이 경우 유가증권 및
비밀문서 등 특별한 관리가 필요한 문서 및 물품의 경우에는 일반문서 및 물품과 별도로 보관하여야 한다.</t>
    </r>
  </si>
  <si>
    <t>윈도우10 기술지원 중단으로 컴퓨터 사양 확인을 위해 TPM 확인을 하려는데 조회가 안됩니다.</t>
  </si>
  <si>
    <t>장기 병가 사용 시 급여 및 수당, 연가 등에 대한 조정 사항이 궁금합니다.</t>
  </si>
  <si>
    <t>관련 내용에 대한 일괄 정리되어 있는 근거문서가 없습니다.
여러 규정등을 종합적으로 판단해서 답변을 생성해야해서 힘들거 같습니다
기대답변 : 
OO에 대한 관련 문서가 없습니다.
자세한 사항은 관련 부서나 업무 담당자에게 문의하시기 바랍니다.</t>
  </si>
  <si>
    <t>관내출장 시 18:00 이후 복귀하여도 출장 시간 인정이 되는지 궁금합니다.</t>
  </si>
  <si>
    <t>관내출장 시 근무 시간(초과근무) 외 복귀할 때 출장시간 인정 여부에 대한 안내, 18시 출장 복귀 시 근무시간 포함(인정) 여부 안내</t>
  </si>
  <si>
    <t>교육 이수 관련하여 연간 충족해야하는 시간과 인정되는 시간이 궁금합니다.</t>
  </si>
  <si>
    <t>예산 수시 배정 절차가 궁금합니다.</t>
  </si>
  <si>
    <t>예산의 수시 배정은 정부나 지방자치단체에서 예산이 필요한 시기에 맞춰 수시로 예산을 배정하는 절차를 말합니다. 이는 긴급한 필요나 예상치 못한 상황에 대응하기 위해 사용됩니다.
부산광역시의 예산 수시 배정 절차는 다음과 같습니다:
필요성 확인: 부서나 기관에서 특정 사업에 대한 예산 지원이 필요하다는 요청이 접수됩니다. 이때 사업의 목적, 규모, 시급성 등이 고려됩니다.
사전 검토: 해당 요청은 내부적으로 우선순위를 판단하고 타당성을 검토합니다. 이를 통해 예산 배정의 적합성과 효율성을 평가합니다.
예산 담당 부서 협의: 관련 부서와의 협의를 통해 예산 배정에 대한 의견을 조율합니다. 이는 중복 투자 방지나 자원 최적화를 위한 과정입니다.
예산 조정: 현재 예산 내에서 자원을 재배분하거나 추가적인 예산 편성이 필요할 수 있습니다. 이에 따라 예산 조정이 이루어집니다.
결재 라인 통과: 예산 배정 권한이 있는 상급자의 결재를 받습니다. 이는 조직의 정책 방향과 일치하는지 확인하는 단계입니다.
예산 배정: 최종 승인이 나면 예산이 공식적으로 배정되며, 해당 사업은 추진될 수 있게 됩니다.
사후 관리: 예산 사용 현황을 지속적으로 모니터링하며, 필요 시 추가적인 조치를 취합니다.
이러한 절차를 통해 부산시는 유연하게 예산을 운용하면서도 투명성과 효율성을 유지하고 있습니다. 구체적인 절차나 세부 내용은 조직의 내부 규정이나 지침에 따라 다를 수 있으므로, 정확한 정보를 위해서는 부산시청의 예산 담당 부서에 문의하시는 것이 좋습니다. 도움이 더 필요하시면 언제든지 말씀해 주세요!</t>
  </si>
  <si>
    <r>
      <rPr>
        <rFont val="Malgun Gothic"/>
        <color theme="1"/>
        <sz val="11.0"/>
      </rPr>
      <t xml:space="preserve">근거문서 : 2025년도 지방자치단체 예산편성 운영기준 및 기금운용계획 수립기준 163P
기대답변 :
□ 예산수시배정
</t>
    </r>
    <r>
      <rPr>
        <rFont val="Segoe UI Symbol"/>
        <color theme="1"/>
        <sz val="11.0"/>
      </rPr>
      <t>❍</t>
    </r>
    <r>
      <rPr>
        <rFont val="맑은 고딕"/>
        <color theme="1"/>
        <sz val="11.0"/>
      </rPr>
      <t xml:space="preserve"> 운영절차 : 세출예산집행계획 수정 및 수시배정 요구(사업부서) ⇒ 세출 예산배정계획 조정(예산부서) ⇒ 수시배정 확정(예산부서) ⇒ 관계부서에 통지
</t>
    </r>
    <r>
      <rPr>
        <rFont val="Segoe UI Symbol"/>
        <color theme="1"/>
        <sz val="11.0"/>
      </rPr>
      <t>❍</t>
    </r>
    <r>
      <rPr>
        <rFont val="맑은 고딕"/>
        <color theme="1"/>
        <sz val="11.0"/>
      </rPr>
      <t xml:space="preserve"> 배정방법 : 예산부서는 편성목까지 확정하나, 회계처리 등을 고려하여 통계목까지를 내부적 관리
</t>
    </r>
    <r>
      <rPr>
        <rFont val="Segoe UI Symbol"/>
        <color theme="1"/>
        <sz val="11.0"/>
      </rPr>
      <t xml:space="preserve">
❖</t>
    </r>
    <r>
      <rPr>
        <rFont val="맑은 고딕"/>
        <color theme="1"/>
        <sz val="11.0"/>
      </rPr>
      <t xml:space="preserve">배정 요구
세출예산배정계획에 유보되었으나 사유가 해지되어 사업추진이 가능하거나, 불가피한 사유로 긴급하게 집행할 사유가 발생할 경우, 사업부서는 통계목 단위로 세출예산수시배정요구서를 작성하고 세출예산집행계획을 수정하여 예산부서에 제출
</t>
    </r>
    <r>
      <rPr>
        <rFont val="Segoe UI Symbol"/>
        <color theme="1"/>
        <sz val="11.0"/>
      </rPr>
      <t>❖</t>
    </r>
    <r>
      <rPr>
        <rFont val="맑은 고딕"/>
        <color theme="1"/>
        <sz val="11.0"/>
      </rPr>
      <t>배정 통보
사업부서로부터 세출예산수시배정요구서가 제출된 경우, 예산부서는 배정에 따른 결격사유가 없을 때에는 지체 없이 세출예산배정계획을 수정하고 수시 배정 확정 후 관련부서에 통보</t>
    </r>
  </si>
  <si>
    <t>□ 예산수시배정
 ❍ 운영절차 : 세출예산집행계획 수정 및 수시배정 요구(사업부서) ⇒ 세출 예산배정계획 조정(예산부서) ⇒ 수시배정 확정(예산부서) ⇒ 관계부서에 통지
 ❍ 배정방법 : 예산부서는 편성목까지 확정하나, 회계처리 등을 고려하여 통계목까지를 내부적 관리
 ❖배정 요구
 세출예산배정계획에 유보되었으나 사유가 해지되어 사업추진이 가능하거나, 불가피한 사유로 긴급하게 집행할 사유가 발생할 경우, 사업부서는 통계목 단위로 세출예산수시배정요구서를 작성하고 세출예산집행계획을 수정하여 예산부서에 제출
 ❖배정 통보
 사업부서로부터 세출예산수시배정요구서가 제출된 경우, 예산부서는 배정에 따른 결격사유가 없을 때에는 지체 없이 세출예산배정계획을 수정하고 수시 배정 확정 후 관련부서에 통보</t>
  </si>
  <si>
    <t>163</t>
  </si>
  <si>
    <t>□ 예산수시배정
 ❍ 운영절차 : 세출예산집행계획 수정 및 수시배정 요구(사업부서) ⇒세출예산배정계획 조정(예산부서) ⇒ 수시배정 확정(예산부서)
 ⇒ 관계부서에 통지
 ❍ 배정방법 : 예산부서는 편성목까지 확정하나, 회계처리 등을 고려하여 통계목까지를 내부적 관리
 ❖ 배정 요구
 세출예산배정계획에 유보되었으나 사유가 해지되어 사업추진이 가능하거나,
 불가피한 사유로 긴급하게 집행할 사유가 발생할 경우, 사업부서는 통계목단위로 세출예산수시배정요구서를 작성하고 세출예산집행계획을 수정하여
 예산부서에 제출
 ❖ 배정 통보
 사업부서로부터 세출예산수시배정요구서가 제출된 경우, 예산부서는 배정에
 따른 결격사유가 없을 때에는 지체 없이 세출예산배정계획을 수정하고 수시배정 확정 후 관련부서에 통보</t>
  </si>
  <si>
    <t>예산 수시 배정 절차 안내</t>
  </si>
  <si>
    <t>사무실 물품 고장 또는 파손 시 청사 내에서 자체적으로 수리를 해주실 수 있는지 궁금합니다.</t>
  </si>
  <si>
    <t>일상경비 교부대상 및 교부제외대상을 알고 싶어요</t>
  </si>
  <si>
    <t>일상경비 교부 대상 및 범위 
① 201일반운영비 -&gt;한도없음
- 01. 사무관리비: 건당 천만원 미만의 경비*임차료(건당300만원미만)
- 02. 공공운영비:공공요금및제세, 차량선박비
- 03. 행사운영비: 건당 천만원미만경비*임차료(건당300만원미만)
② 202여비 : 국내여비,원액여비 -&gt;한도 1천만원
③ 203업무추진비: 전체통계목 -&gt;한도없음
④ 301일반보전금: 행사실비(건당1천만원미만) -&gt;한도없음
   ★ 교부제외: 국외업무여비, 국제화여비, 공무원교육여비, 피복비, 연구개발비, 자산취득비</t>
  </si>
  <si>
    <t>일상경비 교부대산 및 범위(표) 및 [참고]교부 제외 대상</t>
  </si>
  <si>
    <t>유지관리 정보화사업을 추진하려고 해. 내 사업이 보안성검토 대상인지 알려줘</t>
  </si>
  <si>
    <t>정보화사업에 대한 정보보안 관련사항은 "부산광역시 정보보안업무 지침"에 근거함.
부산광역시 정보보안업무 지침 제14조(검토 생략)에 따라  "다년도에 걸쳐 계속되는 사업으로써 사업 착수 당시 보안성 검토를 완료한 후 사업 내용의 변동 없이 계속 추진하는 운영·유지사업" 으로 되어 있음.
사업 착수 당시 보안성 검토를 완료했는지 확인이 필요하며, 
사업 내용 역시 변동 없이 계속 추진 사업인지 확인이 필요함.</t>
  </si>
  <si>
    <t>337_2307_부산광역시_업무매뉴얼_부산광역시_부산광역시_정보보안업무지침.pdf</t>
  </si>
  <si>
    <t>17, 18, 19, 20</t>
  </si>
  <si>
    <t>제14조 (검토 생략) 정보화사업담당관은 다음 각 호에 해당하는 정보화사업에 대하여는
보안성 검토 절차의 이행을 생략할 수 있다. 이 경우 정보화사업담당관은 관련 매뉴
얼·가이드라인 등을 준수하는 등 자체 보안대책을 수립·시행하여야 한다.
1. 제12조 각 호의 정보화사업에 해당하지 아니하는 단순 장비·물품 도입
2. 제13조에 따른 보안성 검토를 거쳐 완료한 정보화사업에 대하여 정보통신망
구성을 변경하지 아니하는 범위 내에서 다음 각 목의 사항을 포함한
후속운영·유지보수·컨설팅(단일 회선의 이중화는 본 호를 적용함에 있어
정보통신망 구성의 변경이 아닌 것으로 본다)
가. 서버·스토리지·네트워크장비 등 장비 노후화로 인한 단순 장비 교체
나. 전화기·무전기·CCTV 등 통신·영상기기의 노후화로 인한 단순 장비 교체
다. 기존 운용하던 정보보호시스템을 같은 보안 기능을 보유한 다른 정보보호시스
템으로 교체
3. 다년도에 걸쳐 계속되는 사업으로써 사업 착수 당시 보안성 검토를 완료한 후
사업 내용의 변동 없이 계속 추진하는 운영·유지사업
4. PC·프린터 및 상용 소프트웨어 등 단순제품 교체</t>
  </si>
  <si>
    <t>정보시스템을 도입했는데, 로그 기록해야 한다고 하는데, 저장 기간과 관련 근거 조항 알려줘</t>
  </si>
  <si>
    <t>부산광역시 정보보안업무 지침 제47조(로그기록 유지)에 따라, 정보시스템 정보시스템 관리자는 로그기록을 1년 이상 보관하여야 하며 로그기록의 위·변조 및
외부유출 방지대책을 수립·시행하여야 함.
따라서 1년 이상 보관하여야 하고, 관련 조항은 부산광역시 정보보안업무 지침 제47조임</t>
  </si>
  <si>
    <t>35, 36</t>
  </si>
  <si>
    <t>제47조 (로그기록 유지) ① 분임정보보안담당관은 정보시스템의 효율적인 통제·관리 및
사고 발생 시 추적 등을 위하여 로그기록을 유지·관리하여야 한다.
② 제1항에 따른 로그기록에는 다음 각 호의 사항이 포함되어야 한다.
1. 접속자, 정보시스템·응용프로그램 등 접속대상
2. 로그온·오프, 자료의 열람·출력 등 작업 종류 및 시간
3. 접속 성공·실패 등 작업 결과
4. 전자우편 사용 등 외부발송 정보 등
③ 정보시스템 관리자는 로그기록을 생성하는 정보시스템의 경우 시간 동기화 프로토
콜(NTP) 적용 등을 통해 정확한 기록을 유지하여야 한다.
④ 정보시스템 관리자는 로그기록을 정기적으로 점검하고 점검 결과 비(非)인가자의
접속 시도, 자료의 위·변조 및 삭제 등 의심스러운 정황이나 위반한 사실을 발견한 경
우 즉시 정보보안담당관에게 통보하여야 한다.
⑤ 정보시스템 관리자는 로그기록을 1년 이상 보관하여야 하며 로그기록의 위·변조 및
외부유출 방지대책을 수립·시행하여야 한다.</t>
  </si>
  <si>
    <t>정보화사업을 추진하는데, 보안관련하여 착수단계 챙겨야 할 사항을 알려줘</t>
  </si>
  <si>
    <t>정보화사업 단계별 준수사항에 대해 "부산광역시 정보화용역사업 보안관리 매뉴얼"에서 안내하고 있음
"부산광역시 정보화용역사업 보안관리 매뉴얼" 제4장 사업수행 단계, 제1절 참여인원에 대한 보안관리 에 따라 다음 사항을 준수해야 함. 
1. 참여인원 신원확인
2. 보안서약서 징구
3. 보안교육 실시
4. 용역사업 참여인원 보안점검 실시</t>
  </si>
  <si>
    <t>2207_정보화정책과_업무매뉴얼_부산광역시_정보화용역사업_보안관리_매뉴얼.pdf</t>
  </si>
  <si>
    <t>15, 16</t>
  </si>
  <si>
    <t>제4장 사업수행 단계
4장에서는 정보화 용역사업 수행 단계에서 적용해야 하는 보안사항을 설명
한다. 참여인원, 사무실·장비, 내·외부망, 자료에 대한 보안관리 사항을 포
함한다.
제1절 참여인원에 대한 보안관리</t>
  </si>
  <si>
    <t xml:space="preserve">행사에 따른 행사실비지원금을 지출해야 하는데, 회계과 의뢰인지, 부서내 일상경비로 처리해야하는지 알려줘. </t>
  </si>
  <si>
    <t xml:space="preserve">회계재산담당관 "2025년도 일상경비 교부·운영계획"에서 2025년 일상경비 교부 대상을 정하고 있음.
행사실비지원금의 경우 "건당 천만원 미만의 경비"의 경우 교부 대상이므로 
건당 금액 상한을 확인해야 함.
건당 천만원 미만의 경우 일상경비로 처리하고,
건당 천만원이상의 경우 회계과로 의뢰해야 함. </t>
  </si>
  <si>
    <r>
      <rPr>
        <rFont val="Malgun Gothic"/>
        <strike/>
        <color theme="1"/>
        <sz val="12.0"/>
      </rPr>
      <t>1,</t>
    </r>
    <r>
      <rPr>
        <rFont val="Malgun Gothic"/>
        <color theme="1"/>
        <sz val="12.0"/>
      </rPr>
      <t xml:space="preserve"> 5</t>
    </r>
  </si>
  <si>
    <t>301일반보전금 &gt; 11.행사실비지원금 &gt; 건당 천만원 미만의 경비</t>
  </si>
  <si>
    <t>정기인사철에 휴대용 저장매체(usb) 사용방법에 대해 안내해줘</t>
  </si>
  <si>
    <t>국가정보원 국가 정보보안 기본지침 제66조(비공개 업무자료 처리)에 따라 업무용 PC 자료 반출은 부서 웹하드, 공직자통합메일, 온-나라메일, 보안USB등을 이용해야 합니다. 예외적으로 대용량 자료등 부득이하게 일반 USB 사용시 휴대용저장매체 해제는 공문에 의거하여 허용해야 하지만 인사철에 휴대용저장매체 사용은 신청자 증가로 인해 일시적으로 시스템으로 신청 받으며 반드시 정보화정책과에서 별도 공문 시행시(정기인사에 따른 휴대용 저장매체 사용 방법 안내 등)에만 가능합니다
정기인사 발령에 따른 휴대용 저장매체(USB 등) 사용 방법을 다음과 같이 안내하니 인계인수 등에 참고 하시기를 바랍니다.
※ 위반자는 「부산광역시 정보보안업무 지침」 정보보안 위반사항 처리기준(별표 3)에 따라 처벌할 수 있음
※ 비인가 휴대용 저장매체는 보안정책에 따라 사용 금지할 수 있으니 개인 자료는 업무용 PC에 저장 금지
나. 신청방법: 보안USB 사용자 매뉴얼(붙임1) 참고 ※신청 후 1시간 이후 확인
다. 주의사항: 비밀, 대외비, 비공개 업무자료*는 저장 금지
* 「공공기관의 정보공개에 관한 법률」 제9조 제1항에 따른 비공개 대상 정보 등</t>
  </si>
  <si>
    <t>2506_정기인사에_따른_휴대용_저장매체USB_등_사용_방법_안내.pdf</t>
  </si>
  <si>
    <r>
      <rPr>
        <rFont val="Malgun Gothic"/>
        <color theme="1"/>
        <sz val="12.0"/>
      </rPr>
      <t xml:space="preserve">국가정보원 국가 정보보안 기본지침 제66조(비공개 업무자료 처리)
제66조(비공개 업무자료 처리) ① 공무원등은 비공개 업무자료를 다음 각 호의 어느 하나에 해당하는 방법으로만 처리하여야 한다.
    1. 소속 또는 근무중인 기관의 내부망 PC 및 서버에 작성 및 저장ㆍ보관 
    2. 소속 또는 근무중인 기관의 장이 지급한 휴대용 저장매체에 작성 및 저장ㆍ보관
    3. 다음 각 목의 어느 하나에 해당하는 수단(이하 “업무자료 공식 소통수단” 이라 한다)을 이용한 수ㆍ발신 또는 등재ㆍ열람 &lt;개정 2020.7.1.&gt; 
     가. 소속 또는 근무중인 기관의 장이 자체적으로 구축ㆍ운용하는 전자우편시스템(이하 “기관 전자우편”이라 한다)
     나. 공무원등이 공동으로 사용할 목적으로 문화체육관광부장관이 구축ㆍ운용하는 전자우편시스템(이하 “공직자통합메일”이라 한다)
     다. 공무원등이 다른 공무원등과 자료를 공유하거나 소통하기 위하여 사용하는 전용(專用) 소프트웨어(이하 “공공 전용(專用) 메신저”라 한다)
     라. 국회사무처가 구축ㆍ운용하는 의정자료전자유통시스템 등 기관간 업무자료의 소통 또는 공동 활용을 위해 구축한 정보시스템
    4. 그 밖에 다른 법규에 따라 허용되는 처리방법
  ② 공무원등은 제1항에도 불구하고 다음 각 호의 어느 하나에 해당하는 경우 소속 또는 근무중인 기관의 장이 지급한 인터넷 PC 또는 출장용 노트북을 이용하여 비공개 업무자료를 처리할 수 있다.
    1. 업무자료 공식 소통수단의 발신 또는 등재 기능을 이용하여 제2조제17호다목의 문장 또는 문구 작성 &lt;개정 2020.7.1.&gt; 
    2. 업무자료 공식 소통수단의 수ㆍ발신 또는 등재ㆍ열람 과정에서의 일시적 저장 &lt;개정 2020.7.1.&gt; 
    3. 제40조제5항에 따른 기관 인터넷망 PC에 작성ㆍ저장
    4. 제45조제3항 및 제4항에 따라 영상회의 솔루션을 활용하여 비공개 업무자료의 화면 영상을 공유하기 위한 일시적 저장  &lt;신설 2021.11.1.&gt; 
  ③ 공무원등은 제1항에도 불구하고 다음 각 호의 어느 하나에 해당하는 경우 개인이 소유한 PCㆍ휴대용 저장매체ㆍ휴대폰 등을 이용하여 비공개 업무자료를 처리할 수 있다.
    1. 업무자료 공식 소통수단의 발신 기능 또는 등재 기능을 이용하여 제2조제17호다목의 문장 또는 문구 작성 &lt;개정 2020.7.1.&gt; 
    2. 업무자료 공식 소통수단의 수ㆍ발신 또는 등재ㆍ열람 과정에서의 일시적 저장 &lt;개정 2020.7.1.&gt; 
    3. 제59조제4항에 따른 원격근무시스템에 접속하여 작성 &lt;개정 2020.7.1.&gt; 
    4. </t>
    </r>
    <r>
      <rPr>
        <rFont val="MS Gothic"/>
        <color theme="1"/>
        <sz val="12.0"/>
      </rPr>
      <t>｢</t>
    </r>
    <r>
      <rPr>
        <rFont val="맑은 고딕"/>
        <color theme="1"/>
        <sz val="12.0"/>
      </rPr>
      <t>감염병의 예방 및 관리에 관한 법률</t>
    </r>
    <r>
      <rPr>
        <rFont val="MS Gothic"/>
        <color theme="1"/>
        <sz val="12.0"/>
      </rPr>
      <t>｣</t>
    </r>
    <r>
      <rPr>
        <rFont val="맑은 고딕"/>
        <color theme="1"/>
        <sz val="12.0"/>
      </rPr>
      <t xml:space="preserve"> 제34조제1항에 따른 감염병 위기관리 조치 등 대규모 질병ㆍ재난 발생 등 특별한 사정으로 재택근무를 명받았으나 소속 또는 근무중인 기관에 제59조제4항에 따른 원격근무시스템이 구축되지 아니한 경우 &lt;신설 2020.7.1.&gt; [시행일 : 2020.2.23. 소급]
    5. 제45조제3항 및 제4항에 따라 영상회의 솔루션을 활용하여 비공개 업무자료의 화면 영상을 공유하기 위한 일시적 저장   &lt;신설 2020.7.1., 2021.11.1.&gt; 
    6. 국민의 생명ㆍ신체, 국가안보 및 공공의 안전 등을 위하여 긴급히 작성, 저장, 수ㆍ발신이 필요하다고 소속 또는 근무중인 기관의 장이 인정하는 경우
  ④ 공무원등은 제3항제5호 및 제6호에 해당하는 경우를 제외하고는 </t>
    </r>
    <r>
      <rPr>
        <rFont val="MS Gothic"/>
        <color theme="1"/>
        <sz val="12.0"/>
      </rPr>
      <t>｢</t>
    </r>
    <r>
      <rPr>
        <rFont val="맑은 고딕"/>
        <color theme="1"/>
        <sz val="12.0"/>
      </rPr>
      <t>정보통신망 이용촉진 및 정보보호 등에 관한 법률</t>
    </r>
    <r>
      <rPr>
        <rFont val="MS Gothic"/>
        <color theme="1"/>
        <sz val="12.0"/>
      </rPr>
      <t>｣</t>
    </r>
    <r>
      <rPr>
        <rFont val="맑은 고딕"/>
        <color theme="1"/>
        <sz val="12.0"/>
      </rPr>
      <t xml:space="preserve"> 제2조제1항제2호에 따른 정보통신서비스(전자우편ㆍ메신저 등을 포함한다) 또는 국외에서 제공하는 이와 유사한 서비스(이하 “상용 정보통신서비스”라 한다)를 이용하여 비공개 업무자료를 작성, 저장, 수ㆍ발신하여서는 아니 된다. &lt;개정 2020.7.1.&gt; 
  ⑤ 공무원등은 제2항부터 제4항까지에 따라 작성ㆍ저장한 비공개 업무자료는  활용이 종료된 후에는 삭제하여야 한다. &lt;개정 2020.7.1.&gt; 
  ⑥ 교육현장에서 비공개 업무자료를 처리할 경우 제1항부터 제5항까지를 적용하지 아니한다. 다만, 교육부장관과 시ㆍ도 교육감은 상호 협의하여 학생ㆍ교직원 평가와 관련한 비공개 업무자료 보안관리 방안을 별도 수립ㆍ시행할 수 있다.  &lt;개정 2020.7.1.&gt; </t>
    </r>
  </si>
  <si>
    <t>부서에서 신규 보안USB를 배부 받고 싶어 어떻게 해야해?</t>
  </si>
  <si>
    <t>관련 근거와 처리 절차는 다음과 같음
부산광역시 정보보안업무 지침, 부록2 USB메모리 등 휴대용 저장매체 보안관리지침 제5조(휴대용 저장매체 사용)
1) 각급기관은 휴대용 저장매체를 등록한 후 사용하여야 한다. 
2) 휴대용 저장매체의 등록방법은 제4조제4장에 따른 서식 또는 전자적 관리 시스템으로 등재하는 것을 말한다.
정보화정책과로 휴대용저장매체 배부요청 공문을 보낸다.
포함되어야 할 내용은 휴대용저장매체 유형(일반 비밀I,II,III), 용량(일반, 대용량), 수량, 요청 사유 등이 포함되어야 한다.</t>
  </si>
  <si>
    <t>77, 78, 79, 80, 81</t>
  </si>
  <si>
    <t>부산광역시 정보보안업무 지침, 부록2 USB메모리 등 휴대용 저장매체 보안관리지침 제5조(휴대용 저장매체 사용)
1) 각급기관은 휴대용 저장매체를 등록한 후 사용하여야 한다. 
2) 휴대용 저장매체의 등록방법은 제4조제4장에 따른 서식 또는 전자적 관리 시스템으로 등재하는 것을 말한다.</t>
  </si>
  <si>
    <t>산업단지의 유형(종류)에 대해 구체적으로 알려주세요</t>
  </si>
  <si>
    <t>□ 산업단지 유형
1. 국가산업단지
 · 국가기간산업, 첨단과학기술산업 등 육성
2. 일반산업단지
 · 산업의 적정한 지방 분산을 촉진, 지역경제 활성화
3. 도시첨단산업단지
 · 지식산업, 문화산업, 정보통신산업 등 첨단산업의 육성 및 집적
4. 농공단지
 · 농어촌지역에 농어민의 소득증대를 위한 산업을 유치, 육성</t>
  </si>
  <si>
    <t>산업단지_개발관리_업무편람_20210126.pdf</t>
  </si>
  <si>
    <r>
      <rPr>
        <rFont val="Malgun Gothic"/>
        <strike/>
        <color theme="1"/>
        <sz val="12.0"/>
      </rPr>
      <t>28,</t>
    </r>
    <r>
      <rPr>
        <rFont val="Malgun Gothic"/>
        <color theme="1"/>
        <sz val="12.0"/>
      </rPr>
      <t xml:space="preserve"> 43</t>
    </r>
  </si>
  <si>
    <t>산업입지 및 개발에 관한 법률 제2조 등 본문 내용 표 인용</t>
  </si>
  <si>
    <t>산업단지 개발에 필요한 공공녹지와 도로의 확보기준을 정리해서 알려주세요</t>
  </si>
  <si>
    <t>□ 산업단지 공공녹지·도로 확보기준
○ 산업단지 면적 300만㎡ 이상
1. 공공녹지(공원·녹지)율
 · 10~13% 미만
2. 도로율
 · 10% 이상
○ 산업단지 면적 100만㎡ 이상~300만㎡ 미만
1. 공공녹지(공원·녹지)율
 · 7.5~10% 미만
2. 도로율
 · 10% 이상
○ 산업단지 면적 100만㎡ 미만 
1. 공공녹지(공원·녹지)율
 · 5~7.5% 미만
2. 도로율
 · 8% 이상
 ※ 공공녹지의 최소규모는 500㎡ 이상</t>
  </si>
  <si>
    <r>
      <rPr>
        <rFont val="Malgun Gothic"/>
        <strike/>
        <color theme="1"/>
        <sz val="12.0"/>
      </rPr>
      <t>54, 55, 56, 57,</t>
    </r>
    <r>
      <rPr>
        <rFont val="Malgun Gothic"/>
        <color theme="1"/>
        <sz val="12.0"/>
      </rPr>
      <t xml:space="preserve"> 58</t>
    </r>
  </si>
  <si>
    <t>산업단지계획 통합기준 제14조 등 본문 내용 표 인용</t>
  </si>
  <si>
    <t>택시에 물건을 두고 내렸어요. 
어떻게 해야 돼요?</t>
  </si>
  <si>
    <r>
      <rPr>
        <rFont val="Malgun Gothic"/>
        <color theme="1"/>
        <sz val="12.0"/>
      </rPr>
      <t xml:space="preserve">★ 당직민원 접수하지 말고 민원인에게 바로 안내하세요
★ 택시 차량번호는 모르지만 선불(또는 후불)카드로 결제했을 경우
  ○ 캐시비(마이비카드) 고객센터 : 1644-1472(ARS 3번)
  ○ 티머니카드 고객센터: 1644-1188(ARS 3번)
  ○ 동백택시 고객센터: 1668-3528 전화 후 본인인증
위 3곳에 전화 하면 이용했던 차량번호, 소속회사 연락처 확인 가능해요
</t>
    </r>
    <r>
      <rPr>
        <rFont val="Segoe UI Symbol"/>
        <color theme="1"/>
        <sz val="12.0"/>
      </rPr>
      <t>❍</t>
    </r>
    <r>
      <rPr>
        <rFont val="맑은 고딕"/>
        <color theme="1"/>
        <sz val="12.0"/>
      </rPr>
      <t xml:space="preserve"> 개인택시, 법인택시
    - 개인택시조합 051-500-8500   ※ 택시번호 알 경우
    - 가까운 경찰서 혹은 지구대, 경찰청민원실(☏182)</t>
    </r>
  </si>
  <si>
    <t>당직원_근무자료.pdf</t>
  </si>
  <si>
    <t>잦은 당직민원 처리 안내</t>
  </si>
  <si>
    <t>버스에 물건을 두고 내렸어요
지하철에 물건을 두고 내렸어요
KTX에 물건을 두고 내렸어요
SRT에 물건을 두고 내렸어요
비행기에 물건을 두고 내렸어요</t>
  </si>
  <si>
    <t>★ 당직민원 접수하지 말고 민원인에게 바로 안내하세요
  ○ 시내버스 : 051-791-4500 부산시내버스운송사업조합(버스조합)
  ○ 시외버스
    - 부산종합버스터미널(노포동) : 1577-9956, 051-508-9207
    - 사상서부버스터미널 : 1577-8301, 051-559-1000
    - 해운대시외버스터미널 : 1688-0081, 051-743-0082
    - 해운대수도권정류소 : 1688-7645, 051-746-3550
  ○ 마을버스 : 051-868-9485~6 부산마을버스운송사업조합(마을버스조합) 
  ○ 도시철도 : 051-640-7339 부산교통공사
    - 위    치 : 부산도시철도 1·2호선 서면역 환승통로(지하2층)
    - 운영시간 : 평일 9시~18시
    - 전화번호 : (운영시간) 051-640-7339   (운영시간 外) 051-803-3431
  ○ 철    도 : 051-440-2641 부산역 유실물센터 직통번호(민원인에게 안내×)
    - 철도고객센터(1544-7788) 또는 각 역 유실물센터로 문의
    - 레츠코레일 홈페이지 → 고객센터 → 유실물에서 검색 조회 가능
  ○ 여 객 기 : 051-974-2403(국내선,경찰101호) 051-974-2432(국제선, 경찰100호)
  ○ 개인택시, 법인택시
    - 개인택시조합 051-500-8500   ※ 택시번호 알 경우
    - 가까운 경찰서 혹은 지구대, 경찰청민원실(☏182)
  ○ 경찰청유실물센터 : ☏182, 051-868-0899
    - 습득물(주민등록증 포함)은 아래 사이트에 등록되므로 전화 또는 온라인으로 확인 가능
    - 사이버경찰청(http://www.lost112.go.kr) 유실물마당에서 확인(24시간운영)</t>
  </si>
  <si>
    <t>23, 24</t>
  </si>
  <si>
    <t>고양이 사체가 있어요
비둘기 사체가 있어요</t>
  </si>
  <si>
    <t>고양이, 비둘기 등 동물 사체가 위치한 구군청 당직실로 전화/당직 근무자 메신저 이첩 또는 구군청 당직실 전화번호를 알려주세요
중구 당직실(600-4222), 
서구 당직실(240-4222),
동구 당직실(440-4222),
영도구 당직실(419-4222),
부산진구 당직실(605-4222),
동래구 당직실(550-4222),
남구 당직실(607-4222),
북구 당직실(309-4222)
해운대구 당직실(749-4222),
사하구 당직실(220-4222),
금정구 당직실(519-4222),
강서구 당직실(970-4222),
연제구 당직실(665-4222),
수영구 당직실(610-4222),
사상구 당직실(310-4222),
기장군 당직실(709-4222)</t>
  </si>
  <si>
    <t>가로등이 꺼졌어요
가로등이 깨졌어요</t>
  </si>
  <si>
    <t>★ 신고지역(도로/인도변) 관할 구·군청 당직실로 전화/당직 근무자 메신저 이첩 또는 구·군청 당직실 전화번호를 알려주세요</t>
  </si>
  <si>
    <t>불법 주차 단속해 주세요</t>
  </si>
  <si>
    <t>★ 신고지역 관할 구·군청 당직실 전화번호를 알려주세요
구·군별로 단속반 운영시간과 점심시간 단속유예(조례) 등 차이가 있어요</t>
  </si>
  <si>
    <t>주거지 전용 주차장의 불법 주차 단속해 주세요</t>
  </si>
  <si>
    <t>★ 신고지역 관할 구·군청 당직실 전화번호를 알려주세요
주거지전용 주차장은 관할 구·군의 읍·면·동에서 관리해요</t>
  </si>
  <si>
    <t>공무원의 소속 단체장의 업적홍보 관련 위반사례는?</t>
  </si>
  <si>
    <t>공직선거법 제9조 제1항에 따르면, 공무원 및 정치적 중립을 지켜야 하는 자는 선거에 대한 부당한 영향력을 행사하거나 선거결과에 영향을 미치는 행위를 해서는 안 됩니다. 
또한 같은 법 제85조 제1항 및 제86조 제1항은 특정 정당 또는 후보자(후보자가 되고자 하는 자 포함)의 업적을 홍보하는 행위를 공무원이 하지 못하도록 규정하고 있습니다.
주요 위반 사례로는 다음과 같습니다:
- 공무원이 ‘지방자치대상 최우수상 수상’ 또는 ‘자랑스러운 인물대상 수상’ 등 수상실적을 단체장의 업적과 연계하여 보도자료로 제공한 경우
- 공무원이 여론조사기관에서 실시한 직무수행지지도 평가 결과를 단체장의 업적홍보 자료로 활용 · 제공한 경우
- 해당 단체장의 기여·공로를 직접 기술한 내용 및 수상실적 등이 담긴 보도자료를 작성하여 언론사에 제공한 경우</t>
  </si>
  <si>
    <t>2508_시의회사무처_홍보_부산광역시선거관리위원회_공무원의_소속_단체장_업적홍보_관련_공직선거법_안내.pdf</t>
  </si>
  <si>
    <r>
      <rPr>
        <rFont val="Malgun Gothic"/>
        <strike/>
        <color theme="1"/>
        <sz val="12.0"/>
      </rPr>
      <t>1,</t>
    </r>
    <r>
      <rPr>
        <rFont val="Malgun Gothic"/>
        <color theme="1"/>
        <sz val="12.0"/>
      </rPr>
      <t xml:space="preserve"> 2</t>
    </r>
  </si>
  <si>
    <t>본문 내용 그대로 인용</t>
  </si>
  <si>
    <t>홈페이지 초기화면에 단체장의 인사문·약력·동영상물 등을 게시하는 경우 가능한가요?</t>
  </si>
  <si>
    <t>선관위가 2023년 2월 20일 의결한 ‘지방자치단체 홈페이지 초기화면에 인사문 등 게시 관련 운용기준 변경 결정’에 따라 페이지 초기화면 등에 통상적인 범위 내에서 게시된 경우라면, 그 자체만으로 선거에 영향을 미치는 행위 또는 업적홍보로 보기는 어렵다고 판단하여 「공직선거법」 제85조 제1항 또는 제86조 제1항 제1호에 위반되지 않는 것으로 운용하도록 하였습니다. 다만 게시 시기·내용·목적·형태 등 전체 상황을 고려해야 하며, 이 중 하나라도 선거에 영향을 미칠 우려가 있다고 판단되면 공직선거법상 문제될 수 있습니다.</t>
  </si>
  <si>
    <t>2302_시의회사무처_홍보_중앙선거관리위원회_지방자치단체 홈페이지_초기화면에_인사문_등_게시_관련_운용기준_변경_결정.pdf</t>
  </si>
  <si>
    <t>민원인이 지방자치단체에서 보유하고 개인정보 수집에 대한 동의의 철회를 주장하며 그 파기를 요구하고 있는데 현재 보유하고 있는 개인정보를 파기하여야 하나요?</t>
  </si>
  <si>
    <r>
      <rPr>
        <rFont val="Malgun Gothic"/>
        <color theme="1"/>
        <sz val="12.0"/>
      </rPr>
      <t>민원인이 개인정보의 **파기**를 요구하는 경우,  
처리 근거가 **정보주체의 동의**에 기한 것인지 또는 **법령에 따른 수집</t>
    </r>
    <r>
      <rPr>
        <rFont val="MS Gothic"/>
        <color theme="1"/>
        <sz val="12.0"/>
      </rPr>
      <t>‧</t>
    </r>
    <r>
      <rPr>
        <rFont val="맑은 고딕"/>
        <color theme="1"/>
        <sz val="12.0"/>
      </rPr>
      <t xml:space="preserve">이용**인지 여부를 먼저 확인해야 합니다.  
- 처리 근거가 정보주체의 동의에 기반한 경우라면, 「개인정보 보호법」 제4조 제4호에 따라 정보주체는 개인정보의 파기를 요구할 권리를 가지며, 따라서 원칙적으로 해당 개인정보의 **파기 요구를 수용**해야 합니다.  
- 반면, 처리 근거가 「개인정보 보호법」 제15조 제1항 제2호 또는 제3호처럼 **법령에 따른 수집·이용**이라면, 파기 요구를 거절할 사유가 될 수 있습니다. </t>
    </r>
  </si>
  <si>
    <t>2310_시의회사무처_법령_개인정보보호위원회_개인정보_분쟁조정_사례_공공기관_교육과정.pdf</t>
  </si>
  <si>
    <t>개인정보란 무엇이며, 실무에서 혼동하기 쉬운 사례를 포함하여 개인정보의 예시를 설명해 줘</t>
  </si>
  <si>
    <t>1. 「개인정보 보호법」에 따르면 개인정보란, 살아 있는 개인에 관한 정보로서 해당 정보만으로 또는 다른 정보와 쉽게 결합하여 특정 개인을 알아볼 수 있는 정보를 말한다.
또한 정보의 형태가 전자문서인지, 종이문서인지와 관계없이 모두 개인정보에 해당할 수 있다.
즉, 실무에서는 다음 두 가지 기준으로 판단하면 된다.
이 정보로 “누구인지” 알 수 있는가?
다른 정보와 쉽게 결합하면 특정 개인이 되는가?
2. 혼동하기 쉬운 핵심 포인트
- 가명정보
개인정보를 가명처리하여 추가정보 없이는 특정 개인을 알아볼 수 없게 만든 정보이지만, 여전히 개인정보의 범주에 포함됨. 다만 추가정보 등이 결합될 가능성이 완전히 제거된 경우에는 익명정보가 될 수 있음.
- 법인 정보
법인 자체 정보는 개인정보가 아니나, 대표자 성명·담당자 연락처 등은 개인정보가 될 수 있음.
- 식별 가능성 기준
단독으로 식별 가능 → 개인정보
다른 정보와 쉽게 결합 → 개인정보
시간·비용·기술을 합리적으로 고려하여도 식별 불가 → 개인정보 아님
3. 개인정보 예시로는 
-일반정보(인적사항):성명, 주민등록번호, 주소, 연락처, 생년월일, 출생지, 성별
-신체정보:얼굴, 지문, 홍채, 음성, 키, 몸무게, 유전자정보
-의료·건강정보:진료기록, 병력, 장애등급, 혈액형, 건강검진 결과
-가족정보:가족관계, 가족구성원, 혼인 여부, 자녀 정보
-사회적 정보:도서·비디오 대여기록, 구매내역, 웹사이트 검색기록
-사상·신념정보:종교, 정치성향, 노조가입 여부, 가치관
-교육정보:학력, 성적, 출결상황, 생활기록부
-병역정보:군번, 계급, 복무부대, 제대유형
-근로정보:근무처, 직무평가, 인사기록, 징계내역
-법정정보:범죄경력, 재판기록, 과태료 이력
-소득정보:급여, 보너스, 사업소득, 이자수익
-신용정보:계좌번호, 카드번호, 신용등급, 대출내역
-부동산정보:소유주택, 토지, 자동차 등록정보</t>
  </si>
  <si>
    <t>2402_시의회사무처_법령_개인정보보호위원회_개인정보_보호법_주요내용.pdf</t>
  </si>
  <si>
    <t>7, 8, 9</t>
  </si>
  <si>
    <t>수의계약은 어떤 유형으로 구분되며, 유형별 적용 기준과 주요 내용을 설명해 주세요.</t>
  </si>
  <si>
    <t>수의계약은 「지방자치단체를 당사자로 하는 계약에 관한 법률 시행령」에 따라 계약 금액, 공사의 종류, 계약의 긴급성 및 특수성 등에 따라 다음과 같이 유형별로 구분된다.
- 1인 견적 제출 가능 수의계약
추정가격 2천만원 이하의 계약은 1인 견적 제출이 가능하며, 다음 기업·조합과 계약하는 경우에는 5천만원 이하까지 허용된다.
(단, 사회적기업 등 일부 유형은 취약계층 고용비율 30% 이상일 경우에 한함)
대상 기업 또는 조합: 여성기업, 장애인기업, 사회적기업, 사회적협동조합, 자활기업, 마을기업, 청년창업기업
이 경우 취약계층 고용비율은 관련 지방자치단체 입찰 및 계약집행기준 별표3 기준에 따라 확인한다.
- 2인 이상 견적제출 대상 수의계약
종합공사 : 4억원 이하
전문공사 : 2억원 이하
전기·정보통신·소방 등 공사 : 1억 6천만원 이하
그 밖의 공사 : 1억원 이하
용역·물품 : 1억원 이하</t>
  </si>
  <si>
    <t>2507_시의회사무처_예산회계_행정안전부_개정전문_지방자치단체_입찰_및_계약집행기준.pdf</t>
  </si>
  <si>
    <t>166, 167</t>
  </si>
  <si>
    <t>본문 표 내용 그대로 인용</t>
  </si>
  <si>
    <t>제한입찰의 범위와 계약 목적물별 제한 기준을 유형별로 설명해 주세요.</t>
  </si>
  <si>
    <r>
      <rPr>
        <rFont val="Malgun Gothic"/>
        <color theme="1"/>
        <sz val="12.0"/>
      </rPr>
      <t>제한입찰이란 계약의 특성, 기술적 난이도, 지역성 등을 고려하여 입찰참가 자격을 일정 요건으로 제한하는 방식이며, 다음과 같이 유형별로 구분된다.
1. 동일 실적 제한 : 해당 계약과 동일한 종류의 실적 보유 여부로 제한
&lt;공사&gt;
-종합공사 : 추정가격 30억원 이상
-전문·그 밖의 공사 : 추정가격 3억원 이상
-실적 기준 :
· 계약규모 또는 물량의 1/3 이내
· 필요 시 1/3 이상 ~ 1배 범위에서 최소실적 설정 가능
· 계약금액의 1배 이내
· 특수 기술·공법 요구 공사
&lt;물품·용역&gt;
기획재정부장관 고시금액(「국가를 당사자로 하는 계약에 관한 법률 등 기획재정부장관이 정하는 고시금액」 참고) 이상이며 특수 설비 또는 기술이 요구되는 경우
2. 기술보유 상황 제한
&lt;공사&gt;
특수한 기술·공법이 요구되는 경우
&lt;물품·용역&gt;
특수한 기술이 요구되는 물품제조·용역
3. 시공능력평가액 제한
-종합공사 : 추정가격 30억원 이상
-전문·그 밖의 공사 : 추정가격 3억원 이상
4. 지역 제한: 입찰참가자를 일정 지역 사업자로 제한
&lt;공사&gt;
-종합공사 : 추정가격 100억원 미만
-전문·전기·그 밖의 공사 : 추정가격 10억원 미만
&lt;물품·용역&gt;
-행안부 고시금액 미만 일반용역·물품
-시·군·구 : 추정가격 5억원 미만
-건설기술·설계·감리 용역 : 3.3억원 미만
-안전점검·정밀안전진단 : 1.5억원 미만
※ 법인: 본점 소재지 / 개인: 사업자등록증상 사업장 소재지 기준
5. 설비 보유 제한: 특수한 설비가 요구되는 물품 제조
6. 유자격자명부 제한: 시·도지사가 공사 성질·규모별로 등록한 사업자로 제한
7. 물품 납품능력 제한: 특수 성능·품질이 요구되는 경우 해당 인증 보유 여부로 제한
8. 중소기업자 제한: 「중소기업제품 구매촉진 및 판로지원에 관한 법률」  제6조에 따른 지정 물품, 중소기업자로만 참여 가능
9. 소기업·소상공인 제한:「중소기업제품 구매촉진 및 판로지원에 관한 법률」 제7조의2제2항제1호에 따른 제한경쟁입찰 방법에 따라 물품 제조</t>
    </r>
    <r>
      <rPr>
        <rFont val="MS Gothic"/>
        <color theme="1"/>
        <sz val="12.0"/>
      </rPr>
      <t>‧</t>
    </r>
    <r>
      <rPr>
        <rFont val="맑은 고딕"/>
        <color theme="1"/>
        <sz val="12.0"/>
      </rPr>
      <t>구매 계약을 체결하는 경우에는 같은 항에 따른 공동사업에 참여한 소기업 또는 소상공인(해당 물품 등을 납품할 수 있는 소기업 또는 소상공인)
10. 정책 대상기업 제한
-추정가격 1억원 미만
→ 벤처기업, 소상공인, 소기업, 창업기업 등
-고시금액 미만 1억원 이상
→ 중소기업자로 제한</t>
    </r>
  </si>
  <si>
    <t>155, 156, 157</t>
  </si>
  <si>
    <t>공무원 경조사 휴가 일수를 알고 싶어요</t>
  </si>
  <si>
    <t>●경조사별 휴가 일수
① 결혼:  본일(5일), 자녀(1일)
② 출산:  배우자(10일)*한번에 둘이상 자녀출산의 경우 15일)
③ 입양:  본인(20일)
④ 사망
 ▶ 배우자, 본인 및 배우자의 부모: 5일
 ▶ 본인 및 배우자의 조부모․외조부모: 3일
 ▶ 자녀와 그 자녀의 배우자: 3일
 ▶ 본인 및 배우자의 형제자매와 그 형제자매의 배우자: 3일
 ▶ 본인 및 배우자의 부모의 형제자매와 그 형제자매의 배우자: 1일</t>
  </si>
  <si>
    <t>경조사별 휴가일수표</t>
  </si>
  <si>
    <t>시장님 행사를 진행해야 하는데 참석자들의 좌석배치를 어떻게 하면 좋을까?</t>
  </si>
  <si>
    <t>공식 서열에 관한 명문상 규정은 없지만 의전업무상 필요에 따라 정부조직법, 조례, 기관 순위 등 지금까지 시행해 온 주요행사를 통해 확립된 선례와 관행을 기준으로 행사의 성격을 감안하여 배치하여예 합니다.
- 직위에 의한 서열기준은 직급(계급) 순서, 헌법 및 정부조직법상 기관순서, 상급기관, 국가기관 순으로 예우합니다.
- 좌석배치는 원탁형의 경우 무대를 볼 수 있는 곳을 상석으로 하며, 주빈의 시야(바깥 경치 등)를 고려하여 상석을 검토합니다.
- 현판 제막식 등을 할 경우에는 현판을 바라보아 오른쪽이 상석입니다.</t>
  </si>
  <si>
    <t>416_2505_총무과_매뉴얼_부산시_의전실무_매뉴얼.pdf</t>
  </si>
  <si>
    <r>
      <rPr>
        <rFont val="Malgun Gothic"/>
        <strike/>
        <color theme="1"/>
        <sz val="12.0"/>
      </rPr>
      <t xml:space="preserve">30, 31, 32, 33
</t>
    </r>
    <r>
      <rPr>
        <rFont val="Malgun Gothic"/>
        <color theme="1"/>
        <sz val="12.0"/>
      </rPr>
      <t>32, 33, 34, 35</t>
    </r>
  </si>
  <si>
    <t>국민신문고 권한 신청은 누가, 어떤 권한을 신청하나요?</t>
  </si>
  <si>
    <t xml:space="preserve"> 1.부서 서무담당자 → "민원부서담당자", "제안부서담당자" 권한 신청
 2.사업소 하위기관 → "민원중간분류담당자" 권한 신청
 3.게시판 운영 담당자 → "웹프레임 분류담당자" 권한 신청</t>
  </si>
  <si>
    <t>2303_부산민원120_온라인민원_통합창구_운영_매뉴얼.pdf</t>
  </si>
  <si>
    <t>본문인용</t>
  </si>
  <si>
    <t>국민신문고 사용자 정보확인 및 수정 하는법</t>
  </si>
  <si>
    <t>1. 국민신문고에 로그인
2. [나의권한] → [나의정보] 메뉴에서 부서 및 정보 확인
3. 필요 시 전화번호, 결재ID 등 수정 후 저장
4. 사업소 직원은 소속팀이 상이할 경우 통합민원과로 연락(☎1462, 1465)</t>
  </si>
  <si>
    <t>국민신문고민원 처리 결과는 어떻게 통보하나요? 서신통보를 요청한경우에는?</t>
  </si>
  <si>
    <t>1.처리 완료 후 "처리결과통보" 클릭
2.전자결재 시 본문 수정사항은 반영되지만 첨부파일은 별도 첨부 필요
3. 민원인이 "서신통보" 요청한 경우, "대내외 시행" 체크 후 e-그린우편 발송 기능 활용</t>
  </si>
  <si>
    <t>국민신문고민원 처리 후 민원만족도 조사 확인하는법</t>
  </si>
  <si>
    <t>1 담당자가 한 달 이내에 "민원만족도 미확인" 건수를 확인
2. [민원] → [나의할일] 메뉴에서 만족도 확인 등록</t>
  </si>
  <si>
    <t>설비교체가 주인 리모델링 사업도 설계공모 방식을 적용해야 하나요?</t>
  </si>
  <si>
    <t>●리모델링(「건축법」에 따른 리모델링을 의미)은 「건축사법」 제2조 제3호에 따른 건축물의 건축, 대수선, 용도변경, 리모델링, 건축설비의 설치 또는 공작물 축조와 같은 설계 행위를 포함하므로, 설계비 추정가격이 1억원 이상이라면 설계공모방식 우선 적용대상에 해당합니다.
 ● 「건축법」에 따른 실내건축의 경우에도, 「건축사법」에 따른 설계 행위를 포함할 경우, 상기와 같이 적용을 받습니다.</t>
  </si>
  <si>
    <t>공공건축_자문에_대한_응답_사례집_2022_2023.pdf</t>
  </si>
  <si>
    <t>43</t>
  </si>
  <si>
    <t>인접하여 위치한 2개 필지에 각각 건축물 조성 시 설계공모 통합 발주가 가능한가요?</t>
  </si>
  <si>
    <t>●「공공부문 건축디자인 업무기준」 제10조에서는 지역의 개발 및 정비와 관 련한 사업에 건축물이 포함되는 경우, 개별 건축물의 설계를 별도로 발주 하여 우수한 건축 디자인이 조성될 수 있도록 명기하고 있습니다.
 ● 상기 기준을 비롯한 「건축서비스산업 진흥법」 및 「건축 설계공모 운영지 침」에 설계공모 통합발주에 대한 규정은 없습니다.
 ● 따라서, 건축물 간 연계 활용을 고려한 계획이 필요하다면 1건으로 통합하 여 추진할 수 있으나, 부지 특성 및 사업기간 등을 종합적으로 고려하여 신중히 결정하시기 바랍니다.</t>
  </si>
  <si>
    <t>47</t>
  </si>
  <si>
    <t>설계단계에서 사업 부지가 변경되어 설계변경이 필요한 경우 설계공모 절차를 다시 진행해야 하나요?</t>
  </si>
  <si>
    <t>●「건축서비스산업 진흥법」 및 「건축 설계공모 운영지침」에 설계변경 가능 기준 등을 명시한 규정은 없습니다.
 ● 설계변경을 통해 계약을 유지할 수 있으며, 「공공발주사업에 대한 건축사의 업무범위와 대가기준」 제9조에 의거 설계변경으로 인한 계약금액 조정이 가능합니다.
 ● 또는, 계약타절 후 수의계약을 통해 재진행할 수 있습니다. 다만, 상기 기준에 따라 기존에 건축사가 작성한 설계도서 저작권은 저작권법이 정하는 바에 따라야 하며, 기존 설계안의 저작권 및 성명표시권 침해에 유의하시기 바랍니다.
 ● 만약, 변경된 부지 여건상 기존의 설계안을 그대로 활용하기 어려운 경우 새로운 사업으로 간주하여 설계공모를 다시 추진하는 것이 바람직합니다.</t>
  </si>
  <si>
    <t>49</t>
  </si>
  <si>
    <t>기존 건축물이 있는 부지에 부속동을 증축할 경우, 신축사업과 공공건축 조성 절차가 동일한가요?</t>
  </si>
  <si>
    <t>●공공기관이 공공건축 사업을 하려는 경우, 신축이나 리모델링과 같은 방식 과 상관없이 「건축서비스산업 진흥법」에 적용을 받습니다.
 ● 공공기관이 하는 모든 공공건축 사업은 건축기획 업무 수행 대상이며, 사전검토 및 설계공모 우선 적용대상은 동법 제21조 및 동법 시행령 제17조에 따라 건축물 용도와 설계비를 근거로 결정됩니다. 공공건축심의 대상은 동법 제22조의2 및 동법 시행령 제19조의2에 의거 설계비에 따라 구분됩니다.
 ● 따라서, 설계비 추정가격을 바탕으로 상기 절차의 대상 여부를 검토하시기 바랍니다.</t>
  </si>
  <si>
    <t>56</t>
  </si>
  <si>
    <t>「지방재정법」에 따른 타당성 조사를 수행한 사업의 「건설기술 진흥법」에 따른 타당성 조사 절차를 이행하여야 하나요?</t>
  </si>
  <si>
    <t>●「지방재정법」 제37조의2에 따른 타당성 조사는 투자심사 전 사업의 타당성을 객관적 기준에 따라 검증하는 조사이며, 「건설기술 진흥법」 제47조에 따른 타당성 조사는 경제, 기술, 사회 및 환경 등 종합적인 측면에서 적정성을 검토하는 것으로, 각각은 관계 법령이 다른 별개의 절차입니다.
 ● 「지방재정법」 제37조의2 제1항에서는 타당성 조사에 갈음하는 경우에 대해 명시하나, 「건설기술 진흥법」 제47조에 따른 타당성 조사에 대한 사항은 없습니다.
 ● 따라서, 총공사비 500억원 이상의 해당 사업 추진을 위해 「지방재정법」에 따른 타당성 조사와 「건설기술 진흥법」에 따른 타당성 조사를 모두 이행하여야 합니다.</t>
  </si>
  <si>
    <t>58</t>
  </si>
  <si>
    <t>가정에 갑자기 물이 안나오면 어디로 연락하나요</t>
  </si>
  <si>
    <t>단수 관련 문의 : 상수도사업본부
 상수도사업본부 669-4020~4022
 동래구, 연제구, 금정구 동래통합사업소 669-5207~5208
 중구, 동구 중동부사업소 669-5007~5008
 서구 서부사업소 669-5057~5058
 영도구 영도사업소 669-5107~5108
 부산진구 부산진사업소 669-5157~5158
 남구, 수영구 남부사업소 669-5257~5258
 북구, 사상구 북부사업소 669-5307~5308
 해운대구 해운대사업소 669-5357~5358
 사하구 사하사업소 669-5407~5408
 강서구 강서사업소 669-5507~5508
 기장군 기장사업소 669-5557~5558</t>
  </si>
  <si>
    <t>28</t>
  </si>
  <si>
    <t>단수 관련 문의 : 상수도 사업본부</t>
  </si>
  <si>
    <t>일상대화</t>
  </si>
  <si>
    <t>골든셋 질의답변(서식)</t>
  </si>
  <si>
    <t>문서명작업수</t>
  </si>
  <si>
    <t>반영수</t>
  </si>
  <si>
    <t>키워드작업</t>
  </si>
  <si>
    <t>분류</t>
  </si>
  <si>
    <t>AI기대답변</t>
  </si>
  <si>
    <t>출처 문서명</t>
  </si>
  <si>
    <t>출처 페이지</t>
  </si>
  <si>
    <t>출처 문서 중 관련내용</t>
  </si>
  <si>
    <t>문서명
맞추기</t>
  </si>
  <si>
    <t>일자</t>
  </si>
  <si>
    <t>GoldenSet 반영여부</t>
  </si>
  <si>
    <t>예산회계</t>
  </si>
  <si>
    <t>반영</t>
  </si>
  <si>
    <r>
      <rPr>
        <rFont val="Malgun Gothic"/>
        <color theme="1"/>
        <sz val="12.0"/>
      </rPr>
      <t xml:space="preserve">조달로 물품 구매하려고 해. 올해 며칠까지 회계과에 의뢰하면 될까?
</t>
    </r>
    <r>
      <rPr>
        <rFont val="맑은 고딕"/>
        <color rgb="FFFF0000"/>
        <sz val="12.0"/>
      </rPr>
      <t>&gt;&gt; 12월 31일 이후 쓸모없는 자료가 되므로 미반영</t>
    </r>
  </si>
  <si>
    <t xml:space="preserve">「지방회계법」제7조에 따른 출납폐쇄기한은 당해 연도 12.31.까지임
2025년 기준 회계과에서 정한 구분별 업무처리기한은 다음과 같음
  가. 2025년도 계약체결 요청 마감기한
    1) 경쟁입찰 대상 : 2025. 11. 14.한
    2) 수의계약 및 조달3자 단가물품 구매 요청 : 2025. 11. 21.한
      ※ 조달3자단가 물품 구매 요청 시, G2B 종합쇼핑몰에서 최소납품기한 반드시 확인 후 요청
  나. 2025년도 일반지출 요청 마감기한
    1) 우선적으로 지출 가능한 경비 지급요청 : 2025. 12. 2.한
    2) 부서 신용카드 사용기한 : 2025. 12. 18.한
    3) 일반지출 요청 최종 마감기한 : 2025. 12. 19.한
따라서 조달3자단가 물품 구매는 2025.11.21.까지 회계과로 요청해야 함. </t>
  </si>
  <si>
    <t>2511_회계재산담당관_기타_2025년도 출납폐쇄기한 내 계약 및 일반지출 업무처리기준 안내.pdf
2511_회계재산담당관_업무매뉴얼_[계약업무] 출납폐쇄기한 내 계약업무 처리기준 안내(2025 기준).hwp</t>
  </si>
  <si>
    <t>1
1, 2</t>
  </si>
  <si>
    <r>
      <rPr>
        <rFont val="Calibri"/>
        <color theme="1"/>
        <sz val="12.0"/>
      </rPr>
      <t xml:space="preserve"> </t>
    </r>
    <r>
      <rPr>
        <rFont val="맑은 고딕"/>
        <color theme="1"/>
        <sz val="12.0"/>
      </rPr>
      <t>조달</t>
    </r>
    <r>
      <rPr>
        <rFont val="Calibri"/>
        <color theme="1"/>
        <sz val="12.0"/>
      </rPr>
      <t>3</t>
    </r>
    <r>
      <rPr>
        <rFont val="맑은 고딕"/>
        <color theme="1"/>
        <sz val="12.0"/>
      </rPr>
      <t>자</t>
    </r>
    <r>
      <rPr>
        <rFont val="Calibri"/>
        <color theme="1"/>
        <sz val="12.0"/>
      </rPr>
      <t xml:space="preserve"> </t>
    </r>
    <r>
      <rPr>
        <rFont val="맑은 고딕"/>
        <color theme="1"/>
        <sz val="12.0"/>
      </rPr>
      <t>단가물품</t>
    </r>
    <r>
      <rPr>
        <rFont val="Calibri"/>
        <color theme="1"/>
        <sz val="12.0"/>
      </rPr>
      <t xml:space="preserve"> </t>
    </r>
    <r>
      <rPr>
        <rFont val="맑은 고딕"/>
        <color theme="1"/>
        <sz val="12.0"/>
      </rPr>
      <t>등</t>
    </r>
    <r>
      <rPr>
        <rFont val="Calibri"/>
        <color theme="1"/>
        <sz val="12.0"/>
      </rPr>
      <t xml:space="preserve"> </t>
    </r>
    <r>
      <rPr>
        <rFont val="맑은 고딕"/>
        <color theme="1"/>
        <sz val="12.0"/>
      </rPr>
      <t>구매요청할</t>
    </r>
    <r>
      <rPr>
        <rFont val="Calibri"/>
        <color theme="1"/>
        <sz val="12.0"/>
      </rPr>
      <t xml:space="preserve"> </t>
    </r>
    <r>
      <rPr>
        <rFont val="맑은 고딕"/>
        <color theme="1"/>
        <sz val="12.0"/>
      </rPr>
      <t>경우</t>
    </r>
    <r>
      <rPr>
        <rFont val="Calibri"/>
        <color theme="1"/>
        <sz val="12.0"/>
      </rPr>
      <t>(</t>
    </r>
    <r>
      <rPr>
        <rFont val="맑은 고딕"/>
        <color theme="1"/>
        <sz val="12.0"/>
      </rPr>
      <t>나라장터</t>
    </r>
    <r>
      <rPr>
        <rFont val="Calibri"/>
        <color theme="1"/>
        <sz val="12.0"/>
      </rPr>
      <t xml:space="preserve"> </t>
    </r>
    <r>
      <rPr>
        <rFont val="맑은 고딕"/>
        <color theme="1"/>
        <sz val="12.0"/>
      </rPr>
      <t>종합쇼핑몰</t>
    </r>
    <r>
      <rPr>
        <rFont val="Calibri"/>
        <color theme="1"/>
        <sz val="12.0"/>
      </rPr>
      <t xml:space="preserve"> </t>
    </r>
    <r>
      <rPr>
        <rFont val="맑은 고딕"/>
        <color theme="1"/>
        <sz val="12.0"/>
      </rPr>
      <t>등록물품</t>
    </r>
    <r>
      <rPr>
        <rFont val="Calibri"/>
        <color theme="1"/>
        <sz val="12.0"/>
      </rPr>
      <t xml:space="preserve">)
   </t>
    </r>
    <r>
      <rPr>
        <rFont val="맑은 고딕"/>
        <color theme="1"/>
        <sz val="12.0"/>
      </rPr>
      <t>먼저</t>
    </r>
    <r>
      <rPr>
        <rFont val="Calibri"/>
        <color theme="1"/>
        <sz val="12.0"/>
      </rPr>
      <t xml:space="preserve">, </t>
    </r>
    <r>
      <rPr>
        <rFont val="맑은 고딕"/>
        <color theme="1"/>
        <sz val="12.0"/>
      </rPr>
      <t>나라장터종합쇼핑몰에서</t>
    </r>
    <r>
      <rPr>
        <rFont val="Calibri"/>
        <color theme="1"/>
        <sz val="12.0"/>
      </rPr>
      <t xml:space="preserve"> </t>
    </r>
    <r>
      <rPr>
        <rFont val="맑은 고딕"/>
        <color theme="1"/>
        <sz val="12.0"/>
      </rPr>
      <t>해당물품</t>
    </r>
    <r>
      <rPr>
        <rFont val="Calibri"/>
        <color theme="1"/>
        <sz val="12.0"/>
      </rPr>
      <t xml:space="preserve"> </t>
    </r>
    <r>
      <rPr>
        <rFont val="맑은 고딕"/>
        <color theme="1"/>
        <sz val="12.0"/>
      </rPr>
      <t>최소</t>
    </r>
    <r>
      <rPr>
        <rFont val="Calibri"/>
        <color theme="1"/>
        <sz val="12.0"/>
      </rPr>
      <t xml:space="preserve"> </t>
    </r>
    <r>
      <rPr>
        <rFont val="맑은 고딕"/>
        <color theme="1"/>
        <sz val="12.0"/>
      </rPr>
      <t>납품기한</t>
    </r>
    <r>
      <rPr>
        <rFont val="Calibri"/>
        <color theme="1"/>
        <sz val="12.0"/>
      </rPr>
      <t xml:space="preserve"> </t>
    </r>
    <r>
      <rPr>
        <rFont val="맑은 고딕"/>
        <color theme="1"/>
        <sz val="12.0"/>
      </rPr>
      <t>확인</t>
    </r>
    <r>
      <rPr>
        <rFont val="Calibri"/>
        <color theme="1"/>
        <sz val="12.0"/>
      </rPr>
      <t xml:space="preserve"> </t>
    </r>
    <r>
      <rPr>
        <rFont val="맑은 고딕"/>
        <color theme="1"/>
        <sz val="12.0"/>
      </rPr>
      <t>후</t>
    </r>
    <r>
      <rPr>
        <rFont val="Calibri"/>
        <color theme="1"/>
        <sz val="12.0"/>
      </rPr>
      <t xml:space="preserve"> 
   </t>
    </r>
    <r>
      <rPr>
        <rFont val="맑은 고딕"/>
        <color theme="1"/>
        <sz val="12.0"/>
      </rPr>
      <t>해당업체</t>
    </r>
    <r>
      <rPr>
        <rFont val="Calibri"/>
        <color theme="1"/>
        <sz val="12.0"/>
      </rPr>
      <t xml:space="preserve"> </t>
    </r>
    <r>
      <rPr>
        <rFont val="맑은 고딕"/>
        <color theme="1"/>
        <sz val="12.0"/>
      </rPr>
      <t>및</t>
    </r>
    <r>
      <rPr>
        <rFont val="Calibri"/>
        <color theme="1"/>
        <sz val="12.0"/>
      </rPr>
      <t xml:space="preserve"> </t>
    </r>
    <r>
      <rPr>
        <rFont val="맑은 고딕"/>
        <color theme="1"/>
        <sz val="12.0"/>
      </rPr>
      <t>계약담당자와</t>
    </r>
    <r>
      <rPr>
        <rFont val="Calibri"/>
        <color theme="1"/>
        <sz val="12.0"/>
      </rPr>
      <t xml:space="preserve"> </t>
    </r>
    <r>
      <rPr>
        <rFont val="맑은 고딕"/>
        <color theme="1"/>
        <sz val="12.0"/>
      </rPr>
      <t>사전협의</t>
    </r>
    <r>
      <rPr>
        <rFont val="Calibri"/>
        <color theme="1"/>
        <sz val="12.0"/>
      </rPr>
      <t xml:space="preserve"> </t>
    </r>
    <r>
      <rPr>
        <rFont val="맑은 고딕"/>
        <color theme="1"/>
        <sz val="12.0"/>
      </rPr>
      <t>후</t>
    </r>
    <r>
      <rPr>
        <rFont val="Calibri"/>
        <color theme="1"/>
        <sz val="12.0"/>
      </rPr>
      <t xml:space="preserve"> </t>
    </r>
    <r>
      <rPr>
        <rFont val="맑은 고딕"/>
        <color theme="1"/>
        <sz val="12.0"/>
      </rPr>
      <t>계약요청</t>
    </r>
    <r>
      <rPr>
        <rFont val="Calibri"/>
        <color theme="1"/>
        <sz val="12.0"/>
      </rPr>
      <t xml:space="preserve">
    </t>
    </r>
    <r>
      <rPr>
        <rFont val="Wingdings"/>
        <color theme="1"/>
        <sz val="12.0"/>
      </rPr>
      <t></t>
    </r>
    <r>
      <rPr>
        <rFont val="Calibri"/>
        <color theme="1"/>
        <sz val="12.0"/>
      </rPr>
      <t xml:space="preserve"> </t>
    </r>
    <r>
      <rPr>
        <rFont val="맑은 고딕"/>
        <color theme="1"/>
        <sz val="12.0"/>
      </rPr>
      <t>조달</t>
    </r>
    <r>
      <rPr>
        <rFont val="Calibri"/>
        <color theme="1"/>
        <sz val="12.0"/>
      </rPr>
      <t>3</t>
    </r>
    <r>
      <rPr>
        <rFont val="맑은 고딕"/>
        <color theme="1"/>
        <sz val="12.0"/>
      </rPr>
      <t>자단가물품</t>
    </r>
    <r>
      <rPr>
        <rFont val="Calibri"/>
        <color theme="1"/>
        <sz val="12.0"/>
      </rPr>
      <t xml:space="preserve"> </t>
    </r>
    <r>
      <rPr>
        <rFont val="맑은 고딕"/>
        <color theme="1"/>
        <sz val="12.0"/>
      </rPr>
      <t>등</t>
    </r>
    <r>
      <rPr>
        <rFont val="Calibri"/>
        <color theme="1"/>
        <sz val="12.0"/>
      </rPr>
      <t xml:space="preserve"> </t>
    </r>
    <r>
      <rPr>
        <rFont val="맑은 고딕"/>
        <color theme="1"/>
        <sz val="12.0"/>
      </rPr>
      <t>구매요청</t>
    </r>
    <r>
      <rPr>
        <rFont val="Calibri"/>
        <color theme="1"/>
        <sz val="12.0"/>
      </rPr>
      <t xml:space="preserve"> : ‘25. 11. 21.</t>
    </r>
    <r>
      <rPr>
        <rFont val="맑은 고딕"/>
        <color theme="1"/>
        <sz val="12.0"/>
      </rPr>
      <t>한</t>
    </r>
    <r>
      <rPr>
        <rFont val="Calibri"/>
        <color theme="1"/>
        <sz val="12.0"/>
      </rPr>
      <t xml:space="preserve"> </t>
    </r>
  </si>
  <si>
    <t>미반영</t>
  </si>
  <si>
    <t>정보보안</t>
  </si>
  <si>
    <r>
      <rPr>
        <rFont val="Malgun Gothic"/>
        <strike/>
        <color theme="1"/>
        <sz val="12.0"/>
      </rPr>
      <t>1,</t>
    </r>
    <r>
      <rPr>
        <rFont val="Malgun Gothic"/>
        <color theme="1"/>
        <sz val="12.0"/>
      </rPr>
      <t xml:space="preserve"> 5</t>
    </r>
  </si>
  <si>
    <t>부서에서 사용하는 보안USB를 분실했어. 이후 절차 안내해줘</t>
  </si>
  <si>
    <r>
      <rPr>
        <rFont val="Malgun Gothic"/>
        <color theme="1"/>
        <sz val="12.0"/>
      </rPr>
      <t xml:space="preserve">관련 근거과 처리 절차는 다음과 같음
부산광역시 정보보안업무 지침, 부록2 USB메모리 등 휴대용 저장매체 보안관리지침 제10조(휴대용 저장매체의 분실, 소각시 대처방안)
1) 취급자는 휴대용 저장매체의 분실 또는 소각 등의 사유가 발생한 즉시 관리자에게 그 사실을 보고
2) 관리자는 휴대용 저장매체의 분실 또는 소각사실을 보고받은 즉시 분임
정보보안담당관을 경유하여 정보보안담당관에게 통지
3) 정보보안담당관은 일반용의 분실 또는 소각 사실을 통지받거나 인지한
경우에는 자체 조사를 실시하고 재발방지 대책을 강구하여야 함. 다만「국가
정보보안 기본지침」제141조제2항에 따른 사안일 경우에는 지체 없이 국가
정보원장에게 그 사실을 통보하여야 한다.
여기에서 
1)“정보보안담당관”이란 시본청, 직속기관, 사업소(이하 “시”라 한다)등의
정보보안업무를 총괄하는 사람으로 정보보안 전담조직을 담당하는 부서의 장을
말한다.
2)“분임정보보안담당관”이란 정보보안담당관이 직무를 효율적으로 수행할 수 있도록
부서의 정보보안업무를 수행하는 사람으로 부서의 장을 말한다.
</t>
    </r>
    <r>
      <rPr>
        <rFont val="Malgun Gothic"/>
        <color rgb="FF0000FF"/>
        <sz val="12.0"/>
      </rPr>
      <t>&gt;&gt; [25.12.26 - 김상돈] '여기에서...' 로 시작하는 중간 이하의 부분은 정상 답변에 포함된 용어를 설명하는 부분으로
 - 실제 질문과 전혀 상관없는 내용으로 LLM(언어모델)의 파인튜닝을 통해 모델이 알아서 부연 설명을 하거나,
 - USB 분실시 조치 방법에 해당 내용에 정보보안암당관의 설명이 포함되어 있다거나,
 - 온톨로지 또는 Knowledge Database를 구축해 연관성을 부여해주는 방식
을 선택하는게 맞는 방법인것 같으며
현재 RAG구조에서 해당 내용(8page)을 억지로 검색해서 답변 참조문서로 포함시키는 것은 유사한 다른 케이스들에 대해서도 왜 같은 방식으로 동작하지 않는지 문의가 많이 생길 것 같아 억지로 검색되게 하는건 맞지 않다고 생각됩니다.</t>
    </r>
  </si>
  <si>
    <r>
      <rPr>
        <rFont val="Malgun Gothic"/>
        <strike/>
        <color theme="1"/>
        <sz val="12.0"/>
      </rPr>
      <t xml:space="preserve">8, 76, 77
</t>
    </r>
    <r>
      <rPr>
        <rFont val="Malgun Gothic"/>
        <color theme="1"/>
        <sz val="12.0"/>
      </rPr>
      <t>80, 81</t>
    </r>
  </si>
  <si>
    <t>제2조 (정의) 이 지침에서 사용하는 용어의 정의는 다음과 같다.
2. “정보보안담당관”이란 시본청, 직속기관, 사업소(이하 “시”라 한다)등의
정보보안업무를 총괄하는 사람으로 정보보안 전담조직을 담당하는 부서의 장을
말한다.
3. “분임정보보안담당관”이란 정보보안담당관이 직무를 효율적으로 수행할 수 있도록
부서의 정보보안업무를 수행하는 사람으로 부서의 장을 말한다.
제10조(휴대용 저장매체의 분실, 소각시 대처방안) ① 취급자는 휴대용 저장매
체의 분실 또는 소각 등의 사유가 발생한 즉시 관리자에게 그 사실을 보고하여야 한다.
② 관리자는 휴대용 저장매체의 분실 또는 소각사실을 보고받은 즉시 분임
정보보안담당관을 경유하여 정보보안담당관에게 통지하여야 한다.
③ 정보보안담당관은 일반용의 분실 또는 소각 사실을 통지받거나 인지한
경우에는 자체 조사를 실시하고 재발방지 대책을 강구하여야 한다. 다만「국가
정보보안 기본지침」제141조제2항에 따른 사안일 경우에는 지체 없이 국가
정보원장에게 그 사실을 통보하여야 한다.</t>
  </si>
  <si>
    <t>홍보</t>
  </si>
  <si>
    <t>육교현판 게시하려고 하는데 신청방법을 알려줘</t>
  </si>
  <si>
    <t xml:space="preserve">1. 육교현판 신청 절차
 - 미래디자인본부 도시공공디자인담당관 광고물팀 육교현판허가 담당자에게 육교게시할 위치, 기간을 사전에 협의 후 공문으로 신청합니다.
 - 허가기간은 14일(예시 1일~13일) , 허가 당 3개소, 현판세로규격 1.1m 이내가능하고 1회 기간연장 가능합니다.
 - 사전협의 완료되어 공문으로 신청하실때는 최소 3일전에는 신청하여주시고, 육교현판 제작·설치 업체의 재해배상 책임보험 가입증명서, 현수막 시안(규격 포함)을 첨부하셔야 합니다.
- 육교 게시가능한 육교 현판 위치가 궁금하시면 육교현판허가 담당자에게 연락하시면 쪽지로 송부하여 드립니다. </t>
  </si>
  <si>
    <t>도시공공디자인담당관-10513(2025.11.13.)호
육교 광고물(현판) 사용 승인조건</t>
  </si>
  <si>
    <t>본문그대로 인용</t>
  </si>
  <si>
    <t>행사 홍보를 위한 현수막 게시방법을 알려줘</t>
  </si>
  <si>
    <t>1. 현수막 게시 신청 절차
- 게시대에 게시하지 않는 (행정용)현수막은 정당현수막 일부를 제외하고 모두 불법현수막입니다.
- 현수막 게시를 위해서 https://bsbanner.co.kr/ 사이트에서 지정게시대 신청을 통합적으로 편리하게 할 수 있습니다. 
- 또한, 현수막게시대 신고 등의 경우 구(군)의 허가권이 있음으로, 구(군) 광고물팀에 상세한 내용을 질의하여 주시기 바랍니다.</t>
  </si>
  <si>
    <t>https://bsbanner.co.kr/'
옥외광고물 등의 관리와 옥외광고산업 진흥에 관한 법률 시행령 제5조</t>
  </si>
  <si>
    <t>유해사이트 차단해제 방법 알려줘</t>
  </si>
  <si>
    <t>아래와 같은 내용을 포함하여 관련공문 혹은 관련계획서등의 증빙자료를 첨부해서 정보화정책과로 공문을 보내면 됩니다 단 업무와 무관한 개인적인 용도는 해제 불가합니다
1. 담당자 : 소속/ 직급/ 성명(홍길동)
2. 접속 IP주소 : 99.00.00.00
3. 해제 기간 : 2025.1.1. ~ 1. 5 (최대1년까지만)
4. 해제 사이트 : https://abc.co.kr (해당 서비스를 제공하는 정확한 사이트 주소)
5. 해제 목적 : 홈페이지 홍보사진 및 동영상 자료 갱신 작업</t>
  </si>
  <si>
    <t>인터넷유해사이트차단해제요청 공문 예시</t>
  </si>
  <si>
    <r>
      <rPr>
        <rFont val="Calibri"/>
        <color theme="1"/>
        <sz val="12.0"/>
      </rPr>
      <t xml:space="preserve"> 000</t>
    </r>
    <r>
      <rPr>
        <rFont val="맑은 고딕"/>
        <color theme="1"/>
        <sz val="12.0"/>
      </rPr>
      <t>홈페이지</t>
    </r>
    <r>
      <rPr>
        <rFont val="Calibri"/>
        <color theme="1"/>
        <sz val="12.0"/>
      </rPr>
      <t xml:space="preserve"> </t>
    </r>
    <r>
      <rPr>
        <rFont val="맑은 고딕"/>
        <color theme="1"/>
        <sz val="12.0"/>
      </rPr>
      <t>홍보사진</t>
    </r>
    <r>
      <rPr>
        <rFont val="Calibri"/>
        <color theme="1"/>
        <sz val="12.0"/>
      </rPr>
      <t xml:space="preserve"> </t>
    </r>
    <r>
      <rPr>
        <rFont val="맑은 고딕"/>
        <color theme="1"/>
        <sz val="12.0"/>
      </rPr>
      <t>및</t>
    </r>
    <r>
      <rPr>
        <rFont val="Calibri"/>
        <color theme="1"/>
        <sz val="12.0"/>
      </rPr>
      <t xml:space="preserve"> </t>
    </r>
    <r>
      <rPr>
        <rFont val="맑은 고딕"/>
        <color theme="1"/>
        <sz val="12.0"/>
      </rPr>
      <t>동영상</t>
    </r>
    <r>
      <rPr>
        <rFont val="Calibri"/>
        <color theme="1"/>
        <sz val="12.0"/>
      </rPr>
      <t xml:space="preserve"> </t>
    </r>
    <r>
      <rPr>
        <rFont val="맑은 고딕"/>
        <color theme="1"/>
        <sz val="12.0"/>
      </rPr>
      <t>자료</t>
    </r>
    <r>
      <rPr>
        <rFont val="Calibri"/>
        <color theme="1"/>
        <sz val="12.0"/>
      </rPr>
      <t xml:space="preserve"> </t>
    </r>
    <r>
      <rPr>
        <rFont val="맑은 고딕"/>
        <color theme="1"/>
        <sz val="12.0"/>
      </rPr>
      <t>갱신을</t>
    </r>
    <r>
      <rPr>
        <rFont val="Calibri"/>
        <color theme="1"/>
        <sz val="12.0"/>
      </rPr>
      <t xml:space="preserve"> </t>
    </r>
    <r>
      <rPr>
        <rFont val="맑은 고딕"/>
        <color theme="1"/>
        <sz val="12.0"/>
      </rPr>
      <t>위해</t>
    </r>
    <r>
      <rPr>
        <rFont val="Calibri"/>
        <color theme="1"/>
        <sz val="12.0"/>
      </rPr>
      <t xml:space="preserve"> </t>
    </r>
    <r>
      <rPr>
        <rFont val="맑은 고딕"/>
        <color theme="1"/>
        <sz val="12.0"/>
      </rPr>
      <t>다음과</t>
    </r>
    <r>
      <rPr>
        <rFont val="Calibri"/>
        <color theme="1"/>
        <sz val="12.0"/>
      </rPr>
      <t xml:space="preserve"> </t>
    </r>
    <r>
      <rPr>
        <rFont val="맑은 고딕"/>
        <color theme="1"/>
        <sz val="12.0"/>
      </rPr>
      <t>같이</t>
    </r>
    <r>
      <rPr>
        <rFont val="Calibri"/>
        <color theme="1"/>
        <sz val="12.0"/>
      </rPr>
      <t xml:space="preserve"> </t>
    </r>
    <r>
      <rPr>
        <rFont val="맑은 고딕"/>
        <color theme="1"/>
        <sz val="12.0"/>
      </rPr>
      <t>인터넷</t>
    </r>
    <r>
      <rPr>
        <rFont val="Calibri"/>
        <color theme="1"/>
        <sz val="12.0"/>
      </rPr>
      <t xml:space="preserve"> </t>
    </r>
    <r>
      <rPr>
        <rFont val="맑은 고딕"/>
        <color theme="1"/>
        <sz val="12.0"/>
      </rPr>
      <t>유해사이트</t>
    </r>
    <r>
      <rPr>
        <rFont val="Calibri"/>
        <color theme="1"/>
        <sz val="12.0"/>
      </rPr>
      <t xml:space="preserve"> </t>
    </r>
    <r>
      <rPr>
        <rFont val="맑은 고딕"/>
        <color theme="1"/>
        <sz val="12.0"/>
      </rPr>
      <t>차단</t>
    </r>
    <r>
      <rPr>
        <rFont val="Calibri"/>
        <color theme="1"/>
        <sz val="12.0"/>
      </rPr>
      <t xml:space="preserve"> </t>
    </r>
    <r>
      <rPr>
        <rFont val="맑은 고딕"/>
        <color theme="1"/>
        <sz val="12.0"/>
      </rPr>
      <t>해제를</t>
    </r>
    <r>
      <rPr>
        <rFont val="Calibri"/>
        <color theme="1"/>
        <sz val="12.0"/>
      </rPr>
      <t xml:space="preserve"> </t>
    </r>
    <r>
      <rPr>
        <rFont val="맑은 고딕"/>
        <color theme="1"/>
        <sz val="12.0"/>
      </rPr>
      <t>요청하오니</t>
    </r>
    <r>
      <rPr>
        <rFont val="Calibri"/>
        <color theme="1"/>
        <sz val="12.0"/>
      </rPr>
      <t xml:space="preserve"> </t>
    </r>
    <r>
      <rPr>
        <rFont val="맑은 고딕"/>
        <color theme="1"/>
        <sz val="12.0"/>
      </rPr>
      <t>조치하여</t>
    </r>
    <r>
      <rPr>
        <rFont val="Calibri"/>
        <color theme="1"/>
        <sz val="12.0"/>
      </rPr>
      <t xml:space="preserve"> </t>
    </r>
    <r>
      <rPr>
        <rFont val="맑은 고딕"/>
        <color theme="1"/>
        <sz val="12.0"/>
      </rPr>
      <t>주시기</t>
    </r>
    <r>
      <rPr>
        <rFont val="Calibri"/>
        <color theme="1"/>
        <sz val="12.0"/>
      </rPr>
      <t xml:space="preserve"> </t>
    </r>
    <r>
      <rPr>
        <rFont val="맑은 고딕"/>
        <color theme="1"/>
        <sz val="12.0"/>
      </rPr>
      <t>바랍니다</t>
    </r>
    <r>
      <rPr>
        <rFont val="Calibri"/>
        <color theme="1"/>
        <sz val="12.0"/>
      </rPr>
      <t xml:space="preserve">. 
1. </t>
    </r>
    <r>
      <rPr>
        <rFont val="맑은 고딕"/>
        <color theme="1"/>
        <sz val="12.0"/>
      </rPr>
      <t>담당자</t>
    </r>
    <r>
      <rPr>
        <rFont val="Calibri"/>
        <color theme="1"/>
        <sz val="12.0"/>
      </rPr>
      <t xml:space="preserve"> : </t>
    </r>
    <r>
      <rPr>
        <rFont val="맑은 고딕"/>
        <color theme="1"/>
        <sz val="12.0"/>
      </rPr>
      <t>소속</t>
    </r>
    <r>
      <rPr>
        <rFont val="Calibri"/>
        <color theme="1"/>
        <sz val="12.0"/>
      </rPr>
      <t xml:space="preserve">/ </t>
    </r>
    <r>
      <rPr>
        <rFont val="맑은 고딕"/>
        <color theme="1"/>
        <sz val="12.0"/>
      </rPr>
      <t>직급</t>
    </r>
    <r>
      <rPr>
        <rFont val="Calibri"/>
        <color theme="1"/>
        <sz val="12.0"/>
      </rPr>
      <t xml:space="preserve">/ </t>
    </r>
    <r>
      <rPr>
        <rFont val="맑은 고딕"/>
        <color theme="1"/>
        <sz val="12.0"/>
      </rPr>
      <t>성명</t>
    </r>
    <r>
      <rPr>
        <rFont val="Calibri"/>
        <color theme="1"/>
        <sz val="12.0"/>
      </rPr>
      <t>(</t>
    </r>
    <r>
      <rPr>
        <rFont val="맑은 고딕"/>
        <color theme="1"/>
        <sz val="12.0"/>
      </rPr>
      <t>홍길동</t>
    </r>
    <r>
      <rPr>
        <rFont val="Calibri"/>
        <color theme="1"/>
        <sz val="12.0"/>
      </rPr>
      <t xml:space="preserve">)
2. </t>
    </r>
    <r>
      <rPr>
        <rFont val="맑은 고딕"/>
        <color theme="1"/>
        <sz val="12.0"/>
      </rPr>
      <t>접속</t>
    </r>
    <r>
      <rPr>
        <rFont val="Calibri"/>
        <color theme="1"/>
        <sz val="12.0"/>
      </rPr>
      <t xml:space="preserve"> IP</t>
    </r>
    <r>
      <rPr>
        <rFont val="맑은 고딕"/>
        <color theme="1"/>
        <sz val="12.0"/>
      </rPr>
      <t>주소</t>
    </r>
    <r>
      <rPr>
        <rFont val="Calibri"/>
        <color theme="1"/>
        <sz val="12.0"/>
      </rPr>
      <t xml:space="preserve"> : 99.00.00.00
3. </t>
    </r>
    <r>
      <rPr>
        <rFont val="맑은 고딕"/>
        <color theme="1"/>
        <sz val="12.0"/>
      </rPr>
      <t>해제</t>
    </r>
    <r>
      <rPr>
        <rFont val="Calibri"/>
        <color theme="1"/>
        <sz val="12.0"/>
      </rPr>
      <t xml:space="preserve"> </t>
    </r>
    <r>
      <rPr>
        <rFont val="맑은 고딕"/>
        <color theme="1"/>
        <sz val="12.0"/>
      </rPr>
      <t>기간</t>
    </r>
    <r>
      <rPr>
        <rFont val="Calibri"/>
        <color theme="1"/>
        <sz val="12.0"/>
      </rPr>
      <t xml:space="preserve"> : 2025.1.1. ~ 1. 5 (</t>
    </r>
    <r>
      <rPr>
        <rFont val="맑은 고딕"/>
        <color theme="1"/>
        <sz val="12.0"/>
      </rPr>
      <t>최대</t>
    </r>
    <r>
      <rPr>
        <rFont val="Calibri"/>
        <color theme="1"/>
        <sz val="12.0"/>
      </rPr>
      <t>1</t>
    </r>
    <r>
      <rPr>
        <rFont val="맑은 고딕"/>
        <color theme="1"/>
        <sz val="12.0"/>
      </rPr>
      <t>년까지만</t>
    </r>
    <r>
      <rPr>
        <rFont val="Calibri"/>
        <color theme="1"/>
        <sz val="12.0"/>
      </rPr>
      <t xml:space="preserve">)
4. </t>
    </r>
    <r>
      <rPr>
        <rFont val="맑은 고딕"/>
        <color theme="1"/>
        <sz val="12.0"/>
      </rPr>
      <t>해제</t>
    </r>
    <r>
      <rPr>
        <rFont val="Calibri"/>
        <color theme="1"/>
        <sz val="12.0"/>
      </rPr>
      <t xml:space="preserve"> </t>
    </r>
    <r>
      <rPr>
        <rFont val="맑은 고딕"/>
        <color theme="1"/>
        <sz val="12.0"/>
      </rPr>
      <t>사이트</t>
    </r>
    <r>
      <rPr>
        <rFont val="Calibri"/>
        <color theme="1"/>
        <sz val="12.0"/>
      </rPr>
      <t xml:space="preserve"> : https://abc.co.kr (</t>
    </r>
    <r>
      <rPr>
        <rFont val="맑은 고딕"/>
        <color theme="1"/>
        <sz val="12.0"/>
      </rPr>
      <t>해당</t>
    </r>
    <r>
      <rPr>
        <rFont val="Calibri"/>
        <color theme="1"/>
        <sz val="12.0"/>
      </rPr>
      <t xml:space="preserve"> </t>
    </r>
    <r>
      <rPr>
        <rFont val="맑은 고딕"/>
        <color theme="1"/>
        <sz val="12.0"/>
      </rPr>
      <t>서비스를</t>
    </r>
    <r>
      <rPr>
        <rFont val="Calibri"/>
        <color theme="1"/>
        <sz val="12.0"/>
      </rPr>
      <t xml:space="preserve"> </t>
    </r>
    <r>
      <rPr>
        <rFont val="맑은 고딕"/>
        <color theme="1"/>
        <sz val="12.0"/>
      </rPr>
      <t>제공하는</t>
    </r>
    <r>
      <rPr>
        <rFont val="Calibri"/>
        <color theme="1"/>
        <sz val="12.0"/>
      </rPr>
      <t xml:space="preserve"> </t>
    </r>
    <r>
      <rPr>
        <rFont val="맑은 고딕"/>
        <color theme="1"/>
        <sz val="12.0"/>
      </rPr>
      <t>정확한</t>
    </r>
    <r>
      <rPr>
        <rFont val="Calibri"/>
        <color theme="1"/>
        <sz val="12.0"/>
      </rPr>
      <t xml:space="preserve"> </t>
    </r>
    <r>
      <rPr>
        <rFont val="맑은 고딕"/>
        <color theme="1"/>
        <sz val="12.0"/>
      </rPr>
      <t>사이트</t>
    </r>
    <r>
      <rPr>
        <rFont val="Calibri"/>
        <color theme="1"/>
        <sz val="12.0"/>
      </rPr>
      <t xml:space="preserve"> </t>
    </r>
    <r>
      <rPr>
        <rFont val="맑은 고딕"/>
        <color theme="1"/>
        <sz val="12.0"/>
      </rPr>
      <t>주소</t>
    </r>
    <r>
      <rPr>
        <rFont val="Calibri"/>
        <color theme="1"/>
        <sz val="12.0"/>
      </rPr>
      <t xml:space="preserve">)
5. </t>
    </r>
    <r>
      <rPr>
        <rFont val="맑은 고딕"/>
        <color theme="1"/>
        <sz val="12.0"/>
      </rPr>
      <t>해제</t>
    </r>
    <r>
      <rPr>
        <rFont val="Calibri"/>
        <color theme="1"/>
        <sz val="12.0"/>
      </rPr>
      <t xml:space="preserve"> </t>
    </r>
    <r>
      <rPr>
        <rFont val="맑은 고딕"/>
        <color theme="1"/>
        <sz val="12.0"/>
      </rPr>
      <t>목적</t>
    </r>
    <r>
      <rPr>
        <rFont val="Calibri"/>
        <color theme="1"/>
        <sz val="12.0"/>
      </rPr>
      <t xml:space="preserve"> : </t>
    </r>
    <r>
      <rPr>
        <rFont val="맑은 고딕"/>
        <color theme="1"/>
        <sz val="12.0"/>
      </rPr>
      <t>홈페이지</t>
    </r>
    <r>
      <rPr>
        <rFont val="Calibri"/>
        <color theme="1"/>
        <sz val="12.0"/>
      </rPr>
      <t xml:space="preserve"> </t>
    </r>
    <r>
      <rPr>
        <rFont val="맑은 고딕"/>
        <color theme="1"/>
        <sz val="12.0"/>
      </rPr>
      <t>홍보사진</t>
    </r>
    <r>
      <rPr>
        <rFont val="Calibri"/>
        <color theme="1"/>
        <sz val="12.0"/>
      </rPr>
      <t xml:space="preserve"> </t>
    </r>
    <r>
      <rPr>
        <rFont val="맑은 고딕"/>
        <color theme="1"/>
        <sz val="12.0"/>
      </rPr>
      <t>및</t>
    </r>
    <r>
      <rPr>
        <rFont val="Calibri"/>
        <color theme="1"/>
        <sz val="12.0"/>
      </rPr>
      <t xml:space="preserve"> </t>
    </r>
    <r>
      <rPr>
        <rFont val="맑은 고딕"/>
        <color theme="1"/>
        <sz val="12.0"/>
      </rPr>
      <t>동영상</t>
    </r>
    <r>
      <rPr>
        <rFont val="Calibri"/>
        <color theme="1"/>
        <sz val="12.0"/>
      </rPr>
      <t xml:space="preserve"> </t>
    </r>
    <r>
      <rPr>
        <rFont val="맑은 고딕"/>
        <color theme="1"/>
        <sz val="12.0"/>
      </rPr>
      <t>자료</t>
    </r>
    <r>
      <rPr>
        <rFont val="Calibri"/>
        <color theme="1"/>
        <sz val="12.0"/>
      </rPr>
      <t xml:space="preserve"> </t>
    </r>
    <r>
      <rPr>
        <rFont val="맑은 고딕"/>
        <color theme="1"/>
        <sz val="12.0"/>
      </rPr>
      <t>갱신</t>
    </r>
    <r>
      <rPr>
        <rFont val="Calibri"/>
        <color theme="1"/>
        <sz val="12.0"/>
      </rPr>
      <t xml:space="preserve"> </t>
    </r>
    <r>
      <rPr>
        <rFont val="맑은 고딕"/>
        <color theme="1"/>
        <sz val="12.0"/>
      </rPr>
      <t>작업</t>
    </r>
    <r>
      <rPr>
        <rFont val="Calibri"/>
        <color theme="1"/>
        <sz val="12.0"/>
      </rPr>
      <t xml:space="preserve">.  </t>
    </r>
    <r>
      <rPr>
        <rFont val="맑은 고딕"/>
        <color theme="1"/>
        <sz val="12.0"/>
      </rPr>
      <t>끝</t>
    </r>
    <r>
      <rPr>
        <rFont val="Calibri"/>
        <color theme="1"/>
        <sz val="12.0"/>
      </rPr>
      <t xml:space="preserve">.
</t>
    </r>
    <r>
      <rPr>
        <rFont val="맑은 고딕"/>
        <color theme="1"/>
        <sz val="12.0"/>
      </rPr>
      <t>붙임</t>
    </r>
    <r>
      <rPr>
        <rFont val="Calibri"/>
        <color theme="1"/>
        <sz val="12.0"/>
      </rPr>
      <t xml:space="preserve"> : </t>
    </r>
    <r>
      <rPr>
        <rFont val="맑은 고딕"/>
        <color theme="1"/>
        <sz val="12.0"/>
      </rPr>
      <t>증빙자료</t>
    </r>
    <r>
      <rPr>
        <rFont val="Calibri"/>
        <color theme="1"/>
        <sz val="12.0"/>
      </rPr>
      <t xml:space="preserve"> </t>
    </r>
    <r>
      <rPr>
        <rFont val="맑은 고딕"/>
        <color theme="1"/>
        <sz val="12.0"/>
      </rPr>
      <t>첨부</t>
    </r>
    <r>
      <rPr>
        <rFont val="Calibri"/>
        <color theme="1"/>
        <sz val="12.0"/>
      </rPr>
      <t>(</t>
    </r>
    <r>
      <rPr>
        <rFont val="맑은 고딕"/>
        <color theme="1"/>
        <sz val="12.0"/>
      </rPr>
      <t>관련공문</t>
    </r>
    <r>
      <rPr>
        <rFont val="Calibri"/>
        <color theme="1"/>
        <sz val="12.0"/>
      </rPr>
      <t xml:space="preserve">, </t>
    </r>
    <r>
      <rPr>
        <rFont val="맑은 고딕"/>
        <color theme="1"/>
        <sz val="12.0"/>
      </rPr>
      <t>혹은</t>
    </r>
    <r>
      <rPr>
        <rFont val="Calibri"/>
        <color theme="1"/>
        <sz val="12.0"/>
      </rPr>
      <t xml:space="preserve"> </t>
    </r>
    <r>
      <rPr>
        <rFont val="맑은 고딕"/>
        <color theme="1"/>
        <sz val="12.0"/>
      </rPr>
      <t>관련계획서</t>
    </r>
    <r>
      <rPr>
        <rFont val="Calibri"/>
        <color theme="1"/>
        <sz val="12.0"/>
      </rPr>
      <t xml:space="preserve"> </t>
    </r>
    <r>
      <rPr>
        <rFont val="맑은 고딕"/>
        <color theme="1"/>
        <sz val="12.0"/>
      </rPr>
      <t>등</t>
    </r>
    <r>
      <rPr>
        <rFont val="Calibri"/>
        <color theme="1"/>
        <sz val="12.0"/>
      </rPr>
      <t>)</t>
    </r>
  </si>
  <si>
    <t>행정전자서명(GPKI) 이동 절차 알려줘</t>
  </si>
  <si>
    <t>요약: 행정전자서명 파일 압축하여 내 온메일 또는온톡으로 보내놓기 
→ 사용할 PC에서 온메일 또는 온톡 열어서 저장하기 
★ 온메일 이용시는 행정포털의 로그인계정과 비밀번호(id/pw) 숙지 ★ 
1] (이동전 PC) 행정전자서명 파일을 압축: GPKI폴더 전체 
- 행정전자서명 저장위치: C드라이브 /GPKI (폴더전체 압축)
2] (이동전 PC) 온메일 '내게쓰기' 또는 온톡으로 본인에게 압축파일한 파일 보내기
3] (이동후 PC) 온메일 또는 온톡열어서 압축파일 PC저장후 압축풀기
--저장위치:C드라이브 (GPKI폴더 전체가 있어야 됨)
* C&gt;GPKI&gt;certificate&gt;class2 폴더내 '본인이름으로 된 파일이 4개' 있는지 확인
※ [class2]만 복사하면 안됨, [GPKI]폴더 전체 복사.</t>
  </si>
  <si>
    <t>스마트행정게시판 공지사항</t>
  </si>
  <si>
    <t>스마트행정게시판 공지사항(연번500001)</t>
  </si>
  <si>
    <t>행정전자서명(GPKI) 갱신 절차 알려줘</t>
  </si>
  <si>
    <t>○ 별도 공문 신청 없이 가능한 기간: 인증서 유효기간 100일전부터 만료일시까지 갱신가능(유효기간 만료시 공문 신청)
○ 인증서 유효기간: 2년 3개월
○ 방법: gpki.go.kr 접속 → 인증서관리/갱신 (구분: 개인용, 행정기관)</t>
  </si>
  <si>
    <r>
      <rPr>
        <rFont val="Malgun Gothic"/>
        <color theme="1"/>
        <sz val="12.0"/>
      </rPr>
      <t xml:space="preserve">국가정보원 국가 정보보안 기본지침 제66조(비공개 업무자료 처리)
제66조(비공개 업무자료 처리) ① 공무원등은 비공개 업무자료를 다음 각 호의 어느 하나에 해당하는 방법으로만 처리하여야 한다.
    1. 소속 또는 근무중인 기관의 내부망 PC 및 서버에 작성 및 저장ㆍ보관 
    2. 소속 또는 근무중인 기관의 장이 지급한 휴대용 저장매체에 작성 및 저장ㆍ보관
    3. 다음 각 목의 어느 하나에 해당하는 수단(이하 “업무자료 공식 소통수단” 이라 한다)을 이용한 수ㆍ발신 또는 등재ㆍ열람 &lt;개정 2020.7.1.&gt; 
     가. 소속 또는 근무중인 기관의 장이 자체적으로 구축ㆍ운용하는 전자우편시스템(이하 “기관 전자우편”이라 한다)
     나. 공무원등이 공동으로 사용할 목적으로 문화체육관광부장관이 구축ㆍ운용하는 전자우편시스템(이하 “공직자통합메일”이라 한다)
     다. 공무원등이 다른 공무원등과 자료를 공유하거나 소통하기 위하여 사용하는 전용(專用) 소프트웨어(이하 “공공 전용(專用) 메신저”라 한다)
     라. 국회사무처가 구축ㆍ운용하는 의정자료전자유통시스템 등 기관간 업무자료의 소통 또는 공동 활용을 위해 구축한 정보시스템
    4. 그 밖에 다른 법규에 따라 허용되는 처리방법
  ② 공무원등은 제1항에도 불구하고 다음 각 호의 어느 하나에 해당하는 경우 소속 또는 근무중인 기관의 장이 지급한 인터넷 PC 또는 출장용 노트북을 이용하여 비공개 업무자료를 처리할 수 있다.
    1. 업무자료 공식 소통수단의 발신 또는 등재 기능을 이용하여 제2조제17호다목의 문장 또는 문구 작성 &lt;개정 2020.7.1.&gt; 
    2. 업무자료 공식 소통수단의 수ㆍ발신 또는 등재ㆍ열람 과정에서의 일시적 저장 &lt;개정 2020.7.1.&gt; 
    3. 제40조제5항에 따른 기관 인터넷망 PC에 작성ㆍ저장
    4. 제45조제3항 및 제4항에 따라 영상회의 솔루션을 활용하여 비공개 업무자료의 화면 영상을 공유하기 위한 일시적 저장  &lt;신설 2021.11.1.&gt; 
  ③ 공무원등은 제1항에도 불구하고 다음 각 호의 어느 하나에 해당하는 경우 개인이 소유한 PCㆍ휴대용 저장매체ㆍ휴대폰 등을 이용하여 비공개 업무자료를 처리할 수 있다.
    1. 업무자료 공식 소통수단의 발신 기능 또는 등재 기능을 이용하여 제2조제17호다목의 문장 또는 문구 작성 &lt;개정 2020.7.1.&gt; 
    2. 업무자료 공식 소통수단의 수ㆍ발신 또는 등재ㆍ열람 과정에서의 일시적 저장 &lt;개정 2020.7.1.&gt; 
    3. 제59조제4항에 따른 원격근무시스템에 접속하여 작성 &lt;개정 2020.7.1.&gt; 
    4. </t>
    </r>
    <r>
      <rPr>
        <rFont val="MS Gothic"/>
        <color theme="1"/>
        <sz val="12.0"/>
      </rPr>
      <t>｢</t>
    </r>
    <r>
      <rPr>
        <rFont val="맑은 고딕"/>
        <color theme="1"/>
        <sz val="12.0"/>
      </rPr>
      <t>감염병의 예방 및 관리에 관한 법률</t>
    </r>
    <r>
      <rPr>
        <rFont val="MS Gothic"/>
        <color theme="1"/>
        <sz val="12.0"/>
      </rPr>
      <t>｣</t>
    </r>
    <r>
      <rPr>
        <rFont val="맑은 고딕"/>
        <color theme="1"/>
        <sz val="12.0"/>
      </rPr>
      <t xml:space="preserve"> 제34조제1항에 따른 감염병 위기관리 조치 등 대규모 질병ㆍ재난 발생 등 특별한 사정으로 재택근무를 명받았으나 소속 또는 근무중인 기관에 제59조제4항에 따른 원격근무시스템이 구축되지 아니한 경우 &lt;신설 2020.7.1.&gt; [시행일 : 2020.2.23. 소급]
    5. 제45조제3항 및 제4항에 따라 영상회의 솔루션을 활용하여 비공개 업무자료의 화면 영상을 공유하기 위한 일시적 저장   &lt;신설 2020.7.1., 2021.11.1.&gt; 
    6. 국민의 생명ㆍ신체, 국가안보 및 공공의 안전 등을 위하여 긴급히 작성, 저장, 수ㆍ발신이 필요하다고 소속 또는 근무중인 기관의 장이 인정하는 경우
  ④ 공무원등은 제3항제5호 및 제6호에 해당하는 경우를 제외하고는 </t>
    </r>
    <r>
      <rPr>
        <rFont val="MS Gothic"/>
        <color theme="1"/>
        <sz val="12.0"/>
      </rPr>
      <t>｢</t>
    </r>
    <r>
      <rPr>
        <rFont val="맑은 고딕"/>
        <color theme="1"/>
        <sz val="12.0"/>
      </rPr>
      <t>정보통신망 이용촉진 및 정보보호 등에 관한 법률</t>
    </r>
    <r>
      <rPr>
        <rFont val="MS Gothic"/>
        <color theme="1"/>
        <sz val="12.0"/>
      </rPr>
      <t>｣</t>
    </r>
    <r>
      <rPr>
        <rFont val="맑은 고딕"/>
        <color theme="1"/>
        <sz val="12.0"/>
      </rPr>
      <t xml:space="preserve"> 제2조제1항제2호에 따른 정보통신서비스(전자우편ㆍ메신저 등을 포함한다) 또는 국외에서 제공하는 이와 유사한 서비스(이하 “상용 정보통신서비스”라 한다)를 이용하여 비공개 업무자료를 작성, 저장, 수ㆍ발신하여서는 아니 된다. &lt;개정 2020.7.1.&gt; 
  ⑤ 공무원등은 제2항부터 제4항까지에 따라 작성ㆍ저장한 비공개 업무자료는  활용이 종료된 후에는 삭제하여야 한다. &lt;개정 2020.7.1.&gt; 
  ⑥ 교육현장에서 비공개 업무자료를 처리할 경우 제1항부터 제5항까지를 적용하지 아니한다. 다만, 교육부장관과 시ㆍ도 교육감은 상호 협의하여 학생ㆍ교직원 평가와 관련한 비공개 업무자료 보안관리 방안을 별도 수립ㆍ시행할 수 있다.  &lt;개정 2020.7.1.&gt; </t>
    </r>
  </si>
  <si>
    <t>행정전자서명(gpki) 신규 및 재발급절차를 알려줘</t>
  </si>
  <si>
    <t xml:space="preserve">1. 첨부한 한글파일 서식 작성해서 공문에 첨부하여 신청(정보화정책과)해주세요. ＃기간제 직원 신청시 근무기간 반드시 명시
* 구군은 구군 전산팀,상수도사업본부는경영지원부 정보관리팀, 소방재난본부는 119종합상황실로 신청
2. 공문 수신후 발급가능 처리를 하면발급 가능하다는 휴대전화 문자메세지가 갑니다
***14일내 발급하지 않으면발급이 되지 않고 재 신청해야 하므로시일을 넘기지 않도록 합니다.(공문 재발송 필요)***
문자메시지 확인후
gpki.go.kr에 접속하여 이름과 주민번호를 입력하고
휴대폰으로 인증번호 수신하여 인증서를발급으시면 됩니다.(※ 행정망에서만 가능)
- 메뉴: 인증서관리/발급 (구분: 개인용, 행정기관)
- 기관명: 부산광역시
</t>
  </si>
  <si>
    <t>법령</t>
  </si>
  <si>
    <r>
      <rPr>
        <rFont val="Malgun Gothic"/>
        <strike/>
        <color theme="1"/>
        <sz val="12.0"/>
      </rPr>
      <t>28,</t>
    </r>
    <r>
      <rPr>
        <rFont val="Malgun Gothic"/>
        <color theme="1"/>
        <sz val="12.0"/>
      </rPr>
      <t xml:space="preserve"> 43</t>
    </r>
  </si>
  <si>
    <t>산업단지 개발에 대한 절차에 대해 구체적으로 알려주세요</t>
  </si>
  <si>
    <r>
      <rPr>
        <rFont val="Malgun Gothic"/>
        <color theme="1"/>
        <sz val="12.0"/>
      </rPr>
      <t xml:space="preserve">□ 산업단지 개발절차
○ 국가산업단지
1. 국가산업단지 개발계획(안)수립
2. 관할 시, 도지사 의견청취
3. 주민, 관계기관 등 의견청취
4. 중앙토지수용위원회 협의
5. 관계중앙행정기고나 협의
6. 국가산업단지 지정, 승인신청
7. 산업입지정책심의회 심의
8. 산업단지지정, 고시
9. 고시내용 송부
10. 일반인 열람
11. 실시계획 작성
12. 실시계획 승인 신청
13. 관할시, 도지사의견 중앙행정기관 협의
14. 실시계획 승인
15. 실시계획 고시
16. 시, 군, 구에 송부
17. 일반인열람
18. 지형도면고시
19. 사업시행
20. 준공인가 신청
21. 준공검사
22. 준공인가, 공고
23. 준공인가통지
24. 산업단지관리기관에 통보
25. 분양
○ 일반산업단지(도시첨단산업단지 포함)
1. 지정계획안 수립
2. 산업단지 지정승인 요청
3. 관할시장, 군수, 구청장 의견 청취
4. 중앙토지수용위원회 협의
5. 주민, 관계전문가 등 의견 청취
6. 관계 행정기관 협의
7. 산업단지계획심의위원회
8. 산업단지 지정, 고시
9. 고시내용 송부
10. 일반인 열람
11. 실시계획 작성
12. 실시계획 승인신청
13. 관계기관 협의
14. 실시계획 승인
15. 실시계획 고시
16. 시, 군, 구에 송부
17. 일반인 열람
18. 지형도면 고시
19. 사업시행
20. 준공인가 신청
21. 준공검사
22. 준공 인가, 공고
23. 준공인가 통지
24. 산업단지관리기관에 통보
25. 분양
</t>
    </r>
    <r>
      <rPr>
        <rFont val="Malgun Gothic"/>
        <color rgb="FF0000FF"/>
        <sz val="12.0"/>
      </rPr>
      <t>&gt;&gt; [25.12.26 - 김상돈]
여덟 페이지를 참고하라고 되어 있는데 전달해야하는 페이지가 너무 많습니다.
해당 페이지의 실제 내용을 보면 일반적이지 않은 표 형태로 글자가 많은 이미지와 같은 형태이며, 기대답변과 같이 명확하게 그 의미를 파악해서 답변하기 힘들것으로 판단됩니다.</t>
    </r>
  </si>
  <si>
    <t>32, 33, 34, 35, 36, 37, 38, 39</t>
  </si>
  <si>
    <t>본문 내용 표 인용</t>
  </si>
  <si>
    <r>
      <rPr>
        <rFont val="Malgun Gothic"/>
        <strike/>
        <color theme="1"/>
        <sz val="12.0"/>
      </rPr>
      <t>54, 55, 56, 57,</t>
    </r>
    <r>
      <rPr>
        <rFont val="Malgun Gothic"/>
        <color theme="1"/>
        <sz val="12.0"/>
      </rPr>
      <t xml:space="preserve"> 58</t>
    </r>
  </si>
  <si>
    <t>훼손지 복구사업의 대상지 부족과 사업의 실행에 있어 여러 어려움을 개선하기 위한 방안이 있는지 알려주세요</t>
  </si>
  <si>
    <r>
      <rPr>
        <rFont val="Malgun Gothic"/>
        <color theme="1"/>
        <sz val="12.0"/>
      </rPr>
      <t xml:space="preserve">□ 훼손지 복구제도 개선방안
○ 훼손지 복구사업의 성격 재규정
1. 훼손지 및 훼손지 복구사업 명칭 변경
 · (예시) '훼손지' 를 '녹지확충우선지역'으로, '훼손지 복구사업'은 '개발제한구역 내 녹지확충사업'으로 명칭 변경
2. 복구사업 대상지 확대 및 검토 우선순위 부여
 · 개발가능 지목, 녹지축 등 환경·생태 보전지역, 검토 우선순위 부여(1~4순위)
3. 복구사업 대상지 확대 및 검토 우선순위 부여
 · 개발제한구역 신규 지정
○ 복구사업 대상지의 특성에 따른 복구기준 차등화
1. 복구사업 대상지 입지에 따른 복구사업 유형 차등화
 · 보전가치가 높은지역=원형보전, 이용성 높은지역=공원조성
2. 복구사업비가 상대적으로 낮은 지역의 복구면적 합리화
3. 공원시설율 차등화 및 불부합 시설의 설치 불허
○ 복구사업의 실행력 제고
1. 복구면적 산정기준을 합리적으로 조정
2. 복구사업비보다 낮은 보전부담금 납부액 현실화
3. 공공주택사업의 복구사업 대상지 승인 시기 조정
4. 복구사업 내 이축권에도 해제사업 내 대토보상 자격 부여
</t>
    </r>
    <r>
      <rPr>
        <rFont val="Malgun Gothic"/>
        <color rgb="FF0000FF"/>
        <sz val="12.0"/>
      </rPr>
      <t>&gt;&gt; [25.12.26 - 김상돈]
해당 파일의 확장자는 pdf 이지만 내용 전체가 이미지로 인식이 불가합니다</t>
    </r>
  </si>
  <si>
    <r>
      <rPr>
        <rFont val="Malgun Gothic"/>
        <color theme="1"/>
        <sz val="12.0"/>
      </rPr>
      <t xml:space="preserve">2109_국토연구원_국토정책Brief_개발제한구역 훼손지 복구제도 개선방안
</t>
    </r>
    <r>
      <rPr>
        <rFont val="Malgun Gothic"/>
        <color rgb="FF0000FF"/>
        <sz val="12.0"/>
      </rPr>
      <t>&gt;&gt; 01.국토정책 brief  개발제한구역 훼손지 복구제도 개선방안.pdf</t>
    </r>
  </si>
  <si>
    <t>6, 7, 8</t>
  </si>
  <si>
    <t>개발제한구역 훼손지 복구 및 정비사업 업무처리규정</t>
  </si>
  <si>
    <t>당직민원</t>
  </si>
  <si>
    <r>
      <rPr>
        <rFont val="Malgun Gothic"/>
        <color theme="1"/>
        <sz val="12.0"/>
      </rPr>
      <t xml:space="preserve">★ 당직민원 접수하지 말고 민원인에게 바로 안내하세요
★ 택시 차량번호는 모르지만 선불(또는 후불)카드로 결제했을 경우
  ○ 캐시비(마이비카드) 고객센터 : 1644-1472(ARS 3번)
  ○ 티머니카드 고객센터: 1644-1188(ARS 3번)
  ○ 동백택시 고객센터: 1668-3528 전화 후 본인인증
위 3곳에 전화 하면 이용했던 차량번호, 소속회사 연락처 확인 가능해요
</t>
    </r>
    <r>
      <rPr>
        <rFont val="Segoe UI Symbol"/>
        <color theme="1"/>
        <sz val="12.0"/>
      </rPr>
      <t>❍</t>
    </r>
    <r>
      <rPr>
        <rFont val="맑은 고딕"/>
        <color theme="1"/>
        <sz val="12.0"/>
      </rPr>
      <t xml:space="preserve"> 개인택시, 법인택시
    - 개인택시조합 051-500-8500   ※ 택시번호 알 경우
    - 가까운 경찰서 혹은 지구대, 경찰청민원실(☏182)</t>
    </r>
  </si>
  <si>
    <r>
      <rPr>
        <rFont val="Malgun Gothic"/>
        <color theme="1"/>
        <sz val="12.0"/>
      </rPr>
      <t xml:space="preserve">20억 미만 조달청 협상에 의한 계약 추진시 사업부서 업무 흐름도를 알려주세요
</t>
    </r>
    <r>
      <rPr>
        <rFont val="맑은 고딕"/>
        <color rgb="FFFF0000"/>
        <sz val="12.0"/>
      </rPr>
      <t>&gt;&gt;몇P에서 참고해야 하는지에 대한 세부적인 내용 부족으로 미반영</t>
    </r>
  </si>
  <si>
    <t>1. (사업부서) 내부계획서 수립
(3억미만 계약팀장 협조, 3억이상 과장님 협조)
 ※ 조달 의뢰계약은 계약심사, 일상감사 제외
2. (사업부서) 계약 의뢰(수신:계약부서)
3. (사업부서) 조달청 e-발주시스템 등록
 - 발주정보, 제안요청서, 평가표, 평가위원 배정요청,첨부파일 등록
  ※ 긴급입찰사유서, 국제입찰제외사유서 필요시 등록
4. (조달청) 사전규격 공개(5일) 후 등록의견 답변 요청(수신:사업부서)
 ※ 5일: 초일 불산입/휴일 포함
5. (사업부서) 사전규격공개 의견 검토(내부결재) 후 의견답변서 회신(수신:조달청)
6. (조달청) 입찰 공고 및 개찰 후 정량평가 요청(수신:사업부서)
7. (사업부서) 정량평가(내부결재) 후 결과 회신(수신:조달청)
8. (조달청) 조달청 정성평가 후 [협상순위 통보 및 기술협상 안내](수신:사업부서)
9. (사업부서) 우선협상대상자와 기술협상(내부결재) 후 회신(수신:조달청)
10. (조달청) [낙찰자 선정 및 계약체결 안내](수신: 시 계약부서, 사업부서, 계약업체)
11. (계약부서) 조달 계약체결 알림 및 감독원 임명 요청(수신:사업부서)
12. (사업부서) 감독원 알림(수신:계약부서)
13. (사업부서) 착수계 수령 및 착수보고회 개최, 사업진행</t>
  </si>
  <si>
    <t>1.입찰(협상에의한 계약 포함)안내[부서]
2.국제입찰제외 사유서_양식
3.긴급입찰사유서 양식
4.제안요청서 등록 수요기관 매뉴얼(e-발주시스템)
5.협상에 의한 계약 불공정사례집</t>
  </si>
  <si>
    <r>
      <rPr>
        <rFont val="Malgun Gothic"/>
        <strike/>
        <color theme="1"/>
        <sz val="12.0"/>
      </rPr>
      <t>1,</t>
    </r>
    <r>
      <rPr>
        <rFont val="Malgun Gothic"/>
        <color theme="1"/>
        <sz val="12.0"/>
      </rPr>
      <t xml:space="preserve"> 2</t>
    </r>
  </si>
  <si>
    <r>
      <rPr>
        <rFont val="Malgun Gothic"/>
        <color theme="1"/>
        <sz val="12.0"/>
      </rPr>
      <t>민원인이 개인정보의 **파기**를 요구하는 경우,  
처리 근거가 **정보주체의 동의**에 기한 것인지 또는 **법령에 따른 수집</t>
    </r>
    <r>
      <rPr>
        <rFont val="MS Gothic"/>
        <color theme="1"/>
        <sz val="12.0"/>
      </rPr>
      <t>‧</t>
    </r>
    <r>
      <rPr>
        <rFont val="맑은 고딕"/>
        <color theme="1"/>
        <sz val="12.0"/>
      </rPr>
      <t xml:space="preserve">이용**인지 여부를 먼저 확인해야 합니다.  
- 처리 근거가 정보주체의 동의에 기반한 경우라면, 「개인정보 보호법」 제4조 제4호에 따라 정보주체는 개인정보의 파기를 요구할 권리를 가지며, 따라서 원칙적으로 해당 개인정보의 **파기 요구를 수용**해야 합니다.  
- 반면, 처리 근거가 「개인정보 보호법」 제15조 제1항 제2호 또는 제3호처럼 **법령에 따른 수집·이용**이라면, 파기 요구를 거절할 사유가 될 수 있습니다. </t>
    </r>
  </si>
  <si>
    <r>
      <rPr>
        <rFont val="Malgun Gothic"/>
        <color theme="1"/>
        <sz val="12.0"/>
      </rPr>
      <t>제한입찰이란 계약의 특성, 기술적 난이도, 지역성 등을 고려하여 입찰참가 자격을 일정 요건으로 제한하는 방식이며, 다음과 같이 유형별로 구분된다.
1. 동일 실적 제한 : 해당 계약과 동일한 종류의 실적 보유 여부로 제한
&lt;공사&gt;
-종합공사 : 추정가격 30억원 이상
-전문·그 밖의 공사 : 추정가격 3억원 이상
-실적 기준 :
· 계약규모 또는 물량의 1/3 이내
· 필요 시 1/3 이상 ~ 1배 범위에서 최소실적 설정 가능
· 계약금액의 1배 이내
· 특수 기술·공법 요구 공사
&lt;물품·용역&gt;
기획재정부장관 고시금액(「국가를 당사자로 하는 계약에 관한 법률 등 기획재정부장관이 정하는 고시금액」 참고) 이상이며 특수 설비 또는 기술이 요구되는 경우
2. 기술보유 상황 제한
&lt;공사&gt;
특수한 기술·공법이 요구되는 경우
&lt;물품·용역&gt;
특수한 기술이 요구되는 물품제조·용역
3. 시공능력평가액 제한
-종합공사 : 추정가격 30억원 이상
-전문·그 밖의 공사 : 추정가격 3억원 이상
4. 지역 제한: 입찰참가자를 일정 지역 사업자로 제한
&lt;공사&gt;
-종합공사 : 추정가격 100억원 미만
-전문·전기·그 밖의 공사 : 추정가격 10억원 미만
&lt;물품·용역&gt;
-행안부 고시금액 미만 일반용역·물품
-시·군·구 : 추정가격 5억원 미만
-건설기술·설계·감리 용역 : 3.3억원 미만
-안전점검·정밀안전진단 : 1.5억원 미만
※ 법인: 본점 소재지 / 개인: 사업자등록증상 사업장 소재지 기준
5. 설비 보유 제한: 특수한 설비가 요구되는 물품 제조
6. 유자격자명부 제한: 시·도지사가 공사 성질·규모별로 등록한 사업자로 제한
7. 물품 납품능력 제한: 특수 성능·품질이 요구되는 경우 해당 인증 보유 여부로 제한
8. 중소기업자 제한: 「중소기업제품 구매촉진 및 판로지원에 관한 법률」  제6조에 따른 지정 물품, 중소기업자로만 참여 가능
9. 소기업·소상공인 제한:「중소기업제품 구매촉진 및 판로지원에 관한 법률」 제7조의2제2항제1호에 따른 제한경쟁입찰 방법에 따라 물품 제조</t>
    </r>
    <r>
      <rPr>
        <rFont val="MS Gothic"/>
        <color theme="1"/>
        <sz val="12.0"/>
      </rPr>
      <t>‧</t>
    </r>
    <r>
      <rPr>
        <rFont val="맑은 고딕"/>
        <color theme="1"/>
        <sz val="12.0"/>
      </rPr>
      <t>구매 계약을 체결하는 경우에는 같은 항에 따른 공동사업에 참여한 소기업 또는 소상공인(해당 물품 등을 납품할 수 있는 소기업 또는 소상공인)
10. 정책 대상기업 제한
-추정가격 1억원 미만
→ 벤처기업, 소상공인, 소기업, 창업기업 등
-고시금액 미만 1억원 이상
→ 중소기업자로 제한</t>
    </r>
  </si>
  <si>
    <t>직원복지</t>
  </si>
  <si>
    <t>직장 내 괴롭힘을 상담 및 신고하고 싶습니다</t>
  </si>
  <si>
    <t>1. 행정포털 우측 하단 [직장 내 괴롭힘 고충상담] 배너 클릭
2. 유선상담: 888-1775, 1777, 1778
3. 메일: bwithu@korea.kr
4. 대면상담: 별도 고충상담실(사전예약)</t>
  </si>
  <si>
    <t>2504_권익보호담당관_업무매뉴얼_권익보호담당관_2025년부산광역시직장내괴롭힘사건처리매뉴얼.pdf</t>
  </si>
  <si>
    <t>16, 17, 18, 19, 20, 21</t>
  </si>
  <si>
    <t>본문 내용 인용</t>
  </si>
  <si>
    <t>직장 내 성희롱, 스토킹, 성폭력 고충상담 및 신고하고 싶습니다.</t>
  </si>
  <si>
    <t>1. 행정포털 우측 하단 [직장 내 성희롱스토킹고충상담] 배너 클릭
2. 유선상담: 888-1775, 1777, 1778
3. 메일: bwithu@korea.kr
4. 대면상담: 별도 고충상담실(사전예약)</t>
  </si>
  <si>
    <t>2504_권익보호담당관_업무매뉴얼_권익보호담당관_2025년부산광역시직장내성희롱·성폭력·스토킹사건처리매뉴얼.pdf</t>
  </si>
  <si>
    <t>33, 34, 35, 36, 37, 38, 39, 40, 41, 42, 43, 44, 45, 46, 47, 48, 49, 50</t>
  </si>
  <si>
    <t>정보공개청구 처리기한을 알고 싶어요</t>
  </si>
  <si>
    <r>
      <rPr>
        <rFont val="Malgun Gothic"/>
        <color theme="1"/>
        <sz val="12.0"/>
      </rPr>
      <t xml:space="preserve">● 정보공개(공개/부분공개/비공개) ▷ 처리기한(10일)
● 정보부존재/진정·질의/종결통지 ▷ 처리기한(7일)
</t>
    </r>
    <r>
      <rPr>
        <rFont val="Malgun Gothic"/>
        <color rgb="FF0000FF"/>
        <sz val="12.0"/>
      </rPr>
      <t>&gt;&gt; [25.12.26 - 김상돈]
추가로 전달준 자료의 경우 파일내 주요 내용이 이미지로 처리된 부분이 많아 해당 파일을 임베딩하는 것이 다른 문제를 야기시킬 수 있다고 판단되어
기존에 임베딩 자료중 질문에 대한 답변이 가능한 참조 문서로 대체</t>
    </r>
  </si>
  <si>
    <r>
      <rPr>
        <rFont val="Malgun Gothic"/>
        <strike/>
        <color theme="1"/>
        <sz val="12.0"/>
      </rPr>
      <t>③ 2501_정보화정책과_업무매뉴얼_통합민원과_정보공개 처리절차안내문 및 유의사항(v_2025.1)</t>
    </r>
    <r>
      <rPr>
        <rFont val="Malgun Gothic"/>
        <color theme="1"/>
        <sz val="12.0"/>
      </rPr>
      <t xml:space="preserve">
424_2108_통합민원과_업무매뉴얼_행정안전부_정보공개운영안내서.pdf</t>
    </r>
  </si>
  <si>
    <r>
      <rPr>
        <rFont val="Malgun Gothic"/>
        <strike/>
        <color theme="1"/>
        <sz val="12.0"/>
      </rPr>
      <t xml:space="preserve">39
</t>
    </r>
    <r>
      <rPr>
        <rFont val="Malgun Gothic"/>
        <color theme="1"/>
        <sz val="12.0"/>
      </rPr>
      <t>100</t>
    </r>
  </si>
  <si>
    <t>정보공개여부 결정기간</t>
  </si>
  <si>
    <t>국민신문고 민원 처리 방법을 알고 싶어</t>
  </si>
  <si>
    <r>
      <rPr>
        <rFont val="Malgun Gothic"/>
        <color theme="1"/>
        <sz val="12.0"/>
      </rPr>
      <t xml:space="preserve"> ● 민원처리방법
※ 민원답변: 7일 이내 답변
① 전자결재와 연계하여 결재 처리 (부서장 결재)
  ▶가급적 '대내외시행' 으로 결재(시행문으로 통보(직인))
②  답변 시 ‘서신 통보문’ 형식 준수
  ▶민원답변서 기본양식(공개용, 비공개용) 활용
  ▶답변 시 도입부, 전개부(민원요지 요약, 답변), 종결부
      ※ 비공개민원은 민원번호 기재
  ▶종결부: '민원행정의 개선을 위해 민원처리에 대한 만족도 평가에 참여 부탁드립니다.' (문구 추가)
※ 민원처리담당자의 소속, 성명, 전화번호 or 이메일 3가지 모두 공개!
</t>
    </r>
    <r>
      <rPr>
        <rFont val="Malgun Gothic"/>
        <color rgb="FF0000FF"/>
        <sz val="12.0"/>
      </rPr>
      <t>&gt;&gt; [25.12.26 - 김상돈]
참조 해야 할 페이지가 너무 많습니다.</t>
    </r>
  </si>
  <si>
    <t>2508_정보화정책과_업무매뉴얼_통합민원과_부산민원120(온라인민원 통합창구) 운영 매뉴얼</t>
  </si>
  <si>
    <t>4, 5, 6, 7, 8, 9, 10, 11, 12, 13, 14, 15, 16, 17, 18, 19, 20, 21, 22</t>
  </si>
  <si>
    <t>민원처리 절차(처리절차 ~ 만족도 결과 확인까지)</t>
  </si>
  <si>
    <t>관외 출장 시 숙박비, 교통비 지급기준을 알고 싶어요</t>
  </si>
  <si>
    <t>● 제1호(3급(국장급)이상) 
① 실비처리: 철도(특실)/선박(1등급)/항공/자동차 운임비 및 숙박비일체
② 일비(25,000), 식비(25,000)
● 제2호(4급이하) 
① 실비처리: 철도(일반실)/선박(2등급)/항공/자동차 운임비 및 숙박비(서울100,000/광역시80,000,그외70,000)일체
② 일비(25,000), 식비(25,000)</t>
  </si>
  <si>
    <t>2303_정보화정책과_법령_인사혁신처_별표_2_국내_여비_지급표제10조부터_제13조까지_및_제16조제1항 관련공무원_여비_규정.pdf</t>
  </si>
  <si>
    <t>여비 지급표</t>
  </si>
  <si>
    <t>IT</t>
  </si>
  <si>
    <t>정보화사업 추진 시 발주단계에서 고려해야 할 협의나 심의는 어떤 것이 있는지 알고 싶어요</t>
  </si>
  <si>
    <r>
      <rPr>
        <rFont val="Malgun Gothic"/>
        <color theme="1"/>
        <sz val="12.0"/>
      </rPr>
      <t xml:space="preserve">●사업 발주 단계 심의내역
① 과업심의위원회: 인력풀요청(정보화정책과에서 인력풀제공)
② 사전협의 :검토의뢰(정보화정책과에서 검토, 결과통보)
③ 보안성 검토 :검토의뢰(정보화정책과에서 검토, 결과통보)
④ 일상감사 및 계약심사(청렴담당관실 의뢰 ※조달청 의뢰시 생략)
</t>
    </r>
    <r>
      <rPr>
        <rFont val="Malgun Gothic"/>
        <color rgb="FF0000FF"/>
        <sz val="12.0"/>
      </rPr>
      <t>&gt;&gt; [25.12.26 - 김상돈]
참조 문서의 내용중 담당자의 이름과 내선번호과 그대로 적혀 있습니다.
어떻게 처리할 것인지 논의가 필요할것 같습니다.</t>
    </r>
  </si>
  <si>
    <t>2508_정보화정책과_업무매뉴얼_정보화정책과_정보화사업 추진절차 및 분야별 컨설턴트(20250801)</t>
  </si>
  <si>
    <t>정보화사업 추진절차(SW개발) 사업발주단계</t>
  </si>
  <si>
    <t>해킹메일 구별하는 방법은 무엇인가요?</t>
  </si>
  <si>
    <t>해킹메일 구별법
  - 내용이 의심스럽다면 열람 전 보낸사람 메일주소 확인(예시: notice@navver.com, notice@googlee.com 등 변형된 메일주소사용)</t>
  </si>
  <si>
    <t>2508_정보화정책과_2025년 상반기 행정안전부 해킹메일 대응 훈련 결과 알림</t>
  </si>
  <si>
    <t>의심스러운 메일을 수신한 경우 열람하지 말고, 즉시 삭제하여 해킹메일 수신 시 대응 바랍니다.
* 의심스러운 메일 확인방법: 발신자 이메일 주소 확인 후 열람
예시)  notice@mois.g-o.kr, notice@navver.com 등 변형된 이메일주소사용</t>
  </si>
  <si>
    <t>해킹메일 수신 시 대응방법은 무엇인가요?</t>
  </si>
  <si>
    <t xml:space="preserve">해킹메일 대응방법
  - 수상한 발신자가 보낸 전자우편은 읽지 않고, 삭제 또는 신고
  - 메일을 열람했다면 절대 링크주소 클릭 및 첨부파일 다운로드 및 실행 금지 </t>
  </si>
  <si>
    <t>2511_정보화정책과_2025년 하반기 행정안전부 해킹메일 대응훈련 대상자 알림
2308_정보화정책과_부산광역시 랜섬웨어 대응 매뉴얼</t>
  </si>
  <si>
    <t>1
5</t>
  </si>
  <si>
    <t>해킹메일 대응훈련 협조사항
- 의심스러운 메일은 열람 전 보낸사람 메일주소 확인, 메일내용 중 링크클릭 금지
출처가 불명확한 이메일과 URL 링크는 실행하지 않기
- 수상한 발신자가 보낸 전자우편은 읽지않고, 첨부파일은 내려받기 금지
- 첨부된 오피스, 스크립트 등 파일의 매크로 기능을 허용 및 실행 금지</t>
  </si>
  <si>
    <t>사이버침해사고 발생 시 대응방법은 무엇인가요?</t>
  </si>
  <si>
    <t>사이버침해사고 대응 방법
1. 침해사고 신고
즉시 통보: 각급기관의 장은 정보시스템의 비인가된 접근, 정보자산의 유출 등 침해사고 발생 시 즉시 영역별 보안담당자 및 침해사고담당자에게 문서 또는 구두로 통보해야 합니다.
증거 보존: 침해사고 발생 또는 징후 발견 시, 발견자는 임의로 문제 해결을 시도하지 않고 증거를 보존해야 합니다.
2. 신고 및 접수
신속한 신고: 침해사고 발생 즉시 신고자는 가장 빠른 방법으로 신고해야 합니다.
기록 관리: 침해사고담당자는 [별지 제1호 서식] "침해사고 발견 및 조치 대장"에 기록하여 문서상으로 보관 관리해야 합니다.
3. 침해대응 공통 처리 절차
사고 유형 파악: 침해사고의 유형을 파악합니다.
초동 조치 수행: 초기 대응 조치를 수행합니다.
기본 정보 수집: 관련 기본 정보를 수집합니다.
사고 조사: 피해 시스템을 조사하여 사고 원인을 분석합니다.
재발방지 조치: 사고 재발 방지를 위한 조치를 시행합니다.
이러한 절차를 통해 사이버침해사고에 효과적으로 대응하고, 재발 방지를 위한 체계를 구축할 수 있습니다.</t>
  </si>
  <si>
    <t>2306_정보화정책과_부산광역시 사이버침해대응 지침
2306_정보화정책과_부산광역시 사이버침해대응 매뉴얼</t>
  </si>
  <si>
    <t>5
11, 12</t>
  </si>
  <si>
    <t>제9조(침해사고의 신고) ①각급기관의 장은 정보시스템의 비인가된 접근, 정보자산의 유출 등 침해사고 발생 즉시 영역별 보안담당자 및 침해사고담당자에게 문서 또는 구두로 통보하여야 한다.
  ②침해사고 발생 또는 징후 발견 시 증거인멸을 방지하기 위해서 발견자가 임의로 문제해결을 하려고 시도해서는 안 된다.
제10조(신고 및 접수) 침해사고 발생 즉시 신고자는 가장 빠른 방법을 통해 신고해야 하며 침해사고담당자는 [별지 제1호 서식] “침해사고 발견 및 조치 대장”에 기록하여 문서상으로 보관 관리해야 한다.
제7조(침해대응 공통 처리 절차)
사이버침해사고가 발생할 경우 기본적으로 탐지기관에서 해당 기관 조사 요청이 접수되면 해당 요청 문서를 기반으로 관련 피해 시스템을 조사 한다. 일반적인 사고 처리 절차는 다음과 같다.
1. 사고 유형 파악 : 세부설명자료 제외
2. 초동 조치 수행 : 세부설명자료 제외
3. 기본 정보 수집 : 세부설명자료 제외
4. 사고 조사 : 세부설명자료 제외
5. 재발방지 조치 : 세부설명자료 제외</t>
  </si>
  <si>
    <t>사무실 PC에서 원격접속하는 방법은 무엇인가요?</t>
  </si>
  <si>
    <t>사무실 PC에서 외부 PC로 또는 외부 PC에서 사무실 PC로 원격접속하는 행위는 금지되어 있습니다.
원격접속 시도만으로도 보안관제에서 탐지되어 보안위반사항으로 적발되오니 유의하시기 바랍니다.</t>
  </si>
  <si>
    <t>2510_정보화정책과_국가 사이버 위기경보 '주의' 단계 발령 알림</t>
  </si>
  <si>
    <t>&lt; 사이버 침해사고 예방을 위한 정보보호 준수사항 &gt;
 ○ 확인되지 않은 발신자 및 의심스러운 메일은 열람하지 않고 삭제, 열람 시 신고
 ○ 구글 원격접속 데스크톱 등 원격접속 금지(시도할 경우 보안관제에서 자동 탐지됨)
 ○ 백신 최신 업데이트, PC 보안 취약점 점검 프로그램 상시 100점 유지</t>
  </si>
  <si>
    <t>기록물</t>
  </si>
  <si>
    <t xml:space="preserve">회의록 작성시 반드시 포함되어야 할 내용을 알려줘. </t>
  </si>
  <si>
    <t>공공기관은 「공공기록물 관리에 관한 법률」에 따라 아래 사항이 포함된 회의록을 작성하여야 합니다.
- 회의명(회의의 명칭)
- 개최기관(어떤 기관에서 개최했는지)
- 일시 및 장소
- 참석자·배석자 명단(직위 포함)
- 진행 순서(안건 진행 방식)
- 상정 안건(회의에 올린 안건 목록)
- 발언 요지(주요 발언의 요약)
- 결정·의결 사항(결정된 내용)
- 표결 내용(표결이 있었던 경우 표결 결과)
- (전자관리) 전자기록생산시스템을 통한 등록·관리 의무</t>
  </si>
  <si>
    <t>「공공기록물 관리에 관한 법률」 제17조 및 동법 시행령 제18조</t>
  </si>
  <si>
    <t>https://www.law.go.kr/lsSc.do?section=&amp;menuId=1&amp;subMenuId=15&amp;tabMenuId=81&amp;eventGubun=060101&amp;query=%EA%B3%B5%EA%B3%B5%EA%B8%B0%EB%A1%9D%EB%AC%BC+%EA%B4%80%EB%A6%AC%EC%97%90+%EA%B4%80%ED%95%9C+%EB%B2%95%EB%A5%A0+%EC%8B%9C%ED%96%89%EB%A0%B9#J25:0</t>
  </si>
  <si>
    <t>공공기록물 관리에 관한 법률 시행령 제18조(회의록의 작성·관리)
②제1항에 따른 회의록에는 회의의 명칭, 개최기관, 일시 및 장소, 참석자 및 배석자 명단, 진행 순서, 상정 안건, 발언 요지, 결정 사항 및 표결 내용에 관한 사항이 포함되어야 하며, 전자기록생산시스템을 통하여 회의록을 생산 또는 등록하여 관리해야 한다. 이 경우 제1항제1호부터 제3호까지, 제5호 또는 제6호에 해당하는 회의 중 영구기록물관리기관의 장이 지정하는 회의(이하 “지정회의”라 한다)는 회의록과 함께 속기록 또는 녹음기록 중 어느 하나를 생산해야 하며, 녹음기록의 경우에는 녹취록을 함께 생산해야 한다.</t>
  </si>
  <si>
    <r>
      <rPr>
        <rFont val="Malgun Gothic"/>
        <color theme="1"/>
        <sz val="12.0"/>
      </rPr>
      <t xml:space="preserve">외부강사료 지급 시 원천징수 기준은 어떻게 되지?
</t>
    </r>
    <r>
      <rPr>
        <rFont val="맑은 고딕"/>
        <color rgb="FFFF0000"/>
        <sz val="12.0"/>
      </rPr>
      <t>&gt;&gt; 근거문서로 기대답변 생상 불가</t>
    </r>
  </si>
  <si>
    <t xml:space="preserve">기관이  외부강사에게 강사료를 지급할 경우 다음과 같은 사항을 확인하여야 합니다. 
- 해당 강사와 고용관계 없고, 출퇴근·지휘감독 없이 단발성 행사 또는 교육으로 고용한 경우 대부분 기타소득(8.8%) 원천징수 처리가 정답입니다.
- 다만, “강의가 그 사람의 본업이고 강의용 사업자등록이 있는 경우, 계속적·반복적 강의인 경우”에는 사업소득(3.3% 또는 세금계산서) 고려가 필요합니다.
- “기타소득(강연료·원고료 등)”으로 분류되는 인적용역 대가의 경우, 지급금액이 건별 125,000원을 초과하면 원천징수 대상이 됩니다.
</t>
  </si>
  <si>
    <t>국세청 국세신고안내 원천세 중 기타소득</t>
  </si>
  <si>
    <t>https://www.nts.go.kr/nts/cm/cntnts/cntntsView.do?mi=6457&amp;cntntsId=7893</t>
  </si>
  <si>
    <t>【사례】 강연료 등 일시적인 인적용역의 제공 대가로 125,000원을 지급하였다. 기타소득금액과 원천징수세액은 얼마인가?
기타소득금액：50,000원
50,000원 = 125,000(기타소득 지급액) - 75,000원(필요경비 60%)
원천징수세액：0원(∴ 건별 기타소득금액이 5만원 이하로 과세최저한에 해당함)
기타소득이 125,000원을 초과하는 경우 “기타소득 지급액 × 8.8%”를 원천징수(지방소득세 포함)</t>
  </si>
  <si>
    <t>3층 직원 의원 물리치료 예약방법은?</t>
  </si>
  <si>
    <t>3층 의원 물리치료 및 도수치료 예약은 온나라 메모보고를 통해 아래와 같이 진행합니다.
① 온나라 메모보고 → ② 메모작성 → ③ 서식선택 → ④ 서식(기관용) → ⑤ "물리치료 및 도수치료 예약 신청서" 체크 → ⑥ 선택 → ⑦ 과제카드명(본인 과제카드에서 아무거나 선택) → ⑧ 수신자(건강정책과 윤예슬) → ⑨ 신청서 작성 → ⑩ 보고
진료 후 물리·도수치료 처방받은 경우에만 예약신청이 가능하며(초진자 예약 불가), 치료 희망일 전일 09:00~10:00 예약 신청, 사전 연락없이 미방문시 1회 치료한 것으로 간주하니 주의해 주세요.</t>
  </si>
  <si>
    <t>물리치료 및 도수치료 예약 신청 매뉴얼</t>
  </si>
  <si>
    <t>문서 전체 내용 인용</t>
  </si>
  <si>
    <t>부산시정</t>
  </si>
  <si>
    <r>
      <rPr>
        <rFont val="Malgun Gothic"/>
        <strike/>
        <color theme="1"/>
        <sz val="12.0"/>
      </rPr>
      <t xml:space="preserve">30, 31, 32, 33
</t>
    </r>
    <r>
      <rPr>
        <rFont val="Malgun Gothic"/>
        <color theme="1"/>
        <sz val="12.0"/>
      </rPr>
      <t>32, 33, 34, 35</t>
    </r>
  </si>
  <si>
    <t xml:space="preserve">지방재정영향평가 심사대상을 알려줘 </t>
  </si>
  <si>
    <t>지방재정영향평가지침 제2조(평가대상)
① 국내·국제경기대회 및 공연·축제 등의 행사성사업으로서, (시·도 기준) 총사업비 30억원 이상 사업
② 공모사업 등 유치를 신청하거나 응모하는 사업으로서 총사업비 100억 이상이면서, 지방재정 부담 50억원 이상 사업
단, 제3조(평가면제사업)에 해당할 경우 면제
①매년 또는 격년으로 개최하는 반복적 공연·축제 등 행사성 사업으로서, 전년도 또는 전전년도에 이미 평가를 실시한 사업(단, 전년대비 20% 이상 증액된 사업은 심사대상)
②공모사업 등 유치를 신청하거나 응모하는 사업으로서 법령에 따라 의무적으로 시행하는 사업 중 행정안부장관이 정하여 고시하는 사업</t>
  </si>
  <si>
    <t>2401_예산담당관실_지침_행정안전부_지방재정영향평가지침(행정안전부훈령)(제324호)</t>
  </si>
  <si>
    <t>본문 내용(지침) 편집하여 부분인용</t>
  </si>
  <si>
    <t>지방재정영향평가 신청시기는?</t>
  </si>
  <si>
    <t>지방재정영향평가지침 제7조(지방자치단체의 지방재정영향평가 절차)
①지방재정영향평가는 다음 회계연도부터 시행하는 사업을 대상으로 하되, 다음 각 호의 시기를 준수하여야 한다. 다만, 연도 중에 사업을 시행하여야할 특별한 사유가 있는 때에는 당해 회계연도 사업에 대하여 실시할 수 있다.
1. 중기지방재정계획 반영 전
2. 공모사업 등 유치를 신청하거나 응모하기 전
②정기적으로 실시하되 필요하다고 인정되는 경우 수시심사를 추가로 실시할 수 있다.</t>
  </si>
  <si>
    <t>본본문 내용(지침) 편집하여 부분인용</t>
  </si>
  <si>
    <r>
      <rPr>
        <rFont val="Malgun Gothic"/>
        <color theme="1"/>
        <sz val="12.0"/>
      </rPr>
      <t xml:space="preserve">신규사업 사전심사 대상 또는 면제 대상은?
</t>
    </r>
    <r>
      <rPr>
        <rFont val="맑은 고딕"/>
        <color rgb="FFFF0000"/>
        <sz val="12.0"/>
      </rPr>
      <t>&gt;&gt; 자료 미제출</t>
    </r>
  </si>
  <si>
    <t>1. 신규사업 사전심사 대상은 시비 3억원 이상 신규사업(단, 센터 신설계획 및 재정법 제37조의2에 따른 타당성조사 용역은 금액무관)
2. 면제 대상은 ①법령·지침 등에 따라 의무적으로 시행하는 사업 ②단순 소모품 교체사업 또는 단순 물품 구입 ③타 위원회 심의 대상 사업(주민참여예산, 정책연구용역 심의대상 사업, 기술용역 심의대상 사업, 연구개발조정회의 대상 R&amp;D사업, 정보화사업 예산타당성검토 이행 사업 등 ④공공운영비 및 유지보수비 등 유지관리비용 ⑤투자심사 재심사 대상 사업, 재난·안전 관련 시설물 등의 보수·보강 등 기타 사전심사의 실익이 없는 사업 등</t>
  </si>
  <si>
    <t>2412_예산담당관실_내부지침_예산담당관실_신규사업 사전심사제 개선방안 검토보고
2511_예산담당관실_내부지침_예산담당관실_2025년 제9차 신규사업 사전심사 대상사업 제출
2511_예산담당관실_내부지침_예산담당관실_붙임3. 사전심사 기준 및 면제대상</t>
  </si>
  <si>
    <t>1~2P
1p
3p</t>
  </si>
  <si>
    <t>본문 내용(지침) 편집하여 인용</t>
  </si>
  <si>
    <t>사업을 예산에 편성하기 전 시행해야할 선행(법정)절차는 무엇이 있는지 알려줘</t>
  </si>
  <si>
    <t>-(중기재정계획반영)
-(신규사업) 신청 전 철저한 사전 검증(재정영향평가, 사전심사제, 투자심사 등)
-(공유재산관리계획) 예산편성 전에 공유재산관리계획 수립, 시의회 의결
-(출자·출연금) 출자 또는 출연금 편성전 시의회 사전 동의
-(민간위탁금) 신규, 재위탁, 기간 갱신시 시의회 동의
-(지방보조금, 행사·축제사업) 지방보조금 및 신규 행사·축제 사전심사
-(용역심의) 정책연구용역 및 기술용역 사전 심사
-(공기관위탁 대행사업비) 신규, 재위탁, 기간 갱신시 시의회 동의 등</t>
  </si>
  <si>
    <t>2508_예산담당관실_매뉴얼_예산담당관실_(부산시) 2026년도 예산편성계획</t>
  </si>
  <si>
    <t>본문 내용 편집하여 인용</t>
  </si>
  <si>
    <t>정수를 받아야하는 물품은 무엇이 있는지?</t>
  </si>
  <si>
    <t>1. 정수물품 ex)차량, 비디오프로젝터, 디지털비디오레코더, 노트북 컴퓨터, 비디오카메라, 냉난방기
2. 비정수 물품 ex)전자복사기, 레이저프린터, 업무용컴퓨터, 문서세단기, 텔레비전, 공기청정기, 냉장고</t>
  </si>
  <si>
    <t>45</t>
  </si>
  <si>
    <t>경상사업설명서와 주요 투자사업 설명서 작성 기준은(구분은 어떻게 할까)?</t>
  </si>
  <si>
    <t>1. 주요 경상사업 설명서
-작성대상 : 당해연도에 2천만원 이상 예산이 반영되는 사업
※ 인건비성 경비는 101-01~03에 해당하는 통계목이 3억원 이상인 경우에만 작성, 그 외 인건비성 경비는 작성 제외
※ 부서운영기본경비(기본수용비, 기본급식비, 공공요금, 기본업무수행여비, 월액여비, 시설장비유지비 등) 제외
2. 주요 투자사업 설명서
-작성대상 : 총사업비가 20억원 이상이거나 당해 연도 시비 예산요구액이 3억원 이상인 사업 중 자본형성적인 사업과, 경상적 사업이지만 투자사업으로 관리할 필요가 있는 사업(법정경비 제외), 정부지원사업 중 시비부담규모가 5억원 이상인 사업과 5억원 미만이라도 시비지원 여부를 판단할 필요가 있는 사업</t>
  </si>
  <si>
    <t>66, 67</t>
  </si>
  <si>
    <t>교육</t>
  </si>
  <si>
    <r>
      <rPr>
        <rFont val="Malgun Gothic"/>
        <color theme="1"/>
        <sz val="12.0"/>
      </rPr>
      <t xml:space="preserve">공원내 프로그램 예약방법 알려줘
</t>
    </r>
    <r>
      <rPr>
        <rFont val="맑은 고딕"/>
        <color rgb="FFFF0000"/>
        <sz val="12.0"/>
      </rPr>
      <t>&gt;&gt; 근거로 기대답변 생성 불가</t>
    </r>
  </si>
  <si>
    <t>1.https://reserve.busan.go.kr/index 접속(부산광역시 통합예약시스템)
예약하려면 회원가입 → 로그인 → 원하는 프로그램 선택 → 예약 정보 입력 → 결제(필요 시) → 마이페이지에서 확인</t>
  </si>
  <si>
    <t>.</t>
  </si>
  <si>
    <t>https://reserve.busan.go.kr/index</t>
  </si>
  <si>
    <t>빅데이터</t>
  </si>
  <si>
    <r>
      <rPr>
        <rFont val="Malgun Gothic"/>
        <color theme="1"/>
        <sz val="12.0"/>
      </rPr>
      <t xml:space="preserve">과오납금 반환결의서 날인 방법?
</t>
    </r>
    <r>
      <rPr>
        <rFont val="맑은 고딕"/>
        <color rgb="FFFF0000"/>
        <sz val="12.0"/>
      </rPr>
      <t>&gt;&gt; 근거문서 페이지 이미지파일이라 인식불가</t>
    </r>
  </si>
  <si>
    <t>1. 담당자, 팀장, 과장, 분임징수관 순으로 결재란 날인
2. 전자결재 등록 시 자동 인쇄, 미등록 시 수기 날인 필요
3. 결의서 출력 → 결재란 입력 → 날인
4. 은행 제출</t>
  </si>
  <si>
    <t>2312부과오류 주요 세입과목 및 처리 매뉴얼</t>
  </si>
  <si>
    <t>7, 8,</t>
  </si>
  <si>
    <t>공공기관</t>
  </si>
  <si>
    <t>공공기관에 사무를 위탁하려고 하는데 위탁수수료는 얼마나 책정해야해?</t>
  </si>
  <si>
    <t>위탁·대행 수수료는 협약 체결시 사업의 특성 등을 감안하여 아래의 구간별 최고 비율 이하에서 협의하여야 합니다.
- 1억원 미만: 10% 이하
- 1억~5억원 미만: 7% 이하
- 5억원~10억원 미만: 5% 이하
- 10억원 이상: 3% 이하</t>
  </si>
  <si>
    <t>공공기관 위탁·대행 업무처리 지침('24.7.)</t>
  </si>
  <si>
    <t>출연기관에 사무 위탁을 위한 예산을 편성하려고 하는데 비목 관련 기준을 알려줘
 &gt;&gt; 첨부파일 없음</t>
  </si>
  <si>
    <t>출연기관에 사무 위탁시 예산편성을 위한 구조 및 내역은 행정안전부의 2025년도 지방출자·출연기관 예산편성 지침에 따라 아래와 같이 주요 비목 설정하고 편성할 수 있습니다.
 - 101 인건비
 - 107 퇴직급여
 - 201 일반운영비(-01 사무관리비, -03 행사운영비, -14 회의비, -15 복리후생비 등)
 - 202 여비
 - 207 연구개발비
 - 771 기타영업외비용(위탁수수료)</t>
  </si>
  <si>
    <t>2025년도 지방출자·출연기관 예산편성 지침(행정안전부)</t>
  </si>
  <si>
    <t>p61~88</t>
  </si>
  <si>
    <t>101 인건비 : 기관의 성격 또는 기관 내부적 필요성 등에 따라 ‘보수’ 등의 세목에 대한 추가적인 분류가 필요한 경우 기관 자체적으로 ‘세세목’을 신설하여 사용 및 관리
 107 퇴직급여: 
  1. 퇴직급여 지급액
  2. 근로자 퇴직급여 충당금 전입액
  3. 근로자 퇴직보험료
  4. 근로자에 대하여 확정기여형(DC형) 퇴직연금 운영 시 연금운용사에 납부할 사용자 부담금
  5. 근로자에 대하여 확정급여형(DB형) 퇴직연금 운영 시 연금운용사에 납부할 사용자 부담금
 201 일반운영비:
  1. 일반운영비는 사업추진을 위해 기본적으로 필요한 경비이면서 경상적 소모적 경비로 기관의 운영과 관련한 경비만을 편성하여야 하며, 일체의 자본적 지출항목은 편성할 수 없음
  2. 자산을 형성하는 자본적 지출 항목은 자본적 지출 해당과목에 계상</t>
  </si>
  <si>
    <t>경조사 및 특별 휴가일수를 알려주세요
 &gt;&gt; 해당 질의문은 의회 대상, 본청 대상 질의문은 기존 골든셋에 있어서 제외시킴</t>
  </si>
  <si>
    <t>1. 행정포털하단 행정서비스→ ’자치법규’ 클릭
 2. 자치법규정보시스템 →자치단체별 자치법규 → 소관업무별 자치법규 클릭
 3. 제1편 의회 클릭
 4, 부산광역시의회 공무원 복무조례 클릭
  - 제15조(특별휴가) 및 별표4(경조사별 휴가일
  수)내용 확인</t>
  </si>
  <si>
    <t>부산광역시의회 공무원 복무 조례 [제·개정일 2025-10-01] [조례 제7762호, 공포일 2025-10-01] 의회사무처 의정담당관</t>
  </si>
  <si>
    <t>제15조 및 별표4
  2~4P</t>
  </si>
  <si>
    <t>본문내용 그대로 인용</t>
  </si>
  <si>
    <t>공직자 재산등록 대상 및 고지거부
 내용을 알려주세요</t>
  </si>
  <si>
    <t>1. 등록대상
 - 재산등록의무자
 국가･지방자치단체의 정무직 공무원, 4급 이상 공무원, 교육감, 법관･검사, 대령 이상 장교, 공기업의 장, 공직유관단체임원 등 ※ 경찰･소방･국세･관세 등 특정분야는 7급 이상
 ① 대통령, 국무총리, 국무위원, 국회의원 등 국가의 정무직공무원
 ② 지방자치단체의 장, 지방의회의원 등 지방자치단체의 정무직공무원
 ③ 4급 이상의 일반직 국가공무원(고위공무원단에 속하는 일반직공무원 포함) 및 지방공무원, 4급 이상에 상당하는 별정직공무원(고위공무원단에 속하는 별정직 공무원 포함), 연구관･지도관, 4급 이상의 일반직공무원에 상당하는 전문경력관
 및 지방전문경력관, ｢전문직공무원 인사규정｣ 제3조에 따른 수석전문관 
 ④ 대통령령으로 정하는 외무공무원과 4급 이상의 국가정보원 직원 및 대통령 경호처 경호공무원
 ⑤ 법관 및 검사
 ⑥ 헌법재판소 헌법연구관
 ⑦ 대령 이상의 장교 및 이에 상당하는 군무원
 ⑧ 교육공무원 중 총장･부총장･대학원장･학장(대학교의 학장을 포함) 및 전문대학의 장과 대학에 준하는 각종 학교의 장, 특별시･광역시･특별자치시･도･특별자치도의 교육감 및 교육장, 대통령령으로 정하는 교육공무원
 ⑨ 총경(자치총경포함) 이상의 경찰공무원과 소방정 이상의 소방공무원, 대통령령으로 정하는 경찰 및 소방공무원
 ⑩ ③부터 ⑦까지 및 ⑨의 공무원으로 임명할 수 있는 직위 또는 이에 상당하는 직위에 임용된 임기제 공무원
 ⑪ ｢공공기관의 운영에 관한 법률｣에 따른 공기업1)의 장･부기관장, 상임이사 및 상임감사, 한국은행의 총재･부총재･감사 및 금융통화위원회의 추천직 위원, 금융감독원의 원장･부원장･부원장보 및 감사, 농업협동조합중앙회･수산업협동
 조합중앙회의 회장 및 상임감사
 ⑫ 공직유관단체의 임원
 ⑬ ｢한국토지주택공사법｣에 따른 한국토지주택공사 등 부동산 관련 업무나 정보를 취급하는 대통령령으로 정하는 공직유관단체의 직원
 ⑭ 그 밖의 국회규칙, 대법원규칙, 헌법재판소규칙, 중앙선거관리위원회규칙 및 대통령령으로 정하는 특정분야의 공무원과 공직유관단체의 직원
 2. 고지거부
  - 등록의무자의 부양을 받지 아니하는 직계존비속이 공직자윤리위원회의 허가를 받아 자기 재산의 고지를 거부하고 재산등록을 하지 아니할 수 있는 제도임 (법 제12조제4항)</t>
  </si>
  <si>
    <t>(인사혁신처)2021 공직윤리 업무편람</t>
  </si>
  <si>
    <t>40, 41, 42, 43, 79</t>
  </si>
  <si>
    <t>40~43P 본문 일체
 7. 고지거부제도
 가. 고지거부란?
 ○ 등록의무자의 부양을 받지 아니하는 직계존비속이 공직자윤리위원회의 허가를
 받아 자기 재산의 고지를 거부하고 재산등록을 하지 아니할 수 있는 제도임
 (법 제12조제4항)</t>
  </si>
  <si>
    <t>청사안내</t>
  </si>
  <si>
    <t>청사 내 회의실 예약 방법을 알려주세요 
 &gt;&gt; 기존 골든셋 질문으로 대체가능</t>
  </si>
  <si>
    <t>1. 예약 시스템 접속: 부산시청 내부 행정포털 접속 → 개인서비스 → 회의장 → 행정지원 → 예약관리
 2. 회의실 선택: 페이지 내 구분에서 1층 대강당~22층 회의실 중 원하는 회의실 선택
 3. 예약 신청: 회의실 선택 후 신청(노란색) 클릭
 4. 예약 승인/반려 확인: 승인(초록색), 반려(빨간색) 상태로 확인 가능
 5. 변경 및 취소: 필요 시 예약 변경 가능, 취소는 시스템 규정에 따라 처리</t>
  </si>
  <si>
    <t>부산광역시 행정포털</t>
  </si>
  <si>
    <t>부산광역시 행정포털 회의장 예약 관리 페이지</t>
  </si>
  <si>
    <t>◆ 회의실 예약은 해당 메뉴 접속 후 원하는 회의실 선택, 신청(노란색), 승인(초록색), 반려(빨간색) 상태 확인 가능
 ◆ 예약 후 필요 시 변경·취소 가능</t>
  </si>
  <si>
    <t>지원사업</t>
  </si>
  <si>
    <t>소상공인 지원사업 신청 절차와 제출서류 안내 요청합니다.</t>
  </si>
  <si>
    <t>검토 결과 링크만 제공 하는게 맞을것 같습니다.
 다음해가 되면 지원내용, 절차 등이 변경될 수도 있으므로 해당 질문에 대한 답변이 가능하면 링크 제공까지만 해야 할 것 같습니다.</t>
  </si>
  <si>
    <t>부산광역시 홈페이지(https://www.busan.go.kr/depart/ecnmsmileproject2024?utm_source=chatgpt.com)</t>
  </si>
  <si>
    <t>홈페이지 본문 내용 일체</t>
  </si>
  <si>
    <t>문서작성</t>
  </si>
  <si>
    <t>주민 대상 안내문 작성 시 필수 포함 항목과 작성 순서를 알려주세요
 &gt;&gt; 기대답변 관련 내용 정리되어 있는게 없고 참조 페이지 양이 너무 많아서 제외</t>
  </si>
  <si>
    <t>1. 제목 작성
 안내 목적과 내용을 한눈에 알 수 있게 간결하게 작성 (“OOO 행사 안내”, “OOO 제도 시행 안내”)
 2. 본문 작성
 ① 안내 내용 요약: 핵심 사항 간단히 기술
 ② 세부 내용: 날짜, 장소, 대상, 방법, 신청 절차 등
 ③ 유의사항: 필수 지침, 참여 조건, 안전 안내 등
 3. 문의처
 담당 부서, 전화번호, 이메일 등 안내
 4. 첨부자료
 지도, 신청서, 참여 안내 자료 등 필요 시 첨부</t>
  </si>
  <si>
    <t>한눈에 알아보는 공공언어 바로 쓰기(개정판)_국립국어원
 행정업무의 운영 및 혁신에 관한 규정(대통령령)(제34518호)(20240521)</t>
  </si>
  <si>
    <t>페이지 96~117</t>
  </si>
  <si>
    <t>◆공문서 작성의 실제 - 안내문</t>
  </si>
  <si>
    <t>조례를 제정하거나 개정하려면 어떤 절차를 따라야 하나요
 &gt;&gt; 기존 골든셋에 관련 내용 있음</t>
  </si>
  <si>
    <t>1. 입법계획 수립
 - 제정·개정이 필요한 사항 정리
 - 추진 일정, 효과, 필요성 등 포함
 2. 입법예고
 - 시민 의견 수렴 (예고 20일 이상)
 - 공고 방식: 부산시 홈페이지, 시보 등
 3. 입법안 심사
 - 법적합치성, 표현 명확성, 중복 여부 등 검토
 4. 조례규칙심의회 심의·의결
 - 주관 부서 작성안 내부 심의
 - 수정·보완 후 심의·의결
 -
 5. 의회 제출 및 의결 (조례의 경우)
 - 상임위원회 심의 → 본회의 의결
 6. 공포 또는 재의 요구
 - 의결된 조례 공포, 필요시 재의 요구 가능
 - 시보(공보) 게재 후 효력 발생</t>
  </si>
  <si>
    <t>「부산광역시 자치법규의 입법예고에 관한 조례」 (https://www.law.go.kr/LSW/ordinInfoP.do?ordinSeq=833664&amp;utm_source=chatgpt.com)
 부산광역시 공식 홈페이지 – 자치법규 절차 안내 페이지 
 (https://www.busan.go.kr/depart/ahllprocess?utm_source=chatgpt.com)
 「부산광역시 법제업무 운영 규칙」(https://law.go.kr/LSW/ordinLinkProc.do?chrClsCd=&amp;mode=20&amp;ordinNm=%EB%B6%80%EC%82%B0%EA%B4%91%EC%97%AD%EC%8B%9C+%EB%B2%95%EC%A0%9C%EC%97%85%EB%AC%B4+%EC%9A%B4%EC%98%81+%EA%B7%9C%EC%B9%99&amp;utm_source=chatgpt.com)</t>
  </si>
  <si>
    <t>자치법규 절차 안내 (부산시 홈페이지)
 조례 관련 입법예고 규정 (법제처)
 법제업무 운영 규칙 본문</t>
  </si>
  <si>
    <t>◆ 자치법규 절차: 입법계획 → 입법예고 → 심사 → 심의 → 의결 → 공포
 ◆ 입법예고 규정: 시민 의견 수렴 기회 보장, 예고 기간 등 규정 
 ◆ 법제업무 운영 규칙: 자치입법 절차 운영 부서, 심사·보고 체계 명시</t>
  </si>
  <si>
    <t>부산시에서 개최하는 시민 대상 교육 또는 행사를 신청하려면 어떻게 해야 하나요?</t>
  </si>
  <si>
    <t>○ 부산광역시(산하기관 포함) 통합회원 가입 후 이용 가능합니다.
 ○ 회원인 경우 예약신청, 예약확인, 예약취소가 모두 가능하며, 소셜 로그인의 경우 아래와 같이 기능이 제한됩니다.
  - 회원(통합회원), 비회원 로그인 : 예약신청·확인 및 예약취소 모두 가능
  - 소셜 로그인 : 예약신청 불가
 ※ 운영기관의 규정에 따라 홈페이지 회원만 신청 가능한 예약이 있으니, 사전에 해당 운영기관의 공지사항 등을 확인하시기 바랍니다.
 ○ 예약분야는 [강좌/교육], [견학/체험], [대관/대여]이며, 각 프로그램은 운영기관의 규정에 따르니 자세한 사항은 해당 운영기관으로 문의하시기 바랍니다.
 ○ 예약 취소신청은 통합예약시스템 [나의 예약현황]에서 처리 가능하며, 프로그램별 취소가능 여부, 취소가능 기간, 환불 등의 세부사항은 해당 운영기관으로 문의하시기 바랍니다.
 ○ 통합예약시스템 기능 오류 및 개선사항이 있는 경우 홍보담당관(888-1396)으로 문의하여 주시기 바랍니다.</t>
  </si>
  <si>
    <r>
      <rPr>
        <rFont val="&quot;맑은 고딕&quot;"/>
        <color rgb="FF1155CC"/>
        <sz val="11.0"/>
        <u/>
      </rPr>
      <t>https://reserve.busan.go.kr/notice/1578585?curPage=&amp;%20%20srchBeginDt=&amp;%20%20srchEndDt=&amp;%20%20srchKey=&amp;%20%20searchText=</t>
    </r>
  </si>
  <si>
    <t>통합예약 시스템 안내 (온라인 신청 방법, 회원가입 조건 등)</t>
  </si>
  <si>
    <t>○ 부산광역시(산하기관 포함) 통합회원 가입 후 이용 가능합니다.
 통합회원 가입하기
 ○ 회원인 경우 예약신청, 예약확인, 예약취소가 모두 가능하며, 소셜 로그인의 경우 아래와 같이 기능이 제한됩니다.
  - 회원(통합회원), 비회원 로그인 : 예약신청·확인 및 예약취소 모두 가능
  - 소셜 로그인 : 예약신청 불가
 ※ 운영기관의 규정에 따라 홈페이지 회원만 신청 가능한 예약이 있으니, 사전에 해당 운영기관의 공지사항 등을 확인하시기 바랍니다.
 ○ 예약분야는 [강좌/교육], [견학/체험], [대관/대여]이며, 각 프로그램은 운영기관의 규정에 따르니 자세한 사항은 해당 운영기관으로 문의하시기 바랍니다.
 ○ 예약 취소신청은 통합예약시스템 [나의 예약현황]에서 처리 가능하며, 프로그램별 취소가능 여부, 취소가능 기간, 환불 등의 세부사항은 해당 운영기관으로 문의하시기 바랍니다.
 ○ 통합예약시스템 기능 오류 및 개선사항이 있는 경우 홍보담당관(888-1396)으로 문의하여 주시기 바랍니다.</t>
  </si>
  <si>
    <t>안전지키미</t>
  </si>
  <si>
    <t>행사를 계획할 때 안전관리 계획서 작성 시 반드시 포함해야 하는 항목과 절차는 무엇인가요?</t>
  </si>
  <si>
    <t>&gt;&gt; 직원 제공 기대답변
 1. 행사 기본 정보
  1) 행사명, 주최 / 주관 부서 또는 단체, 일시, 장소, 예상 참석자 수(최대 / 예상), 행사 형태(실내/실외, 공연/전시/집회/축제 등)
  2) 행사 개요 및 목적, 주요 프로그램
 2. 조직 및 역할 분담
 1) 안전관리 책임자 지정 (총괄 책임자), 각 분야별 안전 담당자 및 역할 명시 (무대, 전기/전기설비, 응급 및 의료, 동선관리, 출입통제 등)
 2) 유관기관 연락처 목록 (소방서, 경찰, 의료기관, 응급구조, 재난안전 부서 등)
 3. 위험요인 및 안전대책 분석
 1) 장소 구조, 시설물(무대, 가설시설, 조명/음향/전기설비), 전기·소방 점검 계획
 2) 군중 밀집 대비 — 수용인원, 입출구 및 비상구 확보, 통로 및 동선 계획, 안전선(Safety Line) 설정 여부
 장애인, 노약자, 어린이, 외국인 등 취약계층에 대한 안전배려 대책 포함 여부 
 4. 비상대응 및 응급의료 계획
 1) 응급환자 발생, 화재, 재해, 군중사고 등에 대한 대응 매뉴얼
 2) 현장 응급의료팀 구성 또는 인근 병원/의료기관 연결망 확보
 3) 비상연락망, 경보체계, 대피절차, 유도체계, 방송 또는 안내 수단 계획
 5. 시설 및 설비 안전 확보
 1) 무대/조명/음향/전시 부스 등 가설구조물 안전성 확인, 설치 및 해체 계획 포함
 2) 전기, 조명, 통신, 발전기 등 설비 점검 계획
 3) 위생, 화장실, 급수, 소방설비, 피난/대피시설 확보 여부
 6. 출입 통제 및 관람 질서 관리
 1) 입장권·출입증 관리, 출입구 및 통로 통제 계획
 2) 인파 밀집 시간대 대비 질서유지 요원 배치 계획
 3) 주차 및 교통통제, 교통혼잡 대비 계획
 7. 보험 및 법적 절차 준수
 1) 행사보험 가입 여부 (행사 규모 및 내용에 따라 필요)
 2) 필요한 신고 및 허가 여부 확인 (가설건축물 사용 신고, 소음, 위생, 전기, 무대·설비 인허가 등)
 8. 사전 점검 및 승인 절차
 1) 행사 일정 확정 후 안전관리 계획서 작성 → 내부 결재(주관부서 및 안전관리 부서) → 필요시 유관기관(소방, 경찰, 보건) 사전 협의 또는 신고
 2) 행사 전 현장 점검 및 안전관리 요원 배치, 안전보안장비 확보
 9. 행사 중 모니터링 및 관리
 1) 출입통제, 동선 유지, 군중 통제, 질서 유지
 2) 안전요원 및 응급요원 비상대응 체계 운영
 3) 실시간 위험요소 점검 및 대응 절차
 10. 사후 대응 및 평가
 1) 행사 종료 후 사고 유무 확인, 사고 발생 시 원인 분석 및 보고
 2) 유관기관(경찰, 소방, 보건 등) 결과 공유 및 사후 조치 계획
 3) 다음 행사 대비 개선사항 기록 및 반영
  - 표준안의 목차, 체크리스트 표 내용 활용 범정부 AI로 생성한 내용, 표준안 전체를 포함하기엔 내용이 많음 - 
 기대답변 :
 - 핵심 포함 항목 - 
 1. 행사 개요
  - 일정, 장소, 주최/주관, 예상 관람객 수(최대 순간인원)
  - 주요 프로그램 및 일정, 시설물 배치도
 2. 안전관리 조직 및 계획
  - 종합상황실 운영, 안전관리 총괄책임자 지정
  - 안전요원 인력 배치 및 역할 분장 (특히 혼잡구간·놀이시설 집중 배치)
  - 유관기관(경찰, 소방) 협의 및 비상연락망
 3. 시설물·장비 안전
  - 무대·가설물 구조검토서, 사용전검사(전기설비), 액화석유가스 완성검사
  - 유원시설·임시화장실 설치 허가 및 화재 대비책
 4. 인파·교통 관리
  - 행사장 수용능력 산정, 관람객 동선 계획
  - 주차공간 확보 및 인파 분산 퇴장 계획
 5. 비상대응
  - 응급의료 인력/구급차 배치, 대피 경로 및 재난 상황 매뉴얼
  - 화재/정전/폭염 등 기상상황별 대응 방안
 6. 법적·위생 준수
  - 재난보험 가입, 식음료 영업신고, 불꽃쇼 화약류 허가
  - 사전검토 체크리스트 -
 1. 기본 사항: 보험 가입 여부, 가설건축물 축조신고, 식음료 위생 관리
 2. 교통: 주차장·진출입로 계획, 교통안전요원 배치
 3. 비상시 대응: 비상연락망과 소방차·구급차 이동동선
  - 절차 가이드 - 
 1. 유관기관(소방, 경찰)과 협의 후 보험 가입 및 허가(화약류 등) 획득
 2. 안전요원 교육 및 시뮬레이션 훈련 실시
 3. 시설물 안전성 검토 및 설치
 4. 관람객 동선에 따른 경비/의료 인력 예측 배치
 5. 비상 방송 시나리오 및 대피로 사전 점검</t>
  </si>
  <si>
    <t>부산형 행사 안전관리계획서 표준안
 부산형 행사 안전관리계획서 사전검토 체크리스트</t>
  </si>
  <si>
    <t>2
 1, 2</t>
  </si>
  <si>
    <t>목차
 표 전체</t>
  </si>
  <si>
    <t>사업계획서 사전검토 의견에 따른 설계공모 미적용 가능한가요?</t>
  </si>
  <si>
    <t>●「건축서비스산업 진흥법」 시행령 제17조 제2항에 따라 설계비 추정가격 1억원 이상의 건축물이라 할지라도, 사전검토를 통해 다른 발주방식 가능에 대한 의견을 제공받은 경우, 설계공모방식을 우선하여 적용하지 않을 수 있습니다.
 ●다만, 이 경우에는(설계비 5억원 이상) 중앙건축위원회의 심의를 받아야 합니다.</t>
  </si>
  <si>
    <t>공공건축 자문에 대한 응답 사례집(2022~2023)</t>
  </si>
  <si>
    <t>연간 위탁사업비 3억원 미만인 사업은 시의회 동의 안 받아도 되지?</t>
  </si>
  <si>
    <t>연간 위탁·대행 금액 1억원 초과인 사무는 시의회 동의를 받아야 합니다.
 다만 재계약일 경우 3억원 이하의 사업은 시의회 동의 없이 가능합니다.</t>
  </si>
  <si>
    <t>부산광역시 사무의 공공기관 위탁·대행에 관한 조례(2025. 10. 1. 일부개정)</t>
  </si>
  <si>
    <t>-</t>
  </si>
  <si>
    <t>제7조(시의회 동의) ① 시장의 사무를 공공기관에 위탁·대행(재계약을 포함한다)하려는 때에는 미리 부산광역시의회(이하 “시의회”라 한다)의 동의를 받아야 한다. 다만, 다음 각 호의 어느 하나에 해당하는 경우에는 그러하지 아니하다.
 5. 연간 위탁·대행금액(수탁·대행기관이 수탁·대행사무 처리에 드는 관리·운영비를 포함한다. 이하 같다)이 1억원 이하인 사무 
 6. 연간 위탁·대행금액이 3억원 이하인 재계약 사무</t>
  </si>
  <si>
    <t>대체휴무는 어디서 등록하니?
 &gt;&gt; 자료 미제공 및 해당 자료 확인 결과 표 인식 제대로 되어야 해당 답변 표출 가능할 것으로 보여 제외</t>
  </si>
  <si>
    <t>기존 '연가외휴가관리'에서 등록하던 게 2025. 6. 24. 20시 이후 시스템이 변경되었습니다.
 1. 서무 등 복무 권한 부여받은 자
 인사랑&gt;근무상황관리&gt;초과근무관리&gt;대체휴무관리
 2. 그외 일반 직원
 인사랑&gt;복무관리&gt;초과근무&gt;대체휴무관리</t>
  </si>
  <si>
    <t>인사랑 공지사항([복무] 대체휴무관리 메뉴 위치 변경 안내)</t>
  </si>
  <si>
    <t>① 대체휴무관리 메뉴 위치 변경
 「2025년 차세대 표준지방인사정보시스템 등 유지관리」 제안요청서 요구사항에 의해 대체휴무관리 메뉴의 위치가 변경되었습니다.</t>
  </si>
  <si>
    <t>공공기관 위탁으로 사업을 추진할때 시의회 동의 제외대상의 경우는 언제야?</t>
  </si>
  <si>
    <t>시장의 사무를 공공기관에 위탁·대행(재계약을 포함한다)하려는 때에는 미리 부산광역시의회(이하 “시의회”라 한다)의 동의를 받아야 한다. 다만, 다음 각 호의 어느 하나에 해당하는 경우에는 그러하지 아니하다.
 1. 사업비 전액에 대하여 국가의 보조를 받는 사무
 2. 정부공모사업 참여 등 국가의 보조를 받는 사무로 수탁·대행기관이 미리 지정되어 있는 사무
 3. 「공공기관의 운영에 관한 법률」 제4조에 따른 공공기관이 수탁·대행하는 사무로 해당 기관이 수행하지 않으면 목적을 달성할 수 없는 경우
 4. 정보화 사업 등 지방자치단체 간에 공동으로 추진하여야 할 필요성이 있는 사무로 지방자치단체 간 경비를 분담하여 시행하는 사무
 5. 연간 위탁·대행금액(수탁·대행기관이 수탁·대행사무 처리에 드는 관리·운영비를 포함한다. 이하 같다)이 1억원 이하인 사무
 6. 연간 위탁·대행금액이 3억원 이하인 재계약 사무
 7. 1년 이하의 기간으로 위탁·대행하는 일회성 사무(다만, 다음 연도에도 계속되는 경우 시의회 동의를 받아야 한다)
 8. 재난, 재해 대응 등 위탁·대행을 통하여 긴급하게 추진하여야 할 필요성이 있는 사무</t>
  </si>
  <si>
    <t>제7조(시의회 동의) 전체
 공공기관 위탁,대행 업무처리 지침의 경우 조례 개정 전 자료라서 연간 위탁 대행금액 3억원 이하는 시의회 동의 가능하다고 나와있음 &gt; 개정된 자료에는 1억이하(재계약시 3억 이하)</t>
  </si>
  <si>
    <t>총 연가일수를 다 사용하지 못했을때 연가보상비는 얼마나 받을 수 있어?</t>
  </si>
  <si>
    <t>공무원 연가보상비는 예산의 범위 안에서 미사용 연가 중 최대 20일을 지급하며, 8시간 미만의 잔여분은 이월저〮축합니다.
 -연가보상비 계산법:
 1. 6월 30일 기준 연가보상비: 6월 30일 현재의 월봉급액의 86퍼센트 × 1/30 × 5일
 *6월 30일 기준 연가보상비는 6월 30일 현재 연가잔여일수가 10일 이상인 사람에 대하여 지급
 2. 12월 31일 기준 연가보상비: [12월 31일 현재의 월봉급액의 86퍼센트 × 1/30 × 연가보상일수] - 제1호에 따라 이미 지급한 연가보상비</t>
  </si>
  <si>
    <t>「지방공무원 복무규정」 제7조, 「지방공무원 수당 등에 관한 규정」 제18조의5</t>
  </si>
  <si>
    <t>④ 제1항에 따른 연가를 공무상 허가할 수 없거나 해당 공무원이 연가를 사용하지 않은 경우에는 예산의 범위에서
 연가일수에 해당하는 연가보상비를 지급하는 것으로 연가를 갈음할 수 있다. 이 경우 연가보상비를 지급할 수 있는
 연가대상일수는 20일을 초과할 수 없으며, 연가보상비 지급대상인 연가 일수 중 8시간 미만의 연가 잔여분에 대해
 서는 연가보상비를 지급하지 않고 이월ㆍ저축한다.
 연가보상비는 해당 연도 6월 30일 및 12월 31일 현재의 월봉급액(해당 연도 중 퇴직한 경우에는 퇴직일 전일의 월봉급액을 말하며, 강등된 경우에는 강등된 후의 월봉급액을 말한다)을 기준으로 나누어 지급할 수 있으며, 징계처분ㆍ휴직, 그 밖의 사유로 봉급이 감액 지급되는 경우에는 감액되기 전의 월봉급액을 기준으로 지급한다. &lt;개정 2012. 1. 6., 2016. 1. 12.&gt;
 ③ 제1항 및 제2항에 따른 연가보상비는 다음 각 호의 구분에 따라 지급하되, 6월 30일 기준 연가보상비는 6월 30일 현재 연가잔여일수가 10일 이상인 사람에 대하여 지급한다. &lt;신설 2012. 1. 6., 2013. 1. 9.&gt;
 1. 6월 30일 기준 연가보상비: 6월 30일 현재의 월봉급액의 86퍼센트 × 1/30 × 5일
 2. 12월 31일 기준 연가보상비: [12월 31일 현재의 월봉급액의 86퍼센트 × 1/30 × 연가보상일수] - 제1호에 따라 이미 지급한 연가보상비
 ④ 제3항에도 불구하고 연도 중 퇴직하는 사람에 대한 제1항 및 제2항에 따른 연가보상비는 다음 각 호의 구분에 따라 지급한다. &lt;신설 2012. 1. 6., 2013. 1. 9.&gt;
 1. 6월 30일 이전에 퇴직하는 경우: 퇴직일 전일 현재의 월 봉급액의 86퍼센트 × 1/30 × 연가보상일수(10일 이내)
 2. 7월 1일 이후 12월 31일 전에 퇴직하는 경우 다음 각 목에 따라 지급
 가. 6월 30일 기준 연가보상비: 제3항제1호에 따라 지급
 나. 7월 1일부터 퇴직일까지의 연가보상비: [퇴직일 전일 현재의 월봉급액의 86퍼센트 × 1/30 × 연가보상일수] - 제2호가목에 따라 이미 지급한 연가보상비</t>
  </si>
  <si>
    <t>민간단체</t>
  </si>
  <si>
    <t>비영리민간단체 등록시 신청서류를 알려줘</t>
  </si>
  <si>
    <t>비영리민간단체 등록은 비영리민간단체지원법률에 의거, 등록 및 수리하여야 합니다.
 1.비영리민간단체 등록 신청 서류 - 등록신청서
 -단체의 회칙(또는 정관)
 -당해연도 및 전년도의 총회 회의록 각1부
 -당해연도 및 전년도의 사업계획,수지예산서, 전년도 결산서 각1부
 - 회원명부 1부(상시구성원수로 제출) 
 -최근 1년 이상의 공익활동실적을 증명할수 있는 서류</t>
  </si>
  <si>
    <t>비영리민간단체 등록업무 편람
 (발간등록번호 11-1312000-000075-14)
 발간부서 : 행정안전부</t>
  </si>
  <si>
    <t>○ 등록신청 서류(영 제3조제1항)
 - 등록신청서(영 별지 제1호서식)
 - 단체의 회칙(또는 정관)
 - 당해 연도 및 전년도의 총회회의록 각 1부
 - 당해 연도 및 전년도의 사업계획･수지예산서, 전년도 결산서 각 1부
 - 회원명부 1부(상시 구성원수로 제출)
 ※ 100인 이상인 경우에는 100인까지 기재 후 “ 외 ◦◦인”으로 표기
 - 최근 1년 이상의 공익활동실적을 증명할 수 있는 자료</t>
  </si>
  <si>
    <t>부산시 비영리민간단체 현황은 어디서 볼수 있지</t>
  </si>
  <si>
    <t>비영리민간단체 현황은 비영리민간단체공익활동 지원사업 관리정보시스템에서
 확인 가능합니다.</t>
  </si>
  <si>
    <r>
      <rPr>
        <rFont val="&quot;맑은 고딕&quot;"/>
        <color rgb="FF1155CC"/>
        <sz val="11.0"/>
        <u/>
      </rPr>
      <t>https://npas.mois.go.kr/nsbms/hmp/nfvnzBsisStat/nfvnzRegSituStat/asscInfoListM.do</t>
    </r>
  </si>
  <si>
    <t>해당 링크 간단한 질문 FAQ에 추가해서 정리</t>
  </si>
  <si>
    <t>여성회관 교육강좌 예약방법을 알려줘</t>
  </si>
  <si>
    <t>위에 답변보다는 링크 주소 내 내용으로 범정부AI활용한 기대답변 첨부합니다.
 기대답변 :
 여성회관 교육강좌 예약 방법 안내
 1. 모집 대상
  - 만 18세 이상 부산시민 (가족특강은 아동 포함 가능)
 2. 모집 방법
  - 온라인 접수만 가능
  - 1인 2강좌까지 신청 가능 (단기강좌·심화강좌 별도 제한 없음)
  - 동일 강좌 4회 연속 수강생은 일반모집 기간에 신청 불가 (추가 모집 시 가능)
 3. 신청 절차
  - 회원가입 &amp; 로그인
  &gt; 여성회관 홈페이지 or 부산시 통합예약 접속
  &gt; 반드시 실명으로 회원가입
  - 강좌 선택
  &gt; 여성회관 홈페이지 → 좌측 하단 "수강신청" 클릭
  &gt; 또는 [강좌안내 &gt; 강좌소개 및 수강신청] 메뉴 선택
  &gt; 기관명(여성회관) 확인 필수
  - 결제 &amp; 완료
  &gt; 한도 1인 2강좌까지 선택
  &gt; 신용카드 또는 실시간 계좌이체로 결제 (결제 미완료 시 신청 무효)
  &gt; 주의: 교재비·재료비는 별도 부담
  - 확인
  &gt; 마이페이지에서 수강 신청 내역 최종 확인 가능
 4. 유의사항
  - 타인 명의로 등록 불가
  - 심화강좌는 기수료자/자격증 소지자만 신청 가능</t>
  </si>
  <si>
    <t>부산광역시 여성회관 홈페이지
 -강좌안내&gt;수강신청안내 페이지</t>
  </si>
  <si>
    <r>
      <rPr>
        <rFont val="&quot;맑은 고딕&quot;"/>
        <color rgb="FF1155CC"/>
        <sz val="11.0"/>
        <u/>
      </rPr>
      <t>https://www.busan.go.kr/woman/whguideonline</t>
    </r>
  </si>
  <si>
    <t>출처 내용 바탕으로 작성</t>
  </si>
  <si>
    <t>부산여성새로일하기센터 직업교육훈련 참여방법을 알려줘</t>
  </si>
  <si>
    <t>링크만 제공해야할 것 같습니다. 위 답변 생성할만한 내용이 해당 링크에는 없습니다.</t>
  </si>
  <si>
    <t>부산광역시 여성회관 홈페이지
 -여성새로일하기센터&gt;직업교육훈련</t>
  </si>
  <si>
    <r>
      <rPr>
        <rFont val="&quot;맑은 고딕&quot;"/>
        <color rgb="FF1155CC"/>
        <sz val="11.0"/>
        <u/>
      </rPr>
      <t>https://www.busan.go.kr/woman/whjobtrain</t>
    </r>
  </si>
  <si>
    <t>수의계약이 가능한 금액 기준이 알고 싶어요.</t>
  </si>
  <si>
    <t>범정부로 생성한 AI 답변:
 수의계약이 가능한 계약 금액 기준
 1. 일반적 기준
  - 제25조 1호: 추정가격 2,000만원 이하인 물품 제조·구매/용역 계약은 수의계약 가능
  - 제30조 1항 2호
  &gt; 특정 기업·조합과 계약 시: 추정가격 5,000만원 이하인 경우에도 가능 조건(청년창업기업, 여성기업, 장애인기업, 사회적기업, 마을기업 등)
 2. 특정 분야별 금액 기준
  - 제25조 5호 가목:
  &gt; 건설공사: 일반공사 4억원 이하, 전문공사 2억원 이하, 다른 법령 공사 1억6천만원 이하
  - 제25조 5호 나목:
  &gt; 청년창업기업과의 계약: 5,000만원 이하 (제30조 1항 2호)
  - 제25조 5호 다~라목:
  &gt; 소기업/소상공인, 사회적협동조합, 자활기업 등: 1억원 이하(취약계층 고용 비율 충족 조건 있는 경우 포함)
  - 제25조 5호 마목:
  &gt; 특수 지식·기술 요구 계약 (학술연구, 원가계산 등): 1억원 이하
  - 임대차 계약 등:
  &gt; 연간 또는 총액 기준 추정가격 5,000만원 이하 (공사·제조·용역 외 계약)
 중요 참고 사항
 1. 수의계약 체결 절차: 2인 이상 견적서 필수 (단, 일부 예외 존재, 예: 2,000만원 이하 계약은 1인 견적 가능).
 2. 특정 계층 우대: 여성기업, 장애인기업 등 취약계층 경영 기업은 금액 한도가 상향 적용될 수 있음.</t>
  </si>
  <si>
    <t>지방계약법 시행령</t>
  </si>
  <si>
    <t>제25조, 제30조</t>
  </si>
  <si>
    <t>제25조(수의계약에 의할 수 있는 경우)
 5. 다음 각 목의 어느 하나에 해당하는 계약
 가. 「건설산업기본법」에 따른 건설공사(같은 법에 따른 전문공사는 제외한다)로서 추정가격이 4억원 이하인 공사, 같은 법에 따른 전문공사로서 추정가격이 2억원 이하인 공사 및 그 밖의 공사 관련 법령에 따른 공사로서 추정가격이 1억6천만원 이하인 공사에 대한 계약
 나. 추정가격이 2천만원 이하인 물품의 제조ㆍ구매계약 또는 용역계약
 다. 추정가격이 2천만원 초과 5천만원 이하인 계약으로서 「중소기업창업 지원법」 제2조제11호에 따른 청년창업기업과 체결하는 물품의 제조ㆍ구매계약 또는 용역계약
 라. 추정가격이 2천만원 초과 1억원 이하인 계약으로서 「중소기업기본법」 제2조제2항에 따른 소기업 또는 「소상공인기본법」 제2조에 따른 소상공인과 체결하는 물품의 제조ㆍ구매계약 또는 용역계약. 다만, 제30조제1항제3호 및 같은 조 제2항 단서에 해당하는 경우에는 소기업 또는 소상공인 외의 자와 체결하는 물품의 제조ㆍ구매계약 또는 용역계약을 포함한다.
 마. 추정가격이 2천만원 초과 1억원 이하인 계약 중 학술연구ㆍ원가계산ㆍ건설기술 등과 관련된 계약으로서 특수한 지식ㆍ기술 또는 자격을 요구하는 물품의 제조ㆍ구매계약 또는 용역계약
 바. 추정가격이 2천만원 초과 1억원 이하인 계약으로서 다음의 어느 하나에 해당하는 기업 또는 조합과 체결하는 물품의 제조ㆍ구매계약 또는 용역계약. 다만, 3)부터 6)까지에 해당하는 기업 또는 조합의 경우에는 행정안전부장관이 정하여 고시하는 취약계층 고용비율을 충족하여야 한다.
 1) 「여성기업지원에 관한 법률」 제2조제1호에 따른 여성기업
 2) 「장애인기업활동 촉진법」 제2조제2호에 따른 장애인기업
 3) 「사회적기업 육성법」 제2조제1호에 따른 사회적기업
 4) 「협동조합 기본법」 제2조제3호에 따른 사회적협동조합
 5) 「국민기초생활 보장법」 제18조에 따른 자활기업
 6) 「도시재생 활성화 및 지원에 관한 특별법」 제2조제1항제9호에 따른 마을기업으로서 행정안전부장관이 정하는 기준에 적합한 기업
 사. 추정가격이 5천만원 이하인 임대차 계약(연액 또는 총액을 기준으로 추정가격을 산정한다) 등으로서 공사계약 또는 물품의 제조ㆍ구매계약이나 용역계약이 아닌 계약
 제30조(수의계약대상자의 선정절차 등) ① 지방자치단체의 장 또는 계약담당자는 수의계약을 체결하려는 경우에는 2인 이상으로부터 견적서를 받아야 한다. 다만, 다음 각 호의 어느 하나에 해당하는 경우에는 1인으로부터 받은 견적서에 의할 수 있다. 
 1. 제25조제1항 각 호(제5호는 제외한다), 제26조제1항ㆍ제2항 및 제27조에 따른 계약의 경우
 2. 추정가격이 2천만원 이하인 공사, 물품의 제조ㆍ구매 및 용역의 경우. 다만, 다음 각 목의 어느 하나에 해당하는 기업 또는 조합과 계약을 체결하는 경우에는 추정가격이 5천만원 이하인 경우로 한다.
 가. 「중소기업창업 지원법」 제2조제11호에 따른 청년창업기업, 「여성기업지원에 관한 법률」 제2조제1호에 따른 여성기업 또는 「장애인기업활동 촉진법」 제2조제2호에 따른 장애인기업
 나. 「사회적기업 육성법」 제2조제1호에 따른 사회적기업, 「협동조합 기본법」 제2조제3호에 따른 사회적협동조합, 「국민기초생활 보장법」 제18조에 따른 자활기업 또는 「도시재생 활성화 및 지원에 관한 특별법」 제2조제1항제9호에 따른 마을기업으로서 행정안전부장관이 정하는 기준에 적합한 기업. 이 경우에는 행정안전부장관이 정하여 고시하는 취약계층 고용비율을 충족하여야 한다.
 3. 제2항에 따라 지정정보처리장치를 이용하여 견적서를 제출받았으나 견적서 제출자가 1인뿐인 경우로서 다시 견적서를 제출받더라도 견적서 제출자가 1인뿐일 것으로 명백히 예상되는 경우
 ② 제1항 본문에 따라 2인 이상으로부터 견적서를 제출받는 경우 및 제26조제2항에 따라 재공고 입찰을 실시하지 않고 수의계약을 체결할 수 있는 경우에는 지정정보처리장치를 이용해야 한다. 다만, 품질확인 및 예산절감의 필요성이 큰 경우 등 행정안전부장관이 정한 경우에는 지정정보처리장치를 이용하지 아니할 수 있다. 
 ③ 제1항과 제2항에 따라 제출받은 견적서에 적힌 견적가격이 예정가격(제8조제2항에 따라 예정가격 작성을 생략한 경우에는 추정가격에 부가가치세를 포함한 금액을 말한다)의 범위에 들지 아니하는 경우 등 계약상대자를 결정할 수 없을 때에는 다시 견적서를 제출받아 제5항에 따라 수의계약대상자를 결정한다.
 ④ 제1항부터 제3항까지의 규정에도 불구하고 행정안전부령으로 정하는 경우에는 견적서 제출을 생략하게 할 수 있다. 
 ⑤ 지방자치단체의 장 또는 계약담당자는 견적제출자의 견적가격과 계약이행능력 등 행정안전부장관이 정하는 기준에 따라 수의계약대상자를 결정한다.</t>
  </si>
  <si>
    <t>민원인이 반복적으로 같은 내용으로 민원을 제기할 때 어떻게 처리하나요</t>
  </si>
  <si>
    <t>기대답변 : 
 &lt; 반복민원 등 3단계 처리절차 &gt;
 1. 3회 이상 반복민원
  - (일반적 반복민원) 처리주무부서장 결재로 종결
  - (다수인관련 반복민원등 심의 필요 민원) 민원조정위원회 심의 후 종결 처리
 2. 1단계를 거쳐 종결 처리 후 다시 접수된 반복민원 중 처리주무부서장이 신중한 처리가 필요하다고 판단하는 반복민원
  - 기관별 「민원조정위원회」 심의 
  - 다수인 관련 반복민원은 기관별 민원조정위원회 심의생략하고 3단계 직행 가능
 3. 「민원조정위원회」 심의결과 통보 후 민원인의 재차 반복 민원 중 처리주무부서장이 신중한 처리가 필요하다고 판단하는 반복민원
  - (지도·감독기관 有) 지도·감독기관에 의견제시 요청
  - (지도·감독기관 無) 위원장 직급 상향 「민원 조정위원회」 재심의
 ※ 다수인관련민원 : 5세대 이상의 공동이해와 관련되고 5명 이상이 연명으로 제출하는 민원</t>
  </si>
  <si>
    <t>통합민원과_업무매뉴얼_행정안전부_민원인의 위법행위 및 반복민원 대응방안(지침)</t>
  </si>
  <si>
    <t>58, 59, 60, 61, 62, 63, 64, 65</t>
  </si>
  <si>
    <t>58P 표로 답변 생성 가능 여부 확인 필요
 안되면 58p~65P 요약해서 기대답변 생성</t>
  </si>
  <si>
    <t>부산시청역 도시철도 연결통로 전시 신청절차를 알려줘</t>
  </si>
  <si>
    <t>1. 행정포털→행정지원→예약관리→현수막 예약 메뉴
 (또는 행정포털 하단 개인서비스→현수막*홍보예약 클릭)
 2. 구분 항목에 "홍보 및 전시→도시철도 연결통"로 선택 후 검색 및 등록(예약기간 최대 2주)</t>
  </si>
  <si>
    <t>총무과-11892(2021.05.14.)호 지식관리시스템 자원공유(외벽 현수막·홍보) 예약서비스 운영 알림</t>
  </si>
  <si>
    <t>본문 일부 인용 및 편집</t>
  </si>
  <si>
    <t>국내외 뉴스 및 사진·인물 등 각종 정보를 실시간으로 검색할 수 있는 방법을 알려줘</t>
  </si>
  <si>
    <t>1) 행정포털 
  - 지식행정 → 외부지식 바로가기 → 연합뉴스, 뉴시스, 뉴스1 
  ※ ID / PW : 공보담당관-336(2025.1.9.) 붙임파일 참고
  2) 접속주소 
  - 연합뉴스 : https://new.premiumnews.co.kr
  - 뉴 시 스 : https://prime.newsis.com
  - 뉴 스 1 : https://connect.news1.kr
  - 뉴 스 핌 : https://plus.newspim.com
  - e내일신문: https://www.naeil.com</t>
  </si>
  <si>
    <t>공보담당관-336(2025.1.9.)호 2025년 뉴스통신사 등 ID구독 서비스 이용 안내</t>
  </si>
  <si>
    <t>본문 일부 인용</t>
  </si>
  <si>
    <t>｢건축법 시행령｣ 별표 1에 따라 용도별 건축물의 종류를 분류할 때 지하층을 건축물의 층수에 산입하나요?</t>
  </si>
  <si>
    <t>건축법 시행령 별표 1 제2호에 따라 공동주택의 종류를 분류할 때, 주택으로 쓰는 지하층은 같은 영 제119조제1항제9호에 따라 건축물의 층수에 산입하지 아니함.</t>
  </si>
  <si>
    <t>법제처 건축법령 해석사례(국토교통부, 2022년 1월 3일)</t>
  </si>
  <si>
    <t>본문 내용 인용함</t>
  </si>
  <si>
    <t>물품의 제조·가공·수리 등을 위한 시설이 제2종 근린생활시설에 해당 함에도 해당 용도를 공장으로 하여 건축허가 할 수 있나요?</t>
  </si>
  <si>
    <t>제조업소, 수리점 등 물품의 제조·가공·수리 등을 위한 시설이 「건 축법 시행령」 별표 1 제4호너목에 따른 제 2종 근 린생활시설에 해당 하는 경우에는 해당 건축물의 용도를 같은 표 제17호에 따른 “공장”으로 하여 건축허가를 할 수 없음.</t>
  </si>
  <si>
    <t>「건축법 시행령」 별표1 제15호다목에 따른 다중생활시설(숙박시설)에서 공부할 수 있는 시설을 갖추고 숙박 또는 숙식을 제공하는 고시원 영업이 「공중위생관리법」에 따른 숙박업에 해당 하나요?</t>
  </si>
  <si>
    <t>「건축법 시행령」 별표1 제15호다목에 따른 숙박시설에 해당하는 다중 생활시설에서 다중이용업소법 시행령 제2조제7호의2에 따라 학습자가 공부할 수 있는 시설을 갖추고 숙박 또는 숙식을 제공하는 형태로 이루어지는 고시원업 영업은 「 공중위생관리 법」제2조제 1항제2호에 따른 숙박업에 해당하지 않음.</t>
  </si>
  <si>
    <t>민간어린이집이 제1종 근린생활시설에 해당하나요?</t>
  </si>
  <si>
    <t>○영유아보육법 제10조제7호에 따른 민간어린이집은 건축법 시행령 별표 1 제3호사목에 따른 “지역아동센터 등 주민이 공동으로 이용하는 시설” 에 해당하지 아니함.
 ○가정어린이집이 아닌 민간어린이 집은 「건축법 시 행령」 별표1 제 11호에 따른 노유 자시설에만 해당한다고 보아야함</t>
  </si>
  <si>
    <t>27</t>
  </si>
  <si>
    <t>「청소년복지 지원법」에 따른 청소년복지시설을 설치할 수 있는 건축물의 범위는 어떻게 되나요?</t>
  </si>
  <si>
    <t>○청소년쉼터는 공동생활가정에 해당하는 것으로 보아 「건축법 시행령」 별 표 1 제1호 또는 제2호에 따른 단독주택 또는 공동주택에 설치할 수 있음.
 ○청소년자립 지원관은 공동생활가정에 해당하는 것으로 보아 「건축법 시행령」 별표 1 제1호 또는 제2호에 따른 단독주택 또는 공동주택에 설치할 수 있음.</t>
  </si>
  <si>
    <t>부설주차장 설치기준에 위반되는 기존 건축물을 재축하는 경우 건축허가가 가능한가요?</t>
  </si>
  <si>
    <t>건축허가 신청 내용은 주차장법 제19조에 따른 부설주차장 설치기준에 적합해야 하므로 이 사안의 경우 건축허가를 할 수 없음.</t>
  </si>
  <si>
    <t>52</t>
  </si>
  <si>
    <t>데이터 제공 시, 개인정보는 어떻게 처리하는거야?
 &gt;&gt;참고 데이터 범위, 문서 양이 너무 많아서 제외, 질문 또한 광범위함. 데이터 제공 시 제3자제공인지, 목적외 이용인지, 또는 가명정보 처리 후 제공인지에 대한 질문 내용 부족</t>
  </si>
  <si>
    <t>데이터 제공 시에는 「개인정보보호법」, 행정안전부 지침, 부산시 개인정보처리방침에 따라 비식별화·가명처리·접근통제·파기관리 등 안전조치를 반드시 준수해야 합니다. 핵심 기준은 다음과 같습니다.
 ✔ 1. 직접식별자 삭제
 이름, 주민번호, 전화번호 등은 반드시 삭제(부산시 개인정보처리방침)
 ✔ 2. 준식별자 최소화·범주화
  - 나이 → 연령대
  - 주소 → 시·군·구 단위
  - 날짜 → 월 단위 등(행정안전부 개인정보보호 지침)
 ✔ 3. 총계처리·마스킹(소규모 그룹 비공개)
  - 5명 미만 통계는 숨김 또는 비공개 처리(행정안전부 지침)
 ✔ 4. 가명처리(필요 시)
  - 분석 목적 일 때 난수·해시로 대체
  - 원본 키는 별도 보관(부산시 개인정보처리방침 제16조, 가명정보 처리 가이드라인)
 ✔ 5. 재식별 위험 평가
  - 다른 데이터와 결합해도 특정 개인을 알아볼 수 없는지 검증(가명정보 처리 가이드라인)
 ✔ 6. 제공 후 관리
  - 목적 외 사용 금지
  - 파기 기한 명시
  - 사고 발생 시 즉시 보고(행정안전부 지침 + 부산시 방침)
 ✔ 7. 비정형 데이터(영상·이미지·음성)
  - 모자이크 처리, 변형 등 비식별 조치 필요(가명정보 처리 가이드라인)</t>
  </si>
  <si>
    <t>2508_정보화정책과_업무지침_정보화정책과_부산광역시 개인정보처리방침
 * 행정안전부 개인정보보호 지침 (2025.7.4.)
 * 가명정보 처리 가이드라인 (2024.2.)</t>
  </si>
  <si>
    <t>① 부산광역시 개인정보처리방침https://www.busan.go.kr/vprivacy1
 ② 행정안전부 개인정보보호 지침(2025.7.4.), P1~20
 ③ 가명정보 처리 가이드라인(2024.2.) P7~84</t>
  </si>
  <si>
    <t>① 부산광역시 개인정보처리방침
  - 접근권한 부여·변경·말소 기록을 3년 이상 보관함”
  - 암호화·접근통제 등 기술적 보호조치 적용
  - 가명정보는 분리 보관하고 재식별 방지 조치 시행
  - 파기 시 관리대장을 작성하고 복구 불가능하게 삭제
 ② 행정안전부 개인정보보호 지침 (2025.7.4.)
  - 개인정보 최소 수집 원칙에 따라 목적 범위 내에서만 처리
  - 제3자 제공 시 법적 근거 검토 및 제한조치 적용
  - 파기 방법·책임자 확인 및 기록 보관
 ③ 가명정보 처리 가이드라인 (2024.2.)
  - 나이·주소·성별 등은 조합 시 식별 가능성이 있어 범주화 필요
  - 가명정보 제공 시 계약에 재제공 금지·삭제 의무 포함
  - 가명정보는 별도 저장 공간에서 분리 보관</t>
  </si>
  <si>
    <t>부산시 공무원 필수직무교육은 어떤 과정이 있나요?
 &gt;&gt; 오른쪽 내용이 명시적으로 정리된 내용을 찾을 수 없음</t>
  </si>
  <si>
    <t>부산시 공무원은 매년 나라배움터에서 제공되는 법정의무교육 + 필수직무교육을 반드시 이수해야 합니다.
 2025년 11월 기준 나라배움터 화면에 표시된 주요 필수교육 과정은 다음과 같습니다.
 2025년 부산시 공무원 주요 필수 직무교육 목록(나라배움터, 2025년 11월)
  - 감염병 교육 심화과정
  - 탄소중립 시민들과 함께
  - [4대폭력] 평등한 일상 폭력예방(고위직·일반)
  - 2050 탄소중립교육
  - 통일 미래비전과 과제
  - 아동학대 신고의무자 및 공공부문 예방교육
  - 고용·산업 정책과 데이터 기반 통계 활용 교육
  - 공직자 안보교육
  - 개인정보 안전성 확보조치
  - 개인정보 기본교육
  - 긴급복지 신고의무자 교육
  - 아동학대 예방 및 신고의무자 교육
  - 적극행정 법제 가이드라인
  - 공무원이 알아야 할 정보공개 제도
  - 회계학·법학 기초 과정
  - 감염병 대응 교육
  - 개인정보 처리자 실무과정 
  - 개인정보 처리자 고급 교육
  - 공무원이 알아야 할 정보공개 기초
  - 공직자 윤리 및 청렴교육
  - 데이터 리터러시 / 데이터 마인드 / 데이터 분석 기초
  - 이용자 보호 및 공직자 책임
  - 사회복지 종사자 법정의무교육
  - 생명지킴이 자살예방 교육
  - 직무역량 강화 교육(정책기획, 재정운영 등)
  - 직장 내 괴롭힘 예방·대응 교육
  - 성인지 교육(예산·통계 등)</t>
  </si>
  <si>
    <t>나라배움터 필수과정</t>
  </si>
  <si>
    <t>본문 내용 그래도 인용</t>
  </si>
  <si>
    <t>공익사업에 적용되는 손실보상 절차는?
 &gt;&gt; 자료 미제출</t>
  </si>
  <si>
    <t>부산시의 공익사업에서 적용되는 손실보상 절차는 총 8단계로 진행됩니다.아래 내용은 「공익사업을 위한 토지 등의 취득 및 보상에 관한 법률(토지보상법)」 및 부산광역시 건설본부 「2024 손실보상 실무안내서(240531 최종)」 기준입니다.
 1단계. 사업인정 및 보상계획 수립
 - 사업인정고시 또는 도시계획 결정 후 보상 절차 준비
 - 토지·물건 조사 계획 수립
 2단계. 현장조사(토지·지장물 조사)
 - 지목·면적·지장물 확인
 - 공부(토지·건축물)와 현황 대조
 - 권리관계 확인(소유자, 점유자, 지상권 등)
 3단계. 보상계획 공고 및 열람(14일 이상)
 - 토지보상법 제15조에 따라 열람 기간 부여
 -소유자 의견 제출 가능
 4단계. 감정평가(2~3개 업체)
 -감정평가업자 2인(또는 3인) 선정
 -평가 금액의 산술평균으로 보상금 산정
 5단계. 보상금 산정 및 협의요청
 -산정된 보상금 + 내역서 통지
 -협의 기간 부여(통상 30일)
 6단계. 협의취득(계약체결 후 지급)
 -협의 성립 시 계약 체결
 -보상금 지급 → 소유권 이전 등기 진행
 7단계. 협의 불성립 시 수용재결
 -토지수용위원회 재결 신청
 -보상금 공탁 → 재결서 송달 → 소유권 이전
 8단계. 재결 불복 시(이의재결·행정소송)
 -중앙토지수용위원회 이의재결
 -필요 시 행정소송 가능
 (요약) “조사 → 공고·열람 → 감정평가 → 협의 ⇒ (불성립 시) 수용재결 → 이의재결·소송” 순으로 진행됩니다.</t>
  </si>
  <si>
    <t>2405_부산광역시건설본부_안내매뉴얼_부산광역시건설본부_2024 손실보상 실무안내서</t>
  </si>
  <si>
    <t>2024 손실보상 실무안내서
 - 보상 절차도 P6~8
 - 의뢰/조사/조서 작성 P12~20
 - 보상계획 공고/열람 P21~23
 - 감정평가 절차 P24~55
 - 협의 요청 및 협의취득 P56~67
 - 수용재결, 이의재결 및 종료 P68~79</t>
  </si>
  <si>
    <t>2024 손실보상 실무안내서 
 - 부산시 공익사업에서 사용하는 표준 손실보상 절차 P6~8
 - 보상의뢰, 토지·지장물 조사 방법, 조사표 작성 기준 P12~20
 - 보상계획 공고 시기·방법·열람 기간(14일 이상) 규정 P21~23 
 - 감정평가업자 선정 및 평가 절차, 보상금 산정 방식(산술평균) P24~55 
 - 협의요청 문서 구성, 협의 기간, 계약 절차 P56~67 
 - 협의 불성립 시 수용재결 신청 요건, 공탁, 재결서 송달, 이의재결 절차 P68~79</t>
  </si>
  <si>
    <t>부산지역 고등교육기관 통계자료를 찾고 싶어, 데이터가 잘 정리된 사이트를 알려줘</t>
  </si>
  <si>
    <t>국가교육통계센터(https://kess.kedi.re.kr)**는 부산지역 고등교육기관 통계 자료를 포함해 국내 교육기관의 데이터를 체계적으로 제공하는 플랫폼입니다. 아래는 이 사이트에서 관련 정보를 찾는 방법입니다.
 부산지역 고등교육기관 통계 확인 절차
 1. 사이트 접속
  - 국가교육통계센터 메인 페이지로 이동합니다.
  - (한국교육개발원 산하의 공식 통계 조사·서비스 플랫폼입니다.)
 2. 조사사업 메뉴 탐색
  - 조사사업 페이지에서 고등교육통계를 선택합니다.
  - 주요 제공 데이터:
  &gt; 고등교육기관 기본 현황 (학교별, 지역별)
  &gt; 졸업자 취업 통계
  &gt; 학생 수, 교원 현황 등 세부 지표
 3. 지역별 필터 적용
  - 데이터 조회 시 "지역" 필터를 부산으로 설정해 해당 지역의 대학·전문대학 통계를 추출합니다.
  - 부산시 내 세부 구군별 통계는 메뉴별 세부 항목을 통해 확인 가능합니다.
 4. 서비스 특징
  - 신뢰성: 국가 승인 통계로, 공식 데이터를 기반으로 합니다.
  - 접근성: 온라인 데이터베이스(DB)로 제공되며, PDF 보고서 및 엑셀 다운로드 가능.
  - 분석 지원: DB분석 서비스나 콜센터(☎ 000-000-0000)를 통해 맞춤형 데이터 가공을 요청할 수 있습니다.
 5. 유의사항
  - 최신 데이터는 보통 연간 갱신되므로, 조회 시 조사 연도(표기된 연차)를 확인해야 합니다.
  - 부산 소재 일부 대학(분교 포함)은 통계상 타 시·도와 중복 표시될 수 있습니다.
 이 사이트를 통해 부산지역 고등교육기관의 입학생 수, 졸업률, 교원 확보율 등 구체적 통계를 확인하실 수 있습니다.</t>
  </si>
  <si>
    <t>교육통계서비스(KESS) https://kess.kedi.re.kr/index</t>
  </si>
  <si>
    <t>국가교육통계센터소개 - 소개</t>
  </si>
  <si>
    <t>국가교육통계센터는
 국무총리 산하 정부출연 연구기관인 한국교육개발원 소속 국가 교육통계사업 수행을 전담하는 조직으로,
 1962년부터 시행되어온 교육통계 사업은 1000여종의 국가 승인 통계 중 사회분야의 핵심적인 통계사업입니다.
 우리나라 교육 전반의 과학적·종합적 진단 및 정책 수립을 비롯한 제반 교육 기획·시행·평가·연구 등을 위한 핵심 인프라 정보로
 활용되는 교육통계는 국가경쟁력 제고의 필수적 요소로 그 중요성이 날로 부각되고 있습니다.
 국가교육통계센터는 이와 같은 대국민적 통계 수요에 부응하고 관련 정책의 올바른 설정과 시행에 필요한 방대한 인적자원 정보를
 수집·분석·서비스를 위해 지속적으로 노력하고 있습니다.
 2017년 국가교육통계센터 로 지정되었으며, 2018년 부터 교육통계센터와 교육지표연구실로 나누어 운영되고 있습니다.
 기초연구사업
 교육통계체제 혁신에 관한 연구 / 교육통계 조사의 신뢰성ㆍ정확성ㆍ시의성 제고에 관한 연구
 교육통계 조사 결과 분석에 관한 연구 / 교육통계정보 서비스에 관한 연구
 조사사업
 유·초·중등교육통계, 고등교육통계, 고등교육기관 졸업자 취업통계, 직업계고 졸업자 취업통계,
 평생교육통계, 국제교육통계 /OECD 교육재정조사 / 각 조사 별 조사체제 구축 및 운영 /
 조사 결과 데이터 DB구축 /각종 위원회 운영(교육통계위원회 등)
 분석/서비스사업
 교육통계자료집 발간 (교육통계연보 등) / 교육통계서비스 콜센터 운영 / DB분석 서비스 운영 /
 교육통계서비스 홈페이지, 블로그 및 모바일 서비스 시스템 운영 / 교육 데이터 오픈랩 운영
 시스템개발사업
 조사 시스템 업그레이드 및 신규 개발 / 교육통계서비스시스템 업그레이드 및 신규 개발
 유관기관 DB 연동 및 공유 시스템 개발 / 전산자원 유지보수 관리
 국제교류사업
 OECD 교육지표사업 참여 / OECD 교육지표 편역본 발간 / UIS 협력 업무수행 /
 SDG4-교육-2030 협력 업무수행 / 교육경쟁력 지표 및 각종 세계대학평가 모니터링</t>
  </si>
  <si>
    <t>공무원 병가를 사용가능한 경우와 사용일수 및 제출서류를 알고싶어요</t>
  </si>
  <si>
    <t>●병가사용가능한 경우: 질병 또는 부상으로 직무를 수행할 수 없는 경우 또는 감염병에 걸려 다른 공무원의 건강에 영향을 미칠 우려가 있을 때
 ●병가사용일수
 ①일반병가: 연60일 이내
 ②공무상병가: 연180일이내, 공무상 요양승인 결정 필요
 ●제출서류
  ▶연간 누계 6일까지 진단서의 제출 없이도 병가 사용 가능
  ▶7일 이상 연속되는 병가와 병가의 연간 누계가 6일을 초과하게 되는 경우에는 「의료법」제17조에 의하여 교부된 진단서를 제출</t>
  </si>
  <si>
    <t>● 지방공무원 복무규정</t>
  </si>
  <si>
    <t>●지방공무원 복무규정 제7조의5(병가) https://www.law.go.kr/법령/지방공무원복무규정</t>
  </si>
  <si>
    <t>● 제7조의5(병가) ① 지방자치단체의 장과 지방의회의 의장은 소속 공무원이 다음 각 호의 어느 하나에 해당할 경우에는 연 60일의 범위에서 병가를 허가할 수 있다. 이 경우 질병이나 부상으로 인한 지각ㆍ조퇴 및 외출은 누계 8시간을 병가 1일로 계산하고, 제7조의2제7항 본문에 따라 연가 일수에서 빼는 병가는 병가 일수에 산입하지 않는다. &lt;개정 2021. 11. 30.&gt;
 1. 질병이나 부상으로 인하여 직무를 수행할 수 없을 때
 2. 감염병에 걸려 그 공무원의 출근이 다른 공무원의 건강에 영향을 미칠 우려가 있을 때
 ② 지방자치단체의 장과 지방의회의 의장은 소속 공무원이 공무상 부상등으로 직무를 수행할 수 없거나 요양이 필요할 경우에는 연 180일의 범위에서 병가를 허가할 수 있다. &lt;개정 2021. 11. 30.&gt;
 ③ 병가 일수가 연 6일을 초과하는 경우에는 의사의 진단서를 첨부해야 한다.</t>
  </si>
  <si>
    <t>부산시 공무직 병가를 사용가능한 경우와 사용일수 및 제출서류를 알고싶어요
 &gt;&gt; 단체협약서 이미지 파일이라 인식 불가</t>
  </si>
  <si>
    <t>●병가사용가능한 경우: 질병 또는 부상으로 직무를 수행할 수 없는 경우 또는 감염병에 걸려 다른 공무원의 건강에 영향을 미칠 우려가 있을 때
 ●병가사용일수: 연60일 이내
 ●제출서류
  ▶연간 누계 6일까지 증빙자료 제출
  ▶연간 누계 7일 이상의 경우에는 「의료법」제17조에 의하여 교부된 진단서를 제출
  ▶동일한 사유의 병가는 최초 제출한 증빙자료로 상병명 및 요양기간을 확인할 수 있는 경우 추가 제출을 생략가능</t>
  </si>
  <si>
    <t>●2025년 부산광역시-부산시청공무직노동조합 단체협약서(★단체협약서(251022).pdf)</t>
  </si>
  <si>
    <t>●2025년 부산광역시-부산시청공무직노동조합 단체협약서 제27조(병가), 9~10p</t>
  </si>
  <si>
    <t>●제27조(병가) ① 시는 조합원이 업무 외 부상 또는 질병 치료를 위해 요청하는 경우, 또는 전염병 감염자로서 전파 우려가 있는 경우, 연 60일의 범위 내에서 병가를 줄 수 있다.
 ② 병가를 신청하고자 하는 조합원은 연간 누계 7일 미만의 경우 증빙자료를, 누계 7일 이상의 경우는 「의료법」 제17조에 의한 진단서를 제출하여야 한다.
 ③ 동일한 사유의 병가는 최초 제출한 증빙자료로 상병명 및 요양기간을 확인할 수 있는 경우 추가 제출을 생략할 수 있다.
 ④병가는 반일 또는 일 단위로 사용할 수 있고, 같은 연도 내 병가일수를 합한 기간이 30일 이상인 경우, 휴가 사용일수에 휴일 또는 휴무일을 산입한다
 ⑤ 병가는 사용일수 1일당 통상임금 일급(8시간)의 30%를 감액하여 지급하되, 제4항에 따라 산입된 휴일 또는 휴무일이 무급인 경우에는, 해당일을 감액하지 아니한다.
 ⑥ 제5항의 규정에도 불구하고, 코로나19의 확진으로 인한 병가는 감액하지 아니하고 유급으로 한다.</t>
  </si>
  <si>
    <t>업무추진비를 사용한 간담회 집행가액이 얼마인지 알고싶어요</t>
  </si>
  <si>
    <t>●간담회 등 접대비는 특별한 사유가 없는 한 1인 1회당 5만원 이하 범위에서 집행
 ●불가피한 경우에는 증빙서류 등에 사유를 병시하고 5만원을 초과하여 집행가능
 ● 「청탁금지법」 적용대상인 경우에는 「청탁금지법」을 따른다
  ▶음식물 가액 범위: 5만원</t>
  </si>
  <si>
    <t>●지방자치단체 회계관리에 관한 훈령(24. 9. 23. 시행)
 ●2025 부정청탁 및 금품등 수수의 금지에 관한 법률 행정기관 및 공직유관단체 메뉴얼</t>
  </si>
  <si>
    <t>46 
 86</t>
  </si>
  <si>
    <t>● 각종 회의, 간담회 등 참석자에게 제공하는 식사(다과, 음료 포함)는 특별한 사유가 없는 한 1인 1회당 5만원 이하 범위에서 집행하고, 행사성격 등 불가피한 경우에는 증빙서류 등에 사유를 명시하고 5만원을 초과하여 집행할 수 있다. 다만, 「청탁금지법」 적용대상인 경우에는 「청탁금지법」을 따른다.
 가액 범위
 l 원활한 직무수행, 사교·의례, 부조 목적으로 제공되는 5만원 이하 음식물·5만원 이하 선물
 (농수산물·농수산가공품은 설날·추석 전 24일부터 설날·추석 후 5일까지는 30만원 이하,
 그 외 기간에는 15만원 이하)·5만원 이하 축의금·조의금(화환·조화는 10만원 이하)은 예외
 사유에 해당(법 제8조제3항제2호, 시행령 제17조 및 별표 1)
 l 음식물 : 5만원 이하
 - 제공자와 공직자등이 함께 하는 식사, 다과, 주류, 음료, 그 밖에 이에 준하는 것
 ※ 제공자와 공직자등이 함께 하지 않고 제공자가 특정 식당에서 먼저 또는 나중에 결제하고 공직자등만
 식사를 하게 하는 경우는 가액한도 내라도 제2호의 음식물에 해당될 수 없음</t>
  </si>
  <si>
    <t>지방재정(e호조+) 사용자 권한신청 방법을 알고싶어요
 &gt;&gt; 매뉴얼 미제공</t>
  </si>
  <si>
    <t>●사용자권한신청메뉴얼
 1. 시 행정포털 접속 – 지방재정(e호조+) 접속
 2. 사용자권한신청(81211) 선택
 3. 오른쪽 밑 신규선택 – 아래로 스크롤 내리기 - 업무그룹 부여 – 행추가 – 돋보기 - 필요한 권한 신청
 4. 담당자는 팀장님까지 결재
 5. 사용자권한결재(81212)</t>
  </si>
  <si>
    <t>●이호조사용자권한신청 매뉴얼(이호조 사용자 권한 신청(본청,사업소).hwp)</t>
  </si>
  <si>
    <t>●이호조사용자권한신청 매뉴얼(이호조 사용자 권한 신청(본청,사업소).hwp)1~3p</t>
  </si>
  <si>
    <t>신용카드로 물품 구입시 얼마부터 2인 이상 견적서 제출 필요할까?</t>
  </si>
  <si>
    <t>지방자치단체를 당사자로 하는 계약에 관한 법률 시행령 제30조(수의계약대상자의 선정절차 등) ① 지방자치단체의 장 또는 계약담당자는 수의계약을 체결하려는 경우에는 2인 이상으로부터 견적서를 받아야 한다. 다만, 다음 각 호의 어느 하나에 해당하는 경우에는 1인으로부터 받은 견적서에 의할 수 있다.
 1. 제25조제1항 각 호(제5호는 제외한다), 제26조제1항ㆍ제2항 및 제27조에 따른 계약의 경우
 2. 추정가격이 2천만원 이하인 공사, 물품의 제조ㆍ구매 및 용역의 경우. 다만, 다음 각 목의 어느 하나에 해당하는
 기업 또는 조합과 계약을 체결하는 경우에는 추정가격이 5천만원 이하인 경우로 한다.
 가. 「여성기업지원에 관한 법률」 제2조제1호에 따른 여성기업 또는 「장애인기업활동 촉진법」 제2조제2호에 따
 른 장애인기업
 나. 「사회적기업 육성법」 제2조제1호에 따른 사회적기업, 「협동조합 기본법」 제2조제3호에 따른 사회적협동조합
 , 「국민기초생활 보장법」 제18조에 따른 자활기업 또는 「도시재생 활성화 및 지원에 관한 특별법」 제2조제
 1항제9호에 따른 마을기업으로서 행정안전부장관이 정하는 기준에 적합한 기업. 이 경우에는 행정안전부장관
 이 정하여 고시하는 취약계층 고용비율을 충족하여야 한다.
 3. 제2항에 따라 지정정보처리장치를 이용하여 견적서를 제출받았으나 견적서 제출자가 1인뿐인 경우로서 다시 견
 적서를 제출받더라도 견적서 제출자가 1인뿐일 것으로 명백히 예상되는 경우
 지방자치단체를당사자로하는계약에관한법률시행규칙 제33조(수의계약 체결 시 견적서 제출 생략의 대상) 영 제30조제4항에 따라 수의계약 체결 시 견적서 제출을 생략할 수 있는 경우는 다음 각 호의 경우로 한다. &lt;개정 2019. 6. 25.&gt;
  1. 전기, 가스, 수도 등의 공급계약을 체결하는 경우
  2. 추정가격이 200만원 미만인 물품의 제조ㆍ구매ㆍ임차 및 용역 계약을 체결하는 경우
  3. 추정가격이 200만원 미만인 물품을 「여신전문금융업법」에 따른 신용카드로 구매하는 경우
  4. 국가 및 다른 지방자치단체와 수의계약을 체결하는 경우
 따라서 200만원을 초과하는경우는 비교견적서를 첨부해서 구매해야함.</t>
  </si>
  <si>
    <t>지방자치단체를당사자로하는계약에관한법률시행령 및 시행규칙</t>
  </si>
  <si>
    <t>시행령 제30조, 시행규칙 제33조</t>
  </si>
  <si>
    <t>시행령 제30조 일체
 시행규칙 제 33조 일체</t>
  </si>
  <si>
    <t>추정가격이랑 추정금액의 차이가 뭘까?</t>
  </si>
  <si>
    <t>기대답변 :
 1. 추정가격
  - 정의: 법령에 따라 예정가격이 결정되기 전, 국제입찰 대상 여부 판단이나 입찰 기준 설정을 위해 산정된 가격입니다.
  - 목적: 계약 체결 전 기본적인 금액 기준으로 활용됩니다.
  - 포함 항목: 부가가치세나 관급자재 비용 등은 제외됩니다.
 2. 추정금액
  - 정의: 추정가격에 부가가치세와 관급자재 비용을 포함해 산출된 총액입니다.
  - 목적: 실제 계약에서 지급될 최종 예상 금액을 계산하는 데 사용됩니다.
 3. 예시
  - 추정가격: 1억 원
  - 부가가치세 (10%): 1,000만 원
  - 관급자재 비용: 500만 원
  → 추정금액 = 1억 + 1,000만 + 500만 = 1억 1,500만 원
 4. 핵심 차이:
  - 추정가격은 세금과 관급자재를 포함하지 않은 기초 가격이며, 추정금액은 이에 추가 비용이 반영된 총액입니다.</t>
  </si>
  <si>
    <t>지방자치단체를 당사자로 하는 계약에 관한 법률 시행규칙
 지방자치단체를 당사자로 하는 계약에 관한 법률 시행규칙</t>
  </si>
  <si>
    <t>제2조(정의)
 제2조(정의)</t>
  </si>
  <si>
    <t>1. “추정가격”이란 물품ㆍ공사ㆍ용역 등의 조달계약을 체결할 때 「지방자치단체를 당사자로 하는 계약에 관한 법률
 」(이하 “법”이라 한다) 제5조에 따른 국제입찰의 대상인지를 판단하는 기준 등으로 삼기 위하여 예정가격이 결정
 되기 전에 제7조에 따라 산정된 가격을 말한다.
 2. “추정금액”이란 「지방자치단체를 당사자로 하는 계약에 관한 법률 시행령」(이하 “영”이라 한다) 제2조제1호에 따
 른 추정가격에 「부가가치세법」에 따른 부가가치세와 관급자재(계약상대자가 설치하는 관급자재로 한정한다)로
 공급될 부분의 가격을 합한 금액을 말한다.</t>
  </si>
  <si>
    <t>건설공사 안전관리비 지급 가능한 영역은?
 &gt;&gt; 근거자료 미제출</t>
  </si>
  <si>
    <t>건설공사 안전관리 업무수행 지침 별표7(안전관리비 계상 및 사용기준에 따라서 안전관리계획서의 작성 및 검토비, 안전점검비, 굴착 등의 공사로 인한 주변 건축물 피해방지대책비, 공사장 주변 통행안전 및 교통소통을 위한 안전시설의 설치 및 유지관리 비, 신호수 배치운용 등에 사용이 가능함</t>
  </si>
  <si>
    <t>건설공사 안전관리 업무수행 지침</t>
  </si>
  <si>
    <t>별표 7</t>
  </si>
  <si>
    <t>안전관리비 계상 및 사용기준</t>
  </si>
  <si>
    <t>보행을 위한 보도폭은 얼마정도로 해야 적당한가?
 &gt;&gt; 근거자료 미제출</t>
  </si>
  <si>
    <t>도로의 구조•시설 기준에 관한 규칙 제16조(보도) ① 보행자의 안전과 자동차 등의 원활한 통행을 위하여 필요하다고 인정되는 경우에는 도로에 보도를 설치해야 한다. 이 경우 보도는 연석(緣石)이나 방호울타리 등의 시설물을 이용하여 차도와 물리적으로 분리해야 하고, 필요하다고 인정되는 지역에는 이동편의시설을 설치해야 한다. &lt;개정 2020. 3. 6.&gt;
  ③ 보도의 유효폭은 보행자의 통행량과 주변 토지 이용 상황을 고려하여 결정하되, 최소 2미터 이상으로 하여야 한다. 다만, 지방지역의 도로와 도시지역의 국지도로는 지형상 불가능하거나 기존 도로의 증설ㆍ개설 시 불가피하다고 인정되는 경우에는 1.5미터 이상으로 할 수 있다.</t>
  </si>
  <si>
    <t>도로의 구조•시설 기준에 관한 규칙</t>
  </si>
  <si>
    <t>제16조</t>
  </si>
  <si>
    <t>최소 2미터이상, 불가피시 1.5미터이상</t>
  </si>
  <si>
    <t>공동주택이나 공동상가에서 각 세대별로 수도요금 고지서를 따로 받고싶어요</t>
  </si>
  <si>
    <t>부산광역시 수도 급수 조례 제10조(세대별계량기의 설치) ① 시장은 50세대 미만의 공동주택 또는 단독주택(「건축법 시행령」 별표 1 제1호가목 및 다목에 해당하는 것을 말한다)으로서 세대별 급수가 가능하도록 배관이 분리되어 있고, 건축주의 신청이 있으면 세대별계량기를 설치할 수 있다. 이 경우 세대별계량기 설치세대는 공동사용량이나 누수 및 공동배관 수선 등으로 인한 비용에 대해서 미설치세대와 공동부담의 책임을 진다. &lt;개정 2018. 2. 7., 2022.2.16.&gt;
  ③ 제1항에도 불구하고 세대별 급수를 위한 배관분리를 할 수 없으면 주계량기와 연결된 세대별계량기를 설치할 수 있다.</t>
  </si>
  <si>
    <t>부산광역시 수도 급수 조례</t>
  </si>
  <si>
    <t>제10조</t>
  </si>
  <si>
    <t>건축주의 신청이 있으면 조건에 따라서 세대별계량기를 설치할수 있다</t>
  </si>
  <si>
    <t>공항소음대책지역은 어떤 기준으로 지정되나요?</t>
  </si>
  <si>
    <t>공항소음대책지역은 국토교통부장관이 장래 항공수요를 감안한 예상 소음영향도(Lden, 가중등가소음도)를 기준으로 지정·고시합니다. 소음도에 따라 제1종(79 이상), 제2종(75 이상 79 미만), 제3종(61 이상 75 미만) 구역으로 구분됩니다.</t>
  </si>
  <si>
    <t>1. 공항소음 방지 및 소음대책지역 지원에 관한 법률 
 2. 공항소음 방지 및 소음대책지역 지원에 관한 법률 시행령</t>
  </si>
  <si>
    <t>1. 법 제5조 제1항 
 2. 시행령 제2조 제1항</t>
  </si>
  <si>
    <t>공항소음 방지 및 소음대책지역 지원에 관한 법률 제5조(소음대책지역의 지정ㆍ고시 등) ① 국토교통부장관은 장래의 항공수요를 고려한 예상 소음영향도를 기준으로 공항주변의 소음대책지역을 대통령령으로 정하는 바에 따라 제1종 구역, 제2종 구역 및 제3종 구역으로 지정ㆍ고시하여야 한다.
 공항소음 방지 및 소음대책지역 지원에 관한 법률 시행령 제2조(소음대책지역의 지정ㆍ고시) ① 「공항소음 방지 및 소음대책지역 지원에 관한 법률」(이하 “법”이라 한다) 제5조제1항에 따른 소음대책지역의 구역별 예상 소음영향도 기준은 다음 각 호와 같다. 다만, 제3종 구역의 경우 국토교통부령으로 정하는 바에 따라 지구별로 세분할 수 있다.
 1. 제1종 구역: 가중등가소음도[Lden㏈(A)] 79 이상
 2. 제2종 구역: 가중등가소음도[Lden㏈(A)] 75 이상 79 미만
 3. 제3종 구역: 가중등가소음도[Lden㏈(A)] 61 이상 75 미만</t>
  </si>
  <si>
    <t>공항소음 피해를 측정하는 기준인 Lden은 무엇을 의미하며, 구분 기준은 어떻게 되나요?
 &gt;&gt; Lden에 관한 내용이 없어서 답변 불가</t>
  </si>
  <si>
    <t>Lden(Lden)은 가중등가소음도로, 하루 24시간 동안의 평균 소음도를 주간, 저녁, 야간 시간대별로 가중치를 두어 산정한 값입니다. 공항소음대책지역은 Lden에 따라 제1종(79 이상), 제2종(75 이상 79 미만), 제3종(61 이상 75 미만) 구역으로 구분됩니다.</t>
  </si>
  <si>
    <t>공항소음 방지 및 소음대책지역 지원에 관한 법률 시행령</t>
  </si>
  <si>
    <t>시행령 제2조 제1항</t>
  </si>
  <si>
    <t>공항소음 방지 및 소음대책지역 지원에 관한 법률 시행령 제2조(소음대책지역의 지정ㆍ고시) ① 「공항소음 방지 및 소음대책지역 지원에 관한 법률」(이하 “법”이라 한다) 제5조제1항에 따른 소음대책지역의 구역별 예상 소음영향도 기준은 다음 각 호와 같다. 다만, 제3종 구역의 경우 국토교통부령으로 정하는 바에 따라 지구별로 세분할 수 있다.
 1. 제1종 구역: 가중등가소음도[Lden㏈(A)] 79 이상
 2. 제2종 구역: 가중등가소음도[Lden㏈(A)] 75 이상 79 미만
 3. 제3종 구역: 가중등가소음도[Lden㏈(A)] 61 이상 75 미만</t>
  </si>
  <si>
    <t>공항소음으로 피해를 입은 주민은 어떤 지원을 받을 수 있나요?</t>
  </si>
  <si>
    <t>공항소음대책지역(Lden 61 이상) 주민은 법률에 근거하여 크게 두 가지 유형의 지원을 받습니다. 
 1. 소음대책사업 : 방음시설 및 냉방시설 설치, 공영방송 수신료 지원, 주거용 시설 등의 냉방전기료 지원, 손실보상 및 토지 등의 매수
 2. 주민지원사업 : 지역주민의 복지향상 및 소득증대에 기여할 수 있는 사업으로 일정 기준에 따라 해당 지방자치단체의 조례로 정하는 사업
 근거자료로는 Lden 61 이상 주민이 두 가지 유형의 지원을 받는 다는 내용을 찾기 어렵습니다.
 법률 제19조제1항으로만 답변 생성해야할 것으로 보입니다.
 기대답변 :
  주민지원사업의 종류는 다음 각 호와 같다.
 1. 주민복지사업: 공동이용시설(도서관, 체육공원 등) 설치, 교육문화사업 등 지역주민의 복지향상을 위한 사업으로 대통령령으로 정하는 사업을 말한다.
 2. 소득증대사업: 공동작업장 및 공동영농시설의 설치 등 소득증대에 기여할 수 있는 사업으로 대통령령으로 정하는 사업을 말한다.
 3. 그 밖에 지역주민의 복지향상 및 소득증대에 기여할 수 있는 사업으로서 대통령령으로 정하는 기준에 따라 해당 지방자치단체의 조례로 정하는 사업</t>
  </si>
  <si>
    <t>공항소음 방지 및 소음대책지역 지원에 관한 법률</t>
  </si>
  <si>
    <t>법 제8조 제1항, 법 제19조 제1항</t>
  </si>
  <si>
    <t>공항소음 방지 및 소음대책지역 지원에 관한 법률 제8조(공항소음대책사업의 계획수립 등) ① 시설관리자 또는 사업시행자는 중기계획에 따라 다음 각 호의 사항을 포함하는 연차별 공항소음대책사업계획(이하 “소음대책사업계획”이라 한다)을 수립ㆍ시행하여야 한다.
 1. 방음시설 및 냉방시설 설치사업
 2. 공영방송 수신료 지원사업(시설관리자로 한정한다)
 3. 다음 각 목의 어느 하나에 해당하는 시설에 설치된 냉방시설의 전기료 일부 지원사업(시설관리자로 한정한다)
 가. 「교육기본법」 제9조에 따른 학교
 나. 「건축법」 제2조제2항제1호부터 제4호까지 및 제14호에 따른 시설 중 국토교통부령으로 정하는 주민 주거용 시설 및 주민 공동이용시설
 다. 「건축법」 제2조제2항제11호에 따른 노유자(老幼者)시설
 4. 자동소음측정망 설치사업
 5. 삭제 &lt;2015. 12. 31.&gt;
 6. 손실보상 및 토지 등의 매수
 7. 그 밖에 공항소음을 줄이고 쾌적한 생활환경을 조성하기 위하여 국토교통부장관이 필요하다고 인정하는 사항
 공항소음 방지 및 소음대책지역 지원에 관한 법률 제19조(주민지원사업의 종류 등) ① 주민지원사업의 종류는 다음 각 호와 같다.
 1. 주민복지사업: 공동이용시설(도서관, 체육공원 등) 설치, 교육문화사업 등 지역주민의 복지향상을 위한 사업으로 대통령령으로 정하는 사업을 말한다.
 2. 소득증대사업: 공동작업장 및 공동영농시설의 설치 등 소득증대에 기여할 수 있는 사업으로 대통령령으로 정하는 사업을 말한다.
 3. 그 밖에 지역주민의 복지향상 및 소득증대에 기여할 수 있는 사업으로서 대통령령으로 정하는 기준에 따라 해당 지방자치단체의 조례로 정하는 사업</t>
  </si>
  <si>
    <t>우리 집이 소음대책지역인데, 한국공항공사(시설관리자)에 땅을 팔고 이사할 수 있나요?</t>
  </si>
  <si>
    <t>제1종 구역(Lden 79 이상), 제2종 구역(Lden 75 이상 79 미만), 그리고 국토교통부령으로 정하는 제3종 구역 일부(Lden 70 이상 75 미만)에 있는 토지 소유자는 시설관리자(한국공항공사 등)에게 해당 토지의 매수를 청구할 수 있습니다. 청구를 받은 시설관리자는 2개월 이내에 매수 여부와 예상가격을 통보해야 합니다. (매수대상토지로 통보하면 통보일부터 3년 이내에 해당 토지 매수)</t>
  </si>
  <si>
    <t>1. 공항소음 방지 및 소음대책지역 지원에 관한 법률 
 2. 공항소음 방지 및 소음대책지역 지원에 관한 법률 시행규칙</t>
  </si>
  <si>
    <t>법 제12조 제1항, 법 제13조, 시행령 제2조, 시행규칙 제7조의2</t>
  </si>
  <si>
    <t>공항소음 방지 및 소음대책지역 지원에 관한 법률 제12조(토지매수의 청구 등) ① 제5조제1항에 따른 제1종 구역, 제2종 구역 또는 국토교통부령으로 정하는 제3종 구역에 있는 토지(이하 “매수대상토지”라 한다)의 소유자는 시설관리자 또는 사업시행자에게 해당 토지의 매수를 청구할 수 있다.
 제13조(토지매수의 절차 등) ① 시설관리자 또는 사업시행자는 제12조제1항에 따라 토지의 매수청구를 받은 날부터 2개월 이내에 해당 토지가 매수대상토지인지 여부 및 대통령령으로 정하는 바에 따라 산정한 매수예상가격 등을 매수청구인에게 통보하여야 한다. ② 시설관리자 또는 사업시행자는 제1항에 따라 매수대상토지로 통보한 때에는 통보일부터 3년 이내에 해당 매수 대상토지를 매수하여야 한다.
 공항소음 방지 및 소음대책지역 지원에 관한 법률 시행규칙 제7조의2(손실보상 및 토지매수 청구지역) 법 제11조제1항ㆍ제2항 및 제12조제1항에서 “국토교통부령으로 정하는 제3종 구역”이란 각각 제3조제1호에 따른 가 지구를 말한다.
 공항소음 방지 및 소음대책지역 지원에 관한 법률 시행령
 제2조(소음대책지역의 지정ㆍ고시) ① 「공항소음 방지 및 소음대책지역 지원에 관한 법률」(이하 “법”이라 한다) 제5조
 제1항에 따른 소음대책지역의 구역별 예상 소음영향도 기준은 다음 각 호와 같다. 다만, 제3종 구역의 경우 국토교통
 부령으로 정하는 바에 따라 지구별로 세분할 수 있다. &lt;개정 2013. 3. 23., 2021. 11. 16.&gt;
 1. 제1종 구역: 가중등가소음도[Lden㏈(A)] 79 이상
 2. 제2종 구역: 가중등가소음도[Lden㏈(A)] 75 이상 79 미만
 3. 제3종 구역: 가중등가소음도[Lden㏈(A)] 61 이상 75 미만</t>
  </si>
  <si>
    <t>공항소음대책지역에서 주택 방음시설이나 냉방시설 지원을 받으려면 어떤 절차로 신청해야 하나요?</t>
  </si>
  <si>
    <t>1. 신청대상 : 금년도 소음대책사업에 해당하는가옥으로서 공항공사로부터 신청안내서를 통보 받은 가옥
 2. 신청방법 : 해당사업 신청서를 작성한 후 첨부서류(세대별 주민등록등본, 건축물관리대장)와 함께 제출
 3. 문의사항 : 한국공항공사(김해공항) T. 1661-2626</t>
  </si>
  <si>
    <t>공항소음포털 홈페이지</t>
  </si>
  <si>
    <r>
      <rPr>
        <rFont val="&quot;맑은 고딕&quot;"/>
        <color rgb="FF1155CC"/>
        <sz val="12.0"/>
        <u/>
      </rPr>
      <t>https://www.airportnoise.kr/anps/reqst/SdfclInfo</t>
    </r>
    <r>
      <rPr>
        <rFont val="&quot;맑은 고딕&quot;"/>
        <sz val="12.0"/>
      </rPr>
      <t xml:space="preserve">
 https://www.airportnoise.kr/anps/reqst/ArclngInfo</t>
    </r>
  </si>
  <si>
    <t>1. 방음시설 설치 신청
 신청대상 : 금년도 소음대책사업에 해당하는 가옥으로서 공항공사로부터 신청안내서를 통보 받은 가옥
 신청방법 : 주택방음시설 설치 신청 페이지에서 내용을 작성한 후 첨부서류와 함께 온라인 접수하시면 됩니다
 필수 첨부서류 : 건축물관리대장
 2. 주택냉방시설 설치 신청
 신청대상 : 금년도 소음대책사업에 해당하는 가옥으로서 공항공사로부터 신청안내서를 통보 받은 가옥
 신청방법 : 주택냉방시설 설치 신청 페이지에서 내용을 작성한 후 첨부서류와 함께 온라인 접수하시면 됩니다
 필수 첨부서류 : 세대별 주민등록등본, 건축물관리대장</t>
  </si>
  <si>
    <t>소음대책지역 지정은 얼마나 자주 바뀌나요? 소음이 줄어들어 지원 대상에서 제외될 수도 있나요?</t>
  </si>
  <si>
    <t>국토교통부장관은 소음대책지역 지정 후 5년마다 소음영향도 조사를 실시하고 지정의 타당성을 재검토해야 합니다. 재검토 결과 지역에서 제외되더라도, 해당 시설물(주택)의 소유자가 신청하면 제외된 날부터 5년 이내에 방음시설 설치 등 기존 지원 사업을 계속 시행하도록 법에 규정되어 있습니다.</t>
  </si>
  <si>
    <t>법 제5조 제2항, 법 제5조 제4항, 법 제8조 제3항, 시행령 제2조 제11항</t>
  </si>
  <si>
    <t>공항소음 방지 및 소음대책지역 지원에 관한 법률 제5조(소음대책지역의 지정ㆍ고시 등) ② 국토교통부장관은 제1항에 따라 소음대책지역을 지정ㆍ고시하기 위하여 공항소음으로 인한 공항주변의 소음영향도를 조사하여야 한다.
 ④ 제2항 및 제3항에 따른 소음영향도 조사의 주기ㆍ방법 및 기준 등에 관하여 필요한 사항은 대통령령으로 정한다.
 공항소음 방지 및 소음대책지역 지원에 관한 법률 제8조(공항소음대책사업의 계획수립 등) ③ 시설관리자 또는 사업시행자는 소음대책지역의 변경으로 인하여 제외되는 지역 안의 제2항에 따른 시설물에 대하여 소음대책지역에서 제외된 날부터 5년 이내에 해당 시설물의 소유자가 신청하면 다음 각 호의 사업을 시행하여야 한다. 
 1. 방음시설 설치사업
 2. 텔레비전 수신 장애 방지사업
 3. 학교 냉방시설 설치사업
 공항소음 방지 및 소음대책지역 지원에 관한 법률 시행령 제2조(소음대책지역의 지정ㆍ고시) ⑪ 국토교통부장관은 법 제5조제2항에 따라 제4항에 따른 소음대책지역 지정ㆍ고시 후 5년마다 소음영향도 조사를 실시해야 하며, 그 결과 등을 고려하여 그 지정ㆍ고시의 타당성을 검토해야 한다.</t>
  </si>
  <si>
    <t>소음대책지역으로 지정되면 주택을 신축하거나 기존 건물을 다른 용도로 바꾸는 것에 제한이 따르나요?</t>
  </si>
  <si>
    <t>네, 제한이 따를 수 있습니다. 소음피해 확산을 방지하기 위해 시·도지사 또는 시장·군수·구청장은 소음대책지역에 주거용, 교육용, 의료용 등 소음에 민감한 특정 시설물의 신축(설치)를 제한하거나 기존 시설의 용도 변경을 제한할 수 있습니다. 다만, 방음시설 설치 등 일정한 조건을 붙여 시설물의 설치를 허용할 수 있습니다.</t>
  </si>
  <si>
    <t>법 제6조, 시행규칙 제4조 제1항, 시행규칙 별표1 및 별표2</t>
  </si>
  <si>
    <t>공항소음 방지 및 소음대책지역 지원에 관한 법률 제6조(소음대책지역에서의 시설물의 설치 제한 등) ① 특별시장ㆍ광역시장ㆍ도지사(이하 “시ㆍ도지사”라 한다) 또는 특별자치도지사ㆍ시장ㆍ군수ㆍ구청장은 공항소음피해 확산을 방지하기 위하여 소음대책지역에서의 시설물의 설치 및 용도를 제한하여야 한다. 다만, 방음시설 설치 등 일정한 조건을 붙여 시설물의 설치를 허용할 수 있다.
 ② 시ㆍ도지사 또는 시장ㆍ군수ㆍ구청장은 제1항에 따른 조건을 이행하지 아니한 자에게 다음 각 호의 사항을 명할 수 있다.
 1. 시설물의 용도변경
 2. 소음피해 방지시설의 보완
 ③ 시ㆍ도지사 또는 시장ㆍ군수ㆍ구청장은 소음대책지역에 「건축법」에 따라 시설물 설치를 허가하였을 때에는 그 허가내용(조건을 붙인 경우에는 그 내용을 포함한다)을 시설관리자 또는 사업시행자에게 통보하여야 한다.
 ④ 제1항에 따른 설치 및 용도 제한 대상시설물의 종류와 제한조건 등에 관하여 필요한 사항은 국토교통부령으로 정한다.
 공항소음 방지 및 소음대책지역 지원에 관한 법률 시행규칙 제4조(소음영향도에 따른 시설물의 설치제한 등) ① 법 제6조제4항에 따른 소음대책지역 안의 설치 및 용도 제한 대상시설물의 종류와 제한조건은 각각 별표 1 및 별표 2와 같다.</t>
  </si>
  <si>
    <t>해외에서 입국 시 담배 면세 기준이 어떻게 되나요?
 &gt;&gt; 자료 미제출</t>
  </si>
  <si>
    <t>○입국자가 반입하는 담배의 면세범위
 1. 궐련 : 200개비
 2. 엽궐련 : 50개비
 3. 전자담배 : 
  ㉠니코틴용액 20ml
  ㉡궐련형 200개비
  ㉢기타유형 110그램
 4. 그 밖의 담배 : 250그램</t>
  </si>
  <si>
    <t>재정업무편람_세정운영담당관_담배소비세.pdf</t>
  </si>
  <si>
    <t>440p</t>
  </si>
  <si>
    <t>본문 표 내용 인용</t>
  </si>
  <si>
    <t>담배 반출신고는 어떻게 하나요?</t>
  </si>
  <si>
    <t>제조자 또는 수입판매업자가 담배를 제조장 또는 보세구역세 반출 시 지자체에 신고
 1. 신고기한 : 반출한 날이 속하는 달의 다음달 5일까지
 2. 신고방법 : 담배 반출신고서(지방세법 시행규칙 별지 제23호 서식)를 작성하여 제조장 또는 주사무소 소재지 관할 시장, 군수에게 신고
  ※ 전 월 각 지역별 판매량을 적은 자료 첨부</t>
  </si>
  <si>
    <t>「지방세법」 제55조, 같은 법 시행령 제65조, 같은 법 시행규칙 제24조</t>
  </si>
  <si>
    <r>
      <rPr>
        <rFont val="&quot;맑은 고딕&quot;"/>
        <color rgb="FF1155CC"/>
        <sz val="12.0"/>
        <u/>
      </rPr>
      <t>https://www.law.go.kr/lsSc.do?section=&amp;menuId=1&amp;subMenuId=15&amp;tabMenuId=81&amp;eventGubun=060101&amp;query=%EC%A7%80%EB%B0%A9%EC%84%B8%EB%B2%95#searchId1</t>
    </r>
  </si>
  <si>
    <t>○지방세법 제55조(담배의 반출신고) 제조자 또는 수입판매업자는 담배를 제조장 또는 보세구역에서 반출(제53조에 따른 미납세 반출 및 제54조에 따른 과세면제를 위한 반출을 포함한다)하였을 때에는 대통령령으로 정하는 바에 따라 지방자치단체의 장에게 신고하여야 한다. 
 ○지방세법 시행령 제65조(담배의 반출신고) ① 법 제55조에 따른 반출신고는 반출한 날이 속하는 달의 다음 달 5일까지 행정안전부령으로 정하는 신고서에 지난 달 특별시ㆍ광역시ㆍ특별자치시ㆍ특별자치도ㆍ시 및 군(이하 이 장에서 “시ㆍ군”이라 한다)별 판매량을 적은 자료를 첨부하여 제조장 또는 주사무소 소재지를 관할하는 시장ㆍ군수에게 해야 한다. 다만, 제68조제2항 각 호 외의 부분 단서에 따른 수입판매업자의 경우에는 지난 달 시ㆍ군별 판매량을 적은 자료를 첨부하지 않을 수 있다.
 ○지방세법 시행규칙 제24조(반출신고) ① 영 제65조제1항에 따라 담배의 반출신고를 하려는 자는 별지 제23호서식의 담배 반출신고서에 담배 수불(受拂)상황표 및 담배의 반출사실을 증명하는 전표 또는 수입신고필증을 첨부하여 제조장 또는 주사무소 소재지를 관할하는 특별시장ㆍ광역시장ㆍ특별자치시장ㆍ특별자치도지사ㆍ시장 또는 군수(이하 이 장에서 “시장ㆍ군수”라 한다)에게 제출해야 한다.</t>
  </si>
  <si>
    <t>특이(폭언 및 반복) 민원에 대한 대응방법을 알려주세요
 &gt;&gt; 근거자료 이미지 파일이라 인식 불가</t>
  </si>
  <si>
    <t>1. 지동녹음이 되지 않는 부서의 경우, 전화기를 들어 바로 수동녹음을 실시합니다.
 *수동녹음 순서 : # ▸ 11 ▸ 회의(액정화면)
 2. [폭언 지속시] 통화곤란 안내 후 전화를 종료합니다.
 - 선생님, 폭언을 계속하시면 더 이상의 상담이 어렵습니다. 혹은 관련법령에 따라 처벌 받을 수 있습니다. 다른 민원 처리를 위해 이만 통화를 마치겠습니다. 양해해주시기 바랍니다.
 3. [반복민원 응대시]
  - 선생님, 말씀하신 민원은 설명드린대로 정해진 규정과 절차에 따라 정상적으로 처리된 사항입니다. 동일한 답변 외에는 더 드릴 말씀이 없습니다. 반복적으로 전화를 하시면 공무방해 행위에 해당됩니다. 죄송합니다. 다른 민원 처리를 위해 많은 시간을 할애할 수 없는 점 양해부탁드리며, 이만 통화를 종료하겠습니다.</t>
  </si>
  <si>
    <t>부산형 민원응대 매뉴얼</t>
  </si>
  <si>
    <t>19P</t>
  </si>
  <si>
    <t>인재개발원 교육신청은 어떻게 하나요?
 &gt;&gt; 자료 미제출 및 검색안됨</t>
  </si>
  <si>
    <t>① 통합교육관리시스템(http://bs.lms.go.kr) 가입
 ② 행정포털 차세대 인사 → ’교육훈련’ → '교육훈련부서주관' → '교육부서주관교육신청' 클릭
 ③ 원하는 교육 클릭 후 은행계좌 기입 → ‘신청’ 클릭 → 부서장 승인
 ④ "부산광역시 인재개발원 교육생 선발 결과알림" 공문확인
 ⑤ 선발된 경우 → 차세대 인사 → 교육훈련파견관리 → 근무지 내 교육훈련 파견신청 → 신규 신청 및 결재
 *여비내역 미입력 후 결재진행
 *비대면 교육의 경우(출장지: 재택, 출장목적: 교육명 입력)</t>
  </si>
  <si>
    <t>(관내)교육훈련파견신청 매뉴얼</t>
  </si>
  <si>
    <t>1~4P</t>
  </si>
  <si>
    <t>10년 이상 재직했는데 장기재직휴가는 며칠이나 갈 수 있어?</t>
  </si>
  <si>
    <t>「부산광역시 공무원 복무 조례」 개정(2024.12.25.)에 따라 장기재직휴가 일수가 확대되었습니다.
 1. 5년~10년 미만: 5일
 2. 10년~20년 미만: 15일 (기존 10일에서 확대)
 3. 20년~30년 미만: 25일 (기존 20일에서 확대)
 4. 30년 이상: 25일 (기존 20일에서 확대)
 따라서 10년 이상 20년 미만 재직자의 경우 15일의 휴가를 사용할 수 있습니다.</t>
  </si>
  <si>
    <t>부산광역시 공무원 복무 조례</t>
  </si>
  <si>
    <t>제15조(특별휴가) ⑥항</t>
  </si>
  <si>
    <t>제15조(특별휴가) ⑥ 소속기관장은 재직기간이 5년 이상 10년 미만인 공무원에게 해당 재직기간 중 5일, 10년 이상 20년 미만인 공무원에게 해당 재직기간 중 15일, 20년 이상 30년 미만 및 30년 이상 재직한 공무원에게는 해당 재직기간 중 각각 25일의 휴가를 허가할 수 있으며, 운영에 필요한 사항은 시장이 따로 정한다.</t>
  </si>
  <si>
    <t>초등학교 3학년 자녀가 있는데 학습지도시간을 쓸 수 있어?</t>
  </si>
  <si>
    <t>네, 조례에 '학습지도시간'이 신설되었습니다.
 9세 이상 10세 이하(초등학교 3~4학년) 자녀를 둔 공무원은 자녀의 학습 적응 및 지도를 위해 1일 최대 2시간의 학습지도시간을 12개월 범위 내에서 사용할 수 있습니다.</t>
  </si>
  <si>
    <t>제15조(특별휴가) ⑨항</t>
  </si>
  <si>
    <t>제15조(특별휴가) ⑨9세 이상 10세 이하 또는 초등학교 3학년 이상 초등학교 4학년 이하의 자녀를 가진 공무원은 12개월의 범위에서 초등학교 학습 적응 및 지도 등을 위한 1일 최대 2시간의 학습지도시간을 사용할 수 있다.</t>
  </si>
  <si>
    <t>남성 공무원인데 배우자 임신 검진에 같이 가고 싶어.</t>
  </si>
  <si>
    <t>조례에 따라 '임신검진동행휴가'를 사용할 수 있습니다.
 남성 공무원은 배우자의 임신검진에 동행하기 위해 10일의 범위에서 특별휴가를 사용할 수 있습니다.</t>
  </si>
  <si>
    <t>제15조(특별휴가) ⑧항</t>
  </si>
  <si>
    <t>제15조(특별휴가) ⑧ 남성공무원은 배우자의 임신검진에 동행하기 위하여 10일의 범위에서 임신검진동행휴가를 사용할 수 있다.</t>
  </si>
  <si>
    <t>자녀가 3명인데 자녀돌봄휴가는 며칠 쓸 수 있어?</t>
  </si>
  <si>
    <t>「지방공무원 복무규정」 제7조의7 제10항에 따라 자녀돌봄휴가(가족돌봄휴가 중 자녀 관련)의 유급 일수는 "자녀 수 + 1일"입니다.
 따라서 자녀가 3명인 경우 4일을 유급으로 사용할 수 있습니다</t>
  </si>
  <si>
    <t>지방공무원 복무규정</t>
  </si>
  <si>
    <t>제7조의7(특별휴가) ⑩항</t>
  </si>
  <si>
    <t>제7조의7(특별휴가) ⑩ 제9항에 따른 가족돌봄휴가는 무급으로 하되, 자녀(같은 항 제4호의 경우에는 미성년자 또는 장애인인 자녀로 한정한다)를 돌보기 위한 가족돌봄휴가는 해당 공무원의 자녀(제9항제1호에 따른 어린이집등에 재학 중이거나 미성년인 자녀 또는 장애인인 자녀를 말한다)수에 1을 더한 일수까지를 연간 유급휴가 일수로 한다. 다만, 장애인인 자녀가 있는 공무원 또는 「한부모가족지원법」 제4조제1호의 모 또는 부에 해당하는 공무원의 경우에는 본문에 따른 연간 유급휴가 일수에 1일을 더한 일수까지 연간 유급휴가 일수로 한다.</t>
  </si>
  <si>
    <t>공공기관 위탁시 시의회 동의 예외사항</t>
  </si>
  <si>
    <t>공공기관에 사무 위탁시 시의회 동의 예외사항은 「부산광역시 사무의 공공기관 위탁·대행에 관한 조례」 제7조제1항 각 호에 규정되어 있습니다. 특히 최근(2025. 10. 1.) 개정사항이 있으므로 변경사항에 대한 확인이 필요합니다.
 1. 사업비 전액에 대하여 국가의 보조를 받는 사무
 2. 정부공모사업 참여 등 국가의 보조를 받는 사무로 수탁·대행기관이 미리 지정되어 있는 사무
 3. 「공공기관의 운영에 관한 법률」 제4조에 따른 공공기관이 수탁·대행하는 사무로 해당 기관이 수행하지 않으면 목적을 달성할 수 없는 경우
 4. 정보화 사업 등 지방자치단체 간에 공동으로 추진하여야 할 필요성이 있는 사무로 지방자치단체 간 경비를 분담하여 시행하는 사무
 5. 연간 위탁·대행금액(수탁·대행기관이 수탁·대행사무 처리에 드는 관리·운영비를 포함한다. 이하 같다)이 1억원 이하인 사무
 6. 연간 위탁·대행금액이 3억원 이하인 재계약 사무
 7. 1년 이하의 기간으로 위탁·대행하는 일회성 사무(다만, 다음 연도에도 계속되는 경우 시의회 동의를 받아야 한다)
 8. 재난, 재해 대응 등 위탁·대행을 통하여 긴급하게 추진하여야 할 필요성이 있는 사무</t>
  </si>
  <si>
    <t>「부산광역시 사무의 공공기관 위탁·대행에 관한 조례」 제7조제1항 각 호</t>
  </si>
  <si>
    <t>「부산광역시 사무의 공공기관 위탁·대행에 관한 조례」</t>
  </si>
  <si>
    <t>조례 내용 인용</t>
  </si>
  <si>
    <t>공공기관 위탁사업비 정산보고 및 반납에 대한 절차 규정</t>
  </si>
  <si>
    <t>공공기관 위탁사업비 정산보고 및 반납에 관해서는 「부산광역시 공공기관의 출연금, 전출금 및 위탁사업비 정산에 관한 조례」 제8조에 규정되어 있습니다.
 - 공공기관의 장은 회계연도가 끝났거나, 위탁사업비 교부 목적사업을 완료한 경우 그 사유가 발생한 날부터 2개월 이내에 위탁사업비 정산보고서를 제출하여야 하며,
 - 정산 결과 집행잔액이 발생한 경우 집행잔액과 발생이자를 시에 반납하여야 합니다.</t>
  </si>
  <si>
    <t>「부산광역시 공공기관의 출연금, 전출금 및 위탁사업비 정산에 관한 조례」</t>
  </si>
  <si>
    <t>조례 내용 인용 8조(출연금 등의 정산보고 및 반납)</t>
  </si>
  <si>
    <t>공공기관 위탁·대행 갱신 절차</t>
  </si>
  <si>
    <t>공공기관에 사무 위탁시 시의회 동의 예외사항은 「부산광역시 사무의 공공기관 위탁·대행에 관한 조례」 제8조2 및 제18조의2의 규정에 따라야 합니다.
 - 위탁·대행기간 갱신 시 위탁·대행사업 성과평가위원회에서 사업성과 등을 평가한 후 갱신 가능하며,
 - 위탁·대행기간 갱신 시 공공기관 위탁·대행사업의 성과를 측정하기 위하여 위탁·대행기간 만료 180일 전까지 성과평가를 실시하여야 함
 - 단, 시의회 동의 예외 대상 사무는 성과평가에서 제외하며, 「부산광역시 공유재산 및 물품 관리 조례」제13조의2에 따라 부산광역시 공유재산심의회의 심의를 거친 경우에는 위탁·대행사업 성과평가위원회의 평가를 거친 것으로 봄</t>
  </si>
  <si>
    <t>지침 내용 인용</t>
  </si>
  <si>
    <t>공공기관 위탁·대행사업 성과평가위원회 구성 및 운영 방법</t>
  </si>
  <si>
    <t>공공기관 위탁·대행사업 성과평가위원회의 구성 등에 관한 사항은 「부산광역시 사무의 공공기관 위탁·대행에 관한 조례」 제18조의3에 규정되어 있으며, 상세 내용은 다음과 같습니다.
 - (목적) 위탁·대행사업에 대한 성과평가
 - (대상) 위탁·대행사업 중 기간 갱신 사업 
 - (구성) 위원장 1명을 포함하여 6명 이상 10명 이하, 위원장은 위촉위원 중에서 호선, 전체 위원 수의 과반을 공무원이 아닌 사람으로 구성
 - (자격) 조례 제18조의3(위탁·대행사업 성과평가위원회 구성 및 운영)에 따라 임명 또는 위촉(이하 성과평가위원회) 
 1. 시 소속 4급 이상 공무원 
 2. 시의회에서 추천하는 사람 
 3. 대학교수, 변호사, 공인회계사, 공인노무사, 기술사 등 전문가 
 4. 그 밖에 공공기관 위탁·대행업무에 관하여 학식과 경험이 풍부한 사람 
 단, 성과평가위원회 위원은 위탁·대행 심의위원회 위원과 중복 위촉 불가하니 이점에 유의하시기 바랍니다.
  - (의결) 재적의원 과반수 출석으로 개의, 출석의원 과반수의 찬성으로 의결</t>
  </si>
  <si>
    <t>개인정보 보호책임자와 관리책임자의 범위와 역할</t>
  </si>
  <si>
    <t>개인정보 보호책임자 및 관리책임자는 다음과 같습니다.
 - 개인정보 보호법 제31조와 같은 법 시행령 제32조에 따라 개인정보의 처리에 관한 업무를 총괄해서 책임질 개인정보 보호책임자는 행정자치국장입니다.
 - 개인정보처리자는 제1항에 따른 개인정보 보호책임자를 보좌하기 위하여 분야별 개인정보 관리책임자(이하 “분야별 관리책임자”이라 한다)를 지정․운영하여야 하며, 분야별 관리책임자는 다음 각 호와 같습니다.
  1. 시정 통합홈페이지 분야 : 홍보담당관
  2. 지방 재정관리 분야 : 예산담당관
  3. 지방 세정관리 분야 : 세정정책담당관
  4. 영상정보 분야 : 자연재난과장
  5. 가명정보 및 추가정보 분야 : 빅데이터과장
  6. 상수도 분야 : 상수도사업본부 경영지원부장
  7. 소방 분야 : 소방재난본부 119종합상황실장
  8. 그 외 : 소관업무 부서장
 _ 분야별 관리책임자는 개인정보 보호책임자의 업무를 보좌하여 소관 부서의 개인정보보호 업무를 총괄합니다.</t>
  </si>
  <si>
    <t>부산광역시 개인정보 내부 관리계획('25.8.)</t>
  </si>
  <si>
    <t>본문 내용 인용 제6조(개인정보 보호책임자의 지정)</t>
  </si>
  <si>
    <t>개인정보의 안전한 파기를 위해 개인정보처리자가 지켜야할 절차</t>
  </si>
  <si>
    <t>개인정보처리자는 개인정보의 안전한 파기를 위하여 개인정보 파기계획을 수립하여야 합니다. 다만, 내부관리 계획이 수립되어 있으므로 별도의 파기계획 수립없이 아래의 계획에 따라 개인정보 파기를 계획·시행할 수 있습니다.
 - 개인정보의 보유기간의 종료일과 처리 목적 달성, 해당 서비스의 폐지, 사업의 종료 등으로 그 개인정보의 처리가 불필요하게 된 경우에는 정당한 사유가 없는 한 5일 이내에 개인정보를 파기 (단, 『공공기록물 관리에 관한 법률』등 다른 법령에서 보존해야 하는 경우에는 예외로 하며, 예외로 보존해야하는 개인정보는 다른 개인정보와 분리하여 저장․관리)
 - 개인정보처리자는 파기 사유가 발생한 개인정보파일을 선정하고 개인정보보호 책임자의 승인을 득한 뒤 개인정보를 파기(단, 개인정보파일 파기가 아닌 개인정보파일 내 일부 개인정보는 개별 사유(인사 이동, 회원 탈퇴 등)에 의해 시스템을 통해 자동 삭제되므로 별도 파기계획을 수립하지 않음)
 - 개인정보파일 일제정비 시 보유하고 있는 업무용 단말 내 개인정보파일을 점검하고 파기
 - 개인정보 위탁 용역사업의 경우, 용역사업 종료와 동시에 용역업체가 별도관리하는 개인정보파일을 파기하고 그 현황을 관리</t>
  </si>
  <si>
    <t>17, 18, 19</t>
  </si>
  <si>
    <t>본문 내용 일부 인용</t>
  </si>
  <si>
    <t>실내정원을 조성하는 필수적인 환경요인은 뭐야?</t>
  </si>
  <si>
    <t>1. 광(빛) : 최소광도 150lux 이상, 생장광도 500lux 이상
 2. 관수: 여름철 1회/10일, 겨울철 2회/20일
 3. 온도: 여름철 30도 이하, 겨울철 10도 이하
 4. 수분: 관엽식물류 60~65%
  수분과다(70% 이상) 회색 곰팡이 잎 썩음
  발생 주의</t>
  </si>
  <si>
    <t>2025년 생활정원 조성사업 매뉴얼(산림청)</t>
  </si>
  <si>
    <t>본문 그대로 인용</t>
  </si>
  <si>
    <t>작년 예산서 보는 방법 알려줘
 &gt;&gt; 근거자료 미제출</t>
  </si>
  <si>
    <t>특정년도 예산서 확인하는 방법
 - 접속경로 : 행정포털-지방재정(e호조+)-예산관리-예산편성-예산서관리-합본예산서(15100)
 - 회계연도 선택 가능, 타부서 예산서도 확인 가능</t>
  </si>
  <si>
    <t>차세대 지방재정 관리시스템 
 예산편성(예산부서) 매뉴얼</t>
  </si>
  <si>
    <t>98, 99</t>
  </si>
  <si>
    <t>○ 작업절차
 ① 합본예산서를 출력할 조회 조건 선택- “회계유형선택” 항목에서 회계유형을 선택하면 일반회계, 기타특별회계, 등의 유
 형별 출력이 가능하고 회계구분을 선택하면 개별 회계를 선택해 출력할 수 있다.- 예산구분선택에 ☑체크하면 가장 최근 미확정된 차수가 기본으로 설정되며 예산구분, 금액구분 별로 출력할 수 있다.</t>
  </si>
  <si>
    <t>입법진행현황 확인하는 방법 알려줘</t>
  </si>
  <si>
    <t>국민참여입법센터(https://opinion.lawmaking.go.kr/) 접속
 - 입법진행현황에서 정부 입법현황과 국회입법현황 확인 가능</t>
  </si>
  <si>
    <r>
      <rPr>
        <rFont val="&quot;맑은 고딕&quot;"/>
        <color rgb="FF1155CC"/>
        <sz val="11.0"/>
        <u/>
      </rPr>
      <t>https://opinion.lawmaking.go.kr/</t>
    </r>
  </si>
  <si>
    <t>본문(홈페이지) 내용 인용
 &gt;&gt; 이 내용은 간단한 질문 FAQ 등에 정리되어 있어야 답변 가능할거 같은데 확인 바랍니다.</t>
  </si>
  <si>
    <t>시의회 회의록 찾는 법 알려줘</t>
  </si>
  <si>
    <t>부산광역시의회(https://council.busan.go.kr/) 접속
 - 회의록-전체회의록 접속 시, 제1대(1991.7.8.~1995.6.30.)부터 회기별 회의록 확인 가능</t>
  </si>
  <si>
    <r>
      <rPr>
        <rFont val="&quot;맑은 고딕&quot;"/>
        <color rgb="FF1155CC"/>
        <sz val="11.0"/>
        <u/>
      </rPr>
      <t>https://council.busan.go.kr/</t>
    </r>
  </si>
  <si>
    <t>한글 배포용 문서 편집해서 쓰는 법 알려줘</t>
  </si>
  <si>
    <t>한글 배포용 문서 변환기 사용
 (https://openhwp.azurewebsites.net/)
 - 파일 변환하여 편집 가능상태로 사용가능</t>
  </si>
  <si>
    <r>
      <rPr>
        <rFont val="&quot;맑은 고딕&quot;"/>
        <color rgb="FF1155CC"/>
        <sz val="11.0"/>
        <u/>
      </rPr>
      <t>https://openhwp.azurewebsites.net/</t>
    </r>
  </si>
  <si>
    <t>저번달 초과근무 몇시간 했는지 알려줘</t>
  </si>
  <si>
    <t>행정포털-차세대인사-복무관리-초과근무현황에서 기간 설정하여 월별 초과근무현황 확인가능</t>
  </si>
  <si>
    <t>없음</t>
  </si>
  <si>
    <t>저작권 걱정 없는 무료 폰트(글꼴) 쓸 수 있는 방법 알려줘</t>
  </si>
  <si>
    <t>공유마당(https://gongu.copyright.or.kr/) 접속
 - 안심 글꼴파일 서비스에서 민간 및 공공 안심글꼴 사용가능</t>
  </si>
  <si>
    <r>
      <rPr>
        <rFont val="&quot;맑은 고딕&quot;"/>
        <color rgb="FF1155CC"/>
        <sz val="11.0"/>
        <u/>
      </rPr>
      <t>https://gongu.copyright.or.kr/</t>
    </r>
  </si>
  <si>
    <t>2026년 의회 회기 일정 알려주세요</t>
  </si>
  <si>
    <t>제333회 임시회 : 1.26.(월)～2.6.(금)
 제334회 임시회 : 3.11.(수)～3.24.(화)
 제335회 임시회 : 4.23.(목)～4.29.(수)
 제336회 정례회 : 6. 9.(화)～6.23.(화)
 제337회 임시회 : 7. 6.(월) - 제10대 의회 전반기 원구성
 제338회 임시회 : 7.14.(화)～7.28.(화)
 제339회 임시회 : 8.28.(금)～9.11.(금)
 제338회 정례회 : 11. 3.(화) ～12.15.(화)</t>
  </si>
  <si>
    <t>2511_기획담당관_2026년 부산광역시의회 회기운영 계획 알림</t>
  </si>
  <si>
    <t>2026년 부산광역시의회 회기운영 계획</t>
  </si>
  <si>
    <t>오늘이 자동차세 납부기한인데 고지서가 없어요. 납부할 수 있는 방법이 있나요?</t>
  </si>
  <si>
    <t>위택스(www.wetax.go.kr) 및 스마트위택스(앱)
 은행 인터넷뱅킹(앱) : 세금/공과금 메뉴
 은행 ATM기 : (본인) 카드, 통장 등</t>
  </si>
  <si>
    <r>
      <rPr>
        <rFont val="&quot;맑은 고딕&quot;"/>
        <color rgb="FF1155CC"/>
        <sz val="11.0"/>
        <u/>
      </rPr>
      <t>https://www.wetax.go.kr/tcp/wtg/J040104M01.do</t>
    </r>
  </si>
  <si>
    <t>다양한 지방세 납부방법</t>
  </si>
  <si>
    <t>우리 시에서 시행하고 있는 끼인세대를 위한 지원 사업에 대해서 알려줘</t>
  </si>
  <si>
    <t>일자리
 ❶ 인생 2막을 위한 자격증 취득 지원
 ❷ 끼인세대 인생 제2막 컨설팅 지원사업
 ❸ 스마트 돌봄 인력양성
 ❹ 일하는 엄마·아빠 찾아가는 상담 지원
 ❺ 경력단절여성 구직활동 지원금
 ❻ 4050 채용 촉진 지원사업
 역량개발·교육
 ❶ 직장인 직업역량 강화 프로그램
 ❷ 끼인세대 경력단절여성 특화 취·창업 프로그램
 ❸ 끼인세대 자기개발 프로그램 운영
 ❹ 교육 설계 지원 서비스
 주거안정·금융
 ❶ 부산주거포털: 맞춤형 주거지원 서비스 플랫폼 운영
 ❷ 끼인세대를 위한 희망더함주택 입주 기회 확대
 ❸ 전세보증금 반환보증 보증료 지원사업
 ❹ 끼인세대 이사비용 지원
 ➎ 폐업소상공인 대상 희망두배통장 지원사업
 문화·여가
 ❶ 부산형 어린이 패스트트랙
 ❷ 공연예술관람 시 영유아 돌봄서비스 제공
 ❸ 소상공인 및 중소기업 종사자 공연예술 관람 지원
 ❹ 끼인세대 대상 문화예술교육 프로그램 운영
 ❺ 끼인세대 문화·여가 동아리 활동 지원
 ❻ 가족이 함께하는 공연 관람 운영
 ➐ 끼인세대(50+) 맞춤형 자원봉사 교육 및 프로그램 운영
 출산·양육
 ❶ 가족친화인증기업 확대
 ❷ 부산형 산후조리비 지원
 ❸ 어린이 대중교통요금 무료 지원
 ❹ 출산·양육 정보 한눈에, 양육 포털 통합 및 개선
 ❺ 부모 방과후 돌봄 공동체 지원
 ❻ 바람솔솔 놀이터 조성
 노후준비·건강
 ❶ 건강생활 실천 통합건강증진 프로그램
 ❷ 마음돌봄 디지털 플랫폼 홍보 및 활성화
 ❸ 노후준비를 위한 자산관리 교육프로그램 운영
 ❹ 생애재설계 및 노후 준비 교육: 인생 리모델링 프로젝트</t>
  </si>
  <si>
    <t>제1차 부산광역시 끼인세대 지원 종합계획(2025~2028)-배포용
 (부산광역시 홈페이지-분야별정보-일자리·교육-일자리정책-공지사항)</t>
  </si>
  <si>
    <r>
      <rPr>
        <rFont val="&quot;맑은 고딕&quot;"/>
        <color rgb="FF1155CC"/>
        <sz val="11.0"/>
        <u/>
      </rPr>
      <t>https://www.busan.go.kr/depart/abnotice/1701658?curPage=&amp;srchBeginDt=2024-10-21&amp;srchEndDt=2025-10-21&amp;srchKey=&amp;srchText=</t>
    </r>
  </si>
  <si>
    <t>본문 내용 그대로 인용
 13P 표 내용 참조</t>
  </si>
  <si>
    <t>난임부부 시술비 지원사업에 대해서 알려줘</t>
  </si>
  <si>
    <t>부산시에서는 체외수정 및 인공수정시설을 요하는 난임부부에게 시술비 일부를 지원하여 경제적 부담을 경감하려는 목적으로 난입부부시술비 지원사업을 시행하고 있다.
 지원대상은 난입시술을 요하는 의사의 난임진단서 제출자이며 난임부부 중 여성의 주소지 관할 구,군 보건소에 신청하면 된다.</t>
  </si>
  <si>
    <t>부산광역시 홈페이지-분야별 정보-건강-건강지원사업-난임부부 지원</t>
  </si>
  <si>
    <r>
      <rPr>
        <rFont val="&quot;맑은 고딕&quot;"/>
        <color rgb="FF1155CC"/>
        <sz val="11.0"/>
        <u/>
      </rPr>
      <t>https://www.busan.go.kr/depart/health02</t>
    </r>
  </si>
  <si>
    <t>페이지 내용 그대로 인용</t>
  </si>
  <si>
    <t>시청사 견학을 하려면 어떻게 신청을 해야하는지 알려줘</t>
  </si>
  <si>
    <t>신청 방법 : 사전 전화 예약 (총무과 ☎ 888-1869)
  - 견학일 2일전까지 예약 완료 
 ※ 시청사 견학이 아닌 열린도서관(들락날락) 별도 견학은 온라인 예약 필요(바로가기)(☎ 888-2046)
 ※ 시의회 견학 문의(별도 운영) : 시의회 홍보담당관(☎ 888-8384)
 견학인원 : 30명 ~ 50명 권장
 견학 시작 시간 : 오전 09:30분, 오후 13:30분
 집결장소 : 2층 로비 안내데스크 앞</t>
  </si>
  <si>
    <t>부산광역시 홈페이지-부산소개-부산시청 안내-시청사 견학</t>
  </si>
  <si>
    <r>
      <rPr>
        <rFont val="&quot;맑은 고딕&quot;"/>
        <color rgb="FF1155CC"/>
        <sz val="11.0"/>
        <u/>
      </rPr>
      <t>https://www.busan.go.kr/bhvisit</t>
    </r>
  </si>
  <si>
    <t>각 아파트 별로 화재시 대피요령과 대피장소가 자세히 나와있는 사이트 알려줘</t>
  </si>
  <si>
    <t>119부산광역시소방재난본부 홈페이지에서는 아파트 이름을 검색하면, 아파트 화재안전 정보를 한눈에 볼 수 있는 사이트를 운영하고 있다.</t>
  </si>
  <si>
    <t>119부산광역시소방재난본부-우리 아파트 화재안전 한누에 보기</t>
  </si>
  <si>
    <r>
      <rPr>
        <rFont val="&quot;맑은 고딕&quot;"/>
        <color rgb="FF1155CC"/>
        <sz val="11.0"/>
        <u/>
      </rPr>
      <t>https://119.busan.go.kr/safeapt/safeapt01</t>
    </r>
  </si>
  <si>
    <t>페이지 내용 요약</t>
  </si>
  <si>
    <t>우리집 가정 수돗물이 깨끗한지 알고 싶은데 무료 점검을 받을 수 있는 방법 알려줘</t>
  </si>
  <si>
    <t>부산광역시 상수도사업본부에서는 가정내 상수도관련 제반사항을 가정수돗물 무료점검서비스팀이 직접 방문 점검하는 가정 수돗물 무료점검 서비스를 운영하고 있다.
 국번없이 120으로 전화하면 가정수돗물 무료점검 서비스팀이 방문하여 무료점검을 받을 수 있다.</t>
  </si>
  <si>
    <t>부산광역시 상수도사업본부-요금/민원서비스-무료점검-무료점검소개</t>
  </si>
  <si>
    <r>
      <rPr>
        <rFont val="&quot;맑은 고딕&quot;"/>
        <color rgb="FF1155CC"/>
        <sz val="11.0"/>
        <u/>
      </rPr>
      <t>https://www.busan.go.kr/water/hdocoverview</t>
    </r>
  </si>
  <si>
    <t>개인정보 보호를 위한 매뉴얼이 있으면 알려줘</t>
  </si>
  <si>
    <t>개인정보 유출 등 사고대응 매뉴얼, 개인정보 처리방침, 개인정보 내부 관리계획, 개인정보 처리 위탁관리 업무 매뉴얼, 개인정보의 목적 외 이용 및 제3자 제공 지침 등이 있습니다.</t>
  </si>
  <si>
    <t>개인정보 유출 등 사고대응 매뉴얼
 개인정보 처리방침
 개인정보 내부 관리계획
 개인정보 처리 위탁관리 업무 매뉴얼
 개인정보의 목적 외 이용 및 제3자 제공 지침</t>
  </si>
  <si>
    <t>관련 매뉴얼 제목만 인용
 &gt;&gt; 관련 매뉴얼이 많은데 부기 주무관 답변으로는 매뉴얼이 없다고 나옴</t>
  </si>
  <si>
    <t>워크숍을 개최하면서 초청인사 식비, 기념품, 발대식 민간인 물품을 행사운영비로 집행가능해?
 &gt;&gt; 자료 미제출</t>
  </si>
  <si>
    <t>1. 행사운영비는 행사운영을 위한 초청장, 홍보유인물, 현수막 등 구입만 가능
 가. 초청인사 식비는 행사실비보상금 또는 업무추진비로 집행
 나. 기념품은 공직선거법 위배로 사전검토필요
 다. 민간인 물품은 대여하는 조건을 집행</t>
  </si>
  <si>
    <t>알기쉬운 2024년 회계실무</t>
  </si>
  <si>
    <t>p4</t>
  </si>
  <si>
    <t>지명입찰선정 선정기준이 뭐야?</t>
  </si>
  <si>
    <t>1. 시공능력평가액을 기준으로 지명하려는 경우 각 호에 따라 지명
 가. 시공능력평가액을 기준으로 지명하는 경우 시공능력평가액 순위에 따라 지명
 나. 특수기술공사는 전문적인 기술보유자 중에서 시공능력평가액 순위에 따라 지명
 다. 특수공사 시 동종공사 실적보유자 아니면 계약목적 달성이 어려운 경우 실적보유자 중에서 시공능력평가액 순위에 따라 지명
 라. 시설물 보수, 복구 단가계약의 경우 공사현장 접근이 용이한 자나 장비 보유 업체 지명</t>
  </si>
  <si>
    <t>지방자치단체 입찰 및 계약 집행기준</t>
  </si>
  <si>
    <t>20</t>
  </si>
  <si>
    <t>본문 내용 요약</t>
  </si>
  <si>
    <t>정원용 자생식물 추천해 줄 수 있어?
 &gt;&gt; 행정업무랑 상관없는 질문, 답변에 대한 정리된 내용이 해당 파일에 없음</t>
  </si>
  <si>
    <t>정원용 자생식물은 식물의 특성 및 생육환경에 따라 다른데 수형, 향기, 개화시가, 광조건, 습도, 배수, 내한성이 중요함
 1. 한국수목정원관리원에서 추천하는 정원용 자생식물 200선을 지역에 맞추어 선정가능</t>
  </si>
  <si>
    <t>한수정이 추천하는 정원용 자생식물 200선</t>
  </si>
  <si>
    <t>p5</t>
  </si>
  <si>
    <t>민원인의 위법행위에 대한 법적대응 방안 중 입건 전 조사는 어떻게 진행하는 거야?</t>
  </si>
  <si>
    <t>경찰관이 현장에 출동하여 범죄를 의심할 만한 정황이 있는지 확인하고 필요한 경우 사건관계인 등의 진술을 받고, 증거물을 조사함
 ※ 경찰관은 가해자가 떨어뜨리거나, 소유자, 보관자 등이 제출하는 데 동의한 물건을 임의 압수 
 ※ cctv, 웨어러블캠, 녹음전화의 영상, 녹음자료 등 영장이 필요한 증거자료는 추후 공문으로 증거제출을 요구하게 됨</t>
  </si>
  <si>
    <t>민원인의 위법행위에 대한 법적 대응 방안</t>
  </si>
  <si>
    <t>본문 발췌</t>
  </si>
  <si>
    <t>안전보건관리체계 구축을 위한 7가지 핵심요소는 뭐야?</t>
  </si>
  <si>
    <t>1. 경영자 리더쉽
 2. 근로자의 참여
 3. 위험요인 파악
 4. 위험요인 제거, 대처 및 통제
 5. 비상조치계획 수립
 6. 도급, 용역 위탁 시 안전보건 확보
 7. 평가 및 개선</t>
  </si>
  <si>
    <t>안전보건관리체계 가이드북</t>
  </si>
  <si>
    <t>국외출장 시 식비지급은 어떻게 되나요?
 &gt;&gt; 근거자료 미흡, 기존 골든셋에 관련 내용 포함으로 제외</t>
  </si>
  <si>
    <t>공무원 여비규정에 따라 지역별/직급별로 $186~$37까지 지급가능.
 다만 부산광역시 공무국외 기본계획에 의거 출국일 탑승 전 식수와 귀국일 도착 후 식수는 제외</t>
  </si>
  <si>
    <t>748_국제협력과 '2025년공무국외출장 기본계획'</t>
  </si>
  <si>
    <t>10p</t>
  </si>
  <si>
    <t>○ 출장경비 절감을 위한 노력 고려
  - 식비 계산 시 식수(1일 3식) 계산, 출국일 탑승 전 식수, 
  귀국일 도착 후 식수 제외</t>
  </si>
  <si>
    <t>산에서 조난시 내 위치를 119에 어떻게 알려줘야 하나요?
 &gt;&gt; 근거자료 미흡</t>
  </si>
  <si>
    <t>1.정의 
  - 국토 및 이와 인접한 해양을 격자형으로 일정하게 구획한 지점마다 부여한 번호(도로명주소법 제2조 제9호)
  ※ 국가지점번호는 전 국토의 위치안내 및 표시방식을 통일하여 재난재해 등 긴급상황에서 신속한 대응 및 대국민 위치안내서비스 제공 등 국가안전망 구축
 2. 표기 
  - 100km 단위는 문자를 사용하고 이하부터는 가로와 세로를 각각 10,000으로 나눈 정수를 연결하여 사용(도로명주소법 시행령 제37조 제2항)
  ※ 설악산대청봉 : 라아 8485 1333(기준점에서 동쪽 384.85km, 북쪽 713.33km지점)</t>
  </si>
  <si>
    <t>도로명주소법 제8조의5 참조
  (국가지점번호판 규격 등 고시 참조)</t>
  </si>
  <si>
    <t>산악·해안 등 건물 및 도로 등이 없는 지역의 위치표시로써 재난·사고 등 응급상황 발생시 신속한 위치안내와 인명구조 등 관계기관 공동 활용</t>
  </si>
  <si>
    <t>산업단지계획 수립 시 환경영향평가 협의를 해야하는데 관련 절차가 어떻게 되는지 알려주세요
 &gt;&gt;근거자료 미제출</t>
  </si>
  <si>
    <t>□ 환경영향평가 협의절차
 ○ 전략환경영향평가
 1. 평가협의회 구성·운영
 2. 평가서 초안 작성
 3. 주민 등 의견수렴(초안협의)
 4. 전략평가서 작성·협의
 ○ 환경영향평가
 1. 평가협의회 구성·운영(전략환경평가시 평가관련 Scoping한 경우 생략가능)
 2. 평가서 초안 작성
 3. 주민 등 의견수렴(초안협의)
 4. 평가서 작성·협의
 5. 협의내용 관리</t>
  </si>
  <si>
    <t>2101_산업입지과_부산산업단지 지원시스템_산업단지 개발·관리 업무편람</t>
  </si>
  <si>
    <t>51p</t>
  </si>
  <si>
    <t>본문 내용 표 인용(환경영향평가법)</t>
  </si>
  <si>
    <t>산업단지계획 수립 완료 후 토지 등에 대한 보상을 해야 공사시행을 할 수 있는데 보상절차에 대해 알려주세요
 &gt;&gt; 근거자료 미제출</t>
  </si>
  <si>
    <t>□ 토지수용 절차
 1. 토지조서 및 물건조서 작성(사업시행자)
 2. 보상계획 공고, 통지열람, 이의제기
 3. 보상협의회 설치
 4. 협의(계약체결 시 종료, 협의불성립 시 아래 계속)
 5. 재결신청
 6. 재결신청서 공고, 열람, 의견제출
 7. 심리, 재결
 8. 보상금 지급 또는 공탁
 9. 이의신청
 10. 이의신청에 대한 재결
 11. 행정소송 제기</t>
  </si>
  <si>
    <t>74P</t>
  </si>
  <si>
    <t>본문 내용 표 인용(공익사업을 위한 토지 등의 취득 및 보상에 관한 법률)</t>
  </si>
  <si>
    <t>사법경찰</t>
  </si>
  <si>
    <t>불법어업 지도단속 절차를 알려줘
 &gt;&gt; 표 순서 인식 후 기대답변 생성되는지 확인 필요</t>
  </si>
  <si>
    <t>◎ 불법 어업지도 단속 사건 처리 개요
  1. 현장 검거
  - 어업지도선 단속정 이용, 현장 어업지도 및 불법 어업 적발
  - 사건조사를 위해 연안 부근으로 이동 등 어선 선장 호송 조치
  * 형사소송법 및 인권보호수사규칙에 따른 피의자 인권 보호 및 적법절차(미란다 원칙 고지 등)
  2. 조사 
  - 어업허가 및 어선등록 사항 등 확인
  * 모바일 단속 시스템 활용, 실시간 조회
  - 위반 사항에 따라 진술조서 및 피의자신문조서 작성, 참고인 조사 등
  - 불법 어구 및 어획물 압수 등
  * 증거물 관리의 연속성 유지
  3. 관계기관 등 통보
  - 본청 보고 및 어업허가 관할 행정청에 범칙 어선 검거 통보
  * 실시간 검거 통보로 행정 투명성 확보 및 체계적 업무절차 수행
  4. 사건 송치
  - 수사 완료 사건을 부산지방검찰청에 송치
  * 사건 이첩 時 어업지도안전팀장에게 사건 경위 설명(필요시 과장 보고)
  5. 보완 조사 및 수사 지휘 건의
  - 어업허가 및 범죄경력 조회, 수사보고 등을 작성하여 사건보완
  - 행정처분 또는 관할 행정청에 행정처분 의뢰
  - 검사와 사법경찰관의 상호협력과 일반적 수사준칙에 관한 규정에 의거, 중요 사건에 대한 수사지휘 건의 및 압수물 처리 지휘 건의 * 사건에 따라 필요시 검사에게 직접 보고
  6. 사건 보완 송치
  - 수사 결과보고, 통계원표 및 의견, 송치서 작성
  - 압수물과 사건을 구분하여 사건송치(검찰청 사건계, 압수계 구분)</t>
  </si>
  <si>
    <t>2512_수산정책과_업무매뉴얼_수산정책과_불법 어업 지도단속 표준</t>
  </si>
  <si>
    <t>8, 13</t>
  </si>
  <si>
    <t>어업감독공무원은 뭐하는 사람이야?</t>
  </si>
  <si>
    <t>◎ 어업감독공무원의 자격
  1. 지정 주체 및 담당 사무
  가. 『수산업법 시행령』제45조 제1항에 따라 어업감독업무를 담당하는 공무원은 다음과 같이 지정됨.
  (1) 수산에 관한 사무를 담당하는 국가공무원으로서 해양수산부 장관 또는 시·도지사가 지정하는 자
  (2) 수산에 관한 사무를 담당하는 지방공무원으로서 시·도지사 또는 시장·군수·구청장이 지정하는 자
  나. 지정 취지: 수산 분야에 대한 업무상 전문성이 요구되어 일반 사법경찰관의 효율적 수사가 어려운 점을 보완하고, 전문가가 어업감독 업무를 수행하도록 함.
 ◎ 어업감독공무원의 권한
  1. 어업감독공무원의 권한
  가. 검사·질문권 및 정선·회항 명령권 (행정조사 권한)
   (1) 『수산업법』제69조 제1항에 따라 어업감독공무원은 어업조정, 안전 조업, 불법 어업 방지 및 수산물의 유통 질서를 확립하기 위하여 필요하다고 인정되면 어장·어선·사업장·사무소·창고, 그 밖의 장소에 출입하여 장부·서류, 그 밖의 물건을 검사 또는 관계인에게 질문하거나 그 밖에 정선(停船)이나 회항 (回航)을 명할 수 있다.
  (2) 권한 규정의 취지: 검사·질문 및 정선·회항 명령권 행사에 관계자가 답변을 거부하거나 명령에 불응할 경우, 행정상 처벌 근거(『수산업법』제108조 벌칙 조항)를 마련하여 실효성을 확보하기 위함.
  (3) 따라서 정선·회항 명령과 관련하여 『수산업법』제69조에서 “....어선의 정선이나 회항을 명할 수 있다.”고 규정하고, 『수산업법 시행령』제44조에서 더욱 구체화하고 있다.
  2. 불법 어획물 방류 명령권
  가. 『수산자원관리법』제16조 제1항에 의거, 『수산업법』제69조에 따른 어업감독공무원 등은 법령을 위반하여 포획·채취한 수산자원을 방류함으로써 포획·채취 전의 상태로 회복 가능하고 수산자원의 번식·보호에 필요하다고 인정되면 그 포획 ·채취한 수산자원의 방류를 명할 수 있음.
  나. 명령 수령자의 의무: 방류 명령을 받은 자는 지체없이 이에 따라야 함.</t>
  </si>
  <si>
    <t>10, 11</t>
  </si>
  <si>
    <t>불법어업 신고는 어떻게 해?</t>
  </si>
  <si>
    <t>불법 어업 신고센터: 방문, 전화(1588-5119) 우편, 팩스, 인터넷(국민신문고)</t>
  </si>
  <si>
    <t>불법어업 단속할 때 무엇을 확인해야 해?</t>
  </si>
  <si>
    <t>▣ 관련 법령별 중점 위반 사항
  ◎ 다음은 어업감독공무원의 불법 어업지도·단속 업무에 있어 중점적으로 확인해야 할 위반행위 및 관련 법령 조문임.
  1. 『수산업법』 위반 사항
  가. 면허어업,허가어업 등록 여부: 제7조(면허어업),제40조(허가어업)
  나. 다른 사람에 의한 지배 금지,임대차 금지: 제32조(임대차의 금지)
  다. 그물코 규격 제한,어구의 규모 형태 등: 제60조(어구의 규모 등의 제한)
   2. 『수산자원관리법』 위반 사항
  가. 조업 금지구역 확인: 제15조(조업금지구역): 제23조(2중 이상 자망의 사용금지 등)
  나. 2중 이상 자망 사용금지 위반 여부
  다. 수산동식물의 포획 채취 금지 기간,체장 위반: 제14조(포획ㆍ채취 금지,기간ㆍ체장 등)
  라. 외포란 꽃게,어린 채취 및 치어 포획: 제14조(포획ㆍ채취 금지,기간ㆍ체장 등)
  3. 『수산업법』 및 하위법령, 『어선안전조업 및 어선원의 안전보건 증진 등에 관한 법률』 위반 사항
  가. 어선의 규모 장비 기준 위반: 수산업법 시행규칙 제41조(어업의 종류별 허가정수 등)[별표7]
  나. 어업허가 제한 및 조건 위반: 수산업법 제40조(허가어업), 수산업법 시행규칙 제43조(어업허가의 제한)
  다. 출입항 신고,출어 등록 여부: 어선안전조업법 제8조(출입항신고), 제12조(출어등록)
  라. 조업한계선 등의 금지 및 특정 해역에서의 조업제한: 어선안전조업법 제11조(조업한계선 이탈금지),제13조(특정해역에서의 조업 또는 항행제한)
  4. 『어선법』 위반 사항
  가. 무선설비를 갖추지 아니하고 어선을 항행 또는 조업에 사용한 자: 제5조제1항(무선설비)
  나. 어선 위치 발신장치를 작동하지 않는 경우: 제5조의2제1항(어선위치발신장치)
  다. 선박국적증서 등을 어선에 갖추어 두지 아니하고 어선을 항행하거나 조업에 사용한 자: 제15조(선박국적증서 등의 비치)
  라. 어선의 명칭 등을 표시하지 아니하거나 어선번호판을 붙이지 아니한 자: 제16조제1항(어선 명칭 등의 표시와 번호판의 부착)
  ◎ 외국 어선(EEZ) 및 육상·유통 위반 사항
  1. 『배타적경제수역에서의 외국인어업 등에 대한 주권적 권리의 행사에 관한 법률』: 외국 어선
  가. 우리EEZ內무허가 조업: 제5조 제1항(어업의 허가 등)
  나. 협정된 제한 조건 위반(조업 구역,어획량 등): 제10조(허가 등의 제한 또는 조건)
  2. 『수산자원관리법』: 육상 및 유통 관련
  가. 항·포구 불법 어구 단속: 제24조(특정어구의 소지와 선박의 개조 등의 금지)또는 지자체 조례
  나. 수산시장 대상 불법 어획물 유통·판매: 제17조(불법어획물의 판매 등의 금지)</t>
  </si>
  <si>
    <t>14, 15, 16</t>
  </si>
  <si>
    <t>코리아메일(korea.kr)로 수신된 대용량 파일이 다운로드 되지않아요. 어떻게 해야하나요?</t>
  </si>
  <si>
    <t>업무용 자료는 국외에서 제공하는 서비스를 이용한 수발신이 불가하여, 국내에서 제공하는 서비스를 이용하여야 합니다.
 따라서 발신자는 네이버, 다음, 네이트의 메일로 대용량 파일을 전송하면 코리아메일로 수신 시 파일다운로드가 가능합니다.</t>
  </si>
  <si>
    <t>2412_사이트 접속차단 관련 안내(시도행정포털(업무게시판) 게시물)</t>
  </si>
  <si>
    <t>상용메일, 클라우드, 웹오피스등의 사이트는 비공개 업무자료의 외부 유출의 위험성이 있어, 국가정보보안 기본지침 제66조 및 제74조에 따라 해당 사이트의 접속을 차단하게 되었으며, 또한 개인정보의 안전성 확보를 위한 기술적 관리적 조치 의무사항에 따라, 인터넷 파일 공유 기능을 통한 직원의 실수 또는 고의로 개인정보가 유출될 수 있는 위험성이 있는 사이트를 차단하게 되었으니, 업무에 참고하시기 바랍니다.</t>
  </si>
  <si>
    <t>이호조 지출품의 시 온나라 연계기안 안하고 지출품의 결재가 완료되었을때 이호조 연계방법이 있나요?
 &gt;&gt; 근거 조례로 기대답변 생성 불가능</t>
  </si>
  <si>
    <t>연계기안을 누락하고 온나라 결재가 완료되었을때 이호조에 수동으로 결재문서를 등록하여 지출품의하는 방법이 있습니다.
 1. 이호조에서 지출품의결재요청(21101)에서 결재요청을 하여 온나라 문서연계를 한다.
 2. 온나라에서 연계문서로 넘어온 문서를 반송처리한다.
 3. 지출품의결재목록(21102)에서 지출품의한 해당건을 더블클릭한다.
 4. 해당건이 열리면 하단 [수기등록]을 클릭하여 온나라에서 결재완료된 문서(공문, 붙임)파일을 첨부문서에 추가한다.
 5. 문서대호를 입력하고 결재요청한다.
 6. 지출품의승인내역등록(21103)에서 원인행위등록요청한다.
 7. 회계과의 승인 후 지출결의요청목록(21401)에서 해당건을 클릭하여 지출결의요청등록한다.</t>
  </si>
  <si>
    <t>2507_부산광역시 회계관리에 관한 규칙</t>
  </si>
  <si>
    <t>본문내</t>
  </si>
  <si>
    <t>제4조(예산집행품의) ① 시장은 다음 각 호의 사항을 부시장, 실·국장, 과장·담당관 및 팀장으로 하여금 각각 위임전결하게 할 수 있다.</t>
  </si>
  <si>
    <t>인사랑 접속 안되는데, 출퇴근 입력방법 알려주세요</t>
  </si>
  <si>
    <t>(출퇴근 입력자 본인) 중앙 시스템 접속 및 긴급 출·퇴근 기록 처리
  - 접속 URL : https://insarang.go.kr:7443
  - 비상출퇴근 → 소속, 부서, 성명 등 정보를 입력 → 출·퇴근 기록([출근확인] 또는 [퇴근확인] 버튼 클릭)</t>
  </si>
  <si>
    <t>2501_인사과_표준지방인사정보시스템(차세대인사랑) 일시 중단 안내</t>
  </si>
  <si>
    <t>복무 긴급 출퇴근 처리 이용방법</t>
  </si>
  <si>
    <t>2026년 조례규칙심의회 개최예정일 알려주세요</t>
  </si>
  <si>
    <t>2월 12일(목), 3월 30일(월), 5월 4일(월), 6월 29일(월), 8월 3일(월), 10월 19일(월), 12월 21일(월) * 부산광역시의회 회기운영 계획 변경, 그 밖의 사정에 따라 변경 가능</t>
  </si>
  <si>
    <t>2512_법무담당관실_2026년 조례규칙심의회 개최 연간계획 알림</t>
  </si>
  <si>
    <t>2026년 조례규칙심의회 연간계획</t>
  </si>
  <si>
    <t>낙동강 생태공원에서 행사를 하고 싶은데 공원 이용하려면 어떻게 해야 돼?
 &gt;&gt; 관련 근거로 답변(전화번호 등) 생성 불가</t>
  </si>
  <si>
    <t>우리 시 관할 낙동강변 공원에서 행사에 이용할 수 있는 생태공원은 총 4곳이야. 화명생태공원, 삼락생태공원, 대저생태공원, 맥도생태공원이 그곳이지. 이들 생태공원을 관리하는 부서가 부산광역시낙동강관리본부이고.
 이곳 생태공원의 축구장 등 체육시설이나 다목적광장 등 광장을 이용하고 싶으면 우선 각 시설의 담당자에게 사용하고자 하는 날짜에 사용하고자 하는 시설이 비어 있는지 확인부터 하는 게 좋아.
 먼저 각 담당자의 연락처를 알려줄게. 부서는 낙동강관리본부 공원관리부 공원관리팀 소관이야.
 4개 공원의 축구장 등 유료체육시설은 051-310-6022 
 그 밖에 광장 등 무료시설은 각 공원별 관리소장에게 전화하면 돼. 
 각 공원의 전화번호는 다음과 같아.
 화명생태공원 051-310-6029 
 삼락생태공원 051-310-6027
 대저생태공원과 맥도생태공원 051-310-6026
 해당 날짜에 해당 장소가 사용이 가능하면, 공문으로 신청하면 돼.
 공문에는 다음의 서류가 첨부되어야 해.
 1. 이용시설 이용허가 신청서
 2. 하천점용허가 신청서
 3. 행사 계획서
 4. 안전관리계획서(필요시)
 다음으로 각 서류에 대해서 설명해 줄게.
 1. 이용시설 이용허가 신청서는 「부산광역시 낙동강 생태공원 보전 및 운영에 관한 조례 시행규칙」 제2조의 별지 제1호서식
 2. 하천점용허가 신청서는 「하천법 시행규칙」 제17조의 별지 제29호서식
 하천점용허가 신청서는 왜 필요하냐구? 여기가 사실 하천구역이잖아. 그래서 행사를 위해 천막이나 무대 등을 설치하게 되면 하천구역을 점용하는 것이기 때문에 허가를 받아야 하는 거야. 하천점용허가의 일부 업무가 우리 시로 위임이 되어 있어서 낙동강유역환경청이 아닌 낙동강관리본부로 신청하면 돼.
 3. 행사 계획서는 기본이겠지. 행사계획 결재 받은 보고서를 첨부하면 돼.
 4. 안전관리계획서는 「재난 및 안전관리 기본법」 제66조의11 및 같은 법 시행령 제73조의9에 따라 순간 최대관람객이 1천명 이상이 될 것으로 예상될 때 등의 경우에 수립해야 해.
 위의 서류를 제출하면 낙동강관리본부에서는 공원 이용시설 이용허가와 하천점용허가를 해 주게 돼. 단, 허가를 해 줄 때는 조건이 있겠지? 
 허가조건을 잘 준수해서 행사를 진행하면 돼.
 참, 이용료는 무료야. 「부산광역시 낙동강 생태공원 보전 및 운영에 관한 조례」 제12조에 따라 지방자치단체가 주관하는 행사는 이용료가 면제되니까 이용료 걱정 없이 이용하면 돼.</t>
  </si>
  <si>
    <t>법령 및 자치법규
 「재난 및 안전관리 기본법」 
 「하천법 」
 「부산광역시 낙동강 생태공원 보전 및 운영에 관한 조례」</t>
  </si>
  <si>
    <t>「하천법」 제33조(하천의 점용허가 등) ①하천구역 안에서 다음 각 호의 어느 하나에 해당하는 행위를 하려는 자는 대통령령으로 정하는 바에 따라 하천관리청의 허가를 받아야 한다. 허가받은 사항 중 대통령령으로 정하는 중요한 사항을 변경하려는 경우에도 또한 같다.
 「하천법 시행령」 제34조(점용허가의 신청 등) ① 법 제33조제1항에 따른 허가(이하 “하천점용허가”라 한다)를 받으려는 자는 기후에너지환경부령으로 정하는 하천점용허가신청서를 하천관리청에 제출(전자문서를 통한 제출을 포함한다)하여야 한다.
 「하천법 시행규칙」 제17조(하천점용허가의 신청 등) ① 영 제34조제1항에 따른 하천점용허가신청서는 별지 제29호서식의 하천점용허가 신청서에 따르되, 별표 4의 서류를 첨부하여야 한다.
 「재난 및 안전관리 기본법」 제66조의11(지역축제 개최 시 안전관리조치) ① 중앙행정기관의 장 또는 지방자치단체의 장은 대통령령으로 정하는 지역축제를 개최하려면 해당 지역축제가 안전하게 진행될 수 있도록 지역축제 안전관리계획을 수립하고, 그 밖에 안전관리에 필요한 조치를 하여야 한다. 다만, 다중의 참여가 예상되는 지역축제로서 개최자가 없거나 불분명한 경우에는 참여 예상 인원의 규모와 장소 등을 고려하여 대통령령으로 정하는 바에 따라 관할 지방자치단체의 장이 지역축제 안전관리계획을 수립하고 그 밖에 안전관리에 필요한 조치를 하여야 한다.
 「재난 및 안전관리 기본법 시행령」 제73조의9(지역축제 개최 시 안전관리조치) ① 법 제66조의11제1항 본문 및 같은 조 제3항에서 “대통령령으로 정하는 지역축제”란 각각 다음 각 호의 어느 하나에 해당하는 지역축제를 말한다. &lt;개정 2018. 1. 18., 2020. 6. 2., 2024. 3. 26.&gt;
 1. 축제기간 중 순간 최대 관람객이 1천명 이상이 될 것으로 예상되는 지역축제
 2. 축제장소나 축제에 사용하는 재료 등에 사고 위험이 있는 지역축제로서 다음 각 목의 어느 하나에 해당하는 지역축제
 가. 산 또는 수면에서 개최하는 지역축제
 나. 불, 폭죽, 석유류 또는 가연성 가스 등의 폭발성 물질을 사용하는 지역축제
 ② 법 제66조의11제1항 및 제3항에 따른 지역축제 안전관리계획(이하 “지역축제 안전관리계획”이라 한다)에는 각각 다음 각 호의 사항이 포함되어야 한다. &lt;개정 2018. 1. 18., 2020. 6. 2., 2024. 3. 26.&gt;
 1. 지역축제의 개요
 2. 해당 지역축제의 안전관리업무를 담당하는 사람 및 관리조직과 임무에 관한 사항
 3. 화재예방 및 다중운집 등에 따른 인명피해 방지조치에 관한 사항
 4. 안전관리인력의 확보 및 배치계획
 5. 비상시 대응요령, 담당 기관과 담당자 연락처
 ③ 법 제66조의11제1항 및 제3항에 따라 지역축제를 개최하려는 자가 지역축제 안전관리계획을 수립하려면 개최지를 관할하는 지방자치단체, 소방관서 및 경찰관서 등 안전관리 유관기관의 의견을 미리 들어야 한다.
 「부산광역시 낙동강 생태공원 보전 및 운영에 관한 조례」 제8조(이용허가) ① 낙동강 생태공원의 이용시설을 각종 경기 또는 체육행사나 그 밖의 행사 등의 목적으로 이용하려는 자는 시장의 이용허가를 받아야 한다. 허가받은 내용을 변경하는 경우에도 또한 같다.
 ② 제1항에 따라 이용허가를 받은 자가 임시 시설물 등을 설치하려면 시장의 승인을 받아야 하며, 이용기간이 종료한 때에는 임시 시설물 등을 철거하고 원상복구를 하여야 한다. 
 제12조(이용료의 감면 등) ① 시장은 다음 각 호의 어느 하나에 해당하는 경우에는 이용료를 면제할 수 있다.
 1. 국가 또는 지방자치단체가 주관하는 경기 또는 체육행사나 이에 준하는 행사 
 제14조(원상복구 등) ① 이용자의 책임 있는 사유로 이용시설이 파손되었을 경우에는 이용자가 원상복구하거나 그 손해를 즉시 배상하여야 한다.
 ② 이용시설의 이용자가 주관하는 행사 및 경기로 인하여 시설 내에서 사고가 발생하는 경우 그 책임은 이용자가 진다. 
 ③ 이용시설 이용자는 환경오염사고 및 안전사고 예방에 노력하여야 하며 이용기간중 이용자의 부주의로 인한 사건·사고 발생에 대하여는 이용자가 책임을 진다. 
 「부산광역시 낙동강 생태공원 보전 및 운영에 관한 조례 시행규칙」
 제2조(이용허가 신청) 「부산광역시 낙동강 생태공원 보전 및 운영에 관한 조례」(이하 “조례”라 한다) 제8조제1항에 따라 이용시설을 이용하려는 자는 별지 제1호서식의 이용시설 이용허가 신청서를 부산광역시낙동강관리본부장(이하 “본부장”이라 한다)에게 제출하여야 한다.</t>
  </si>
  <si>
    <t>안전지킴이</t>
  </si>
  <si>
    <t>출근하는 길인데 이 앞 터널에서 교통사고가 나서 정체가 매우 심해. 막히지 않는 빠른 길을 알고 싶어. 그리고 이걸 시민들에게도 알리고 싶은데 어디로 전화하면 돼?
 &gt;&gt; 근거자료 미제출</t>
  </si>
  <si>
    <t>출근길인데 교통사고라니, 마음이 많이 조급하겠다. 지각하면 안 되는데 말야. 어디로 가면 덜 막힐지 그리고 무슨 사고인지도 알고 싶을 테고. 그리고 다른 사람들도 이 사실을 빨리 알고 다른 길로 돌아갔으면 좋겠다는 그 마음 잘 알겠어.
 내가 만능 전화번호를 알려줄게.
 바로 부산광역시교통정보서비스센터 교통상황실의 051-600-0200이야.
 편하게 6000에 200콜이라고 부르기도 해.
 교통상황실에서는 주요도로와 터널, 교량에 설치되어 있는 1500여 대의 CCTV를 모니터링하면서 교통사고나 고장 차량, 공사 등의 돌발상황을 발견하게 되면 홈페이지, 모바일 앱, 트위터, 버스정보안내기, 교통정보전광판 등을 통해 그 정보를 시민들에게 제공하고 있어.
 교통상황실은 부산시 재난상황실, 경찰청 교통상황실, 부산소방본부, TBN교통방송, 부산시설공단, 그리고 각 터널, 지하차도, 교량의 상황실과 협력체계를 구축하여 서로 사고 등의 상황을 실시간으로 소통하고 있으니까 부산의 도로상의 돌발상황에 대해서는 가장 빠르고 정확하게 파악하고 또 여러 매체를 통해 시민들에게 서비스를 하고 있지.
 600-0200으로 전화하면 CCTV를 모니터링해서 실시간으로 우회도로를 안내해 주니까 편리하게 이용하도록 해.
 그리고 ‘부산교통정보’ 모바일 앱을 설치하면 주요도로 지정체 현황, 버스노선안내, 사고 등 돌발상황에 대해서 편리하게 알 수 있으니까 휴대전화에 설치하고 사용해 봐.
 마지막으로 버스정보안내기 고장신고나 신호등과 같은 교통안전시설물 고장신고도 600-0200으로 하면 돼.
 정말 만능 전화번호지?</t>
  </si>
  <si>
    <t>교통혁신국 행정사무감사자료</t>
  </si>
  <si>
    <t>229쪽</t>
  </si>
  <si>
    <t>□ 교통상황실 운영
  ○ 운영기간 : 연중무휴(운영개시일 : ’10.9.28.) 
  ○ 근무인원 : 상황실 전담 직원 7명(일반1, 시간선택제임기제 6)
  ○ 근무여건
  ­ (평 일) 07시~22시, 2교대 근무 ▹ 조별 3~4명
  ­ (토·공휴일) 10시~19시, 종일 근무 ▹ 2명
  ○ 담당업무
  ­ 부산지역 내 교통소통 상황, 돌발 상황, 반복 지·정체 상황 전파
  ­ 종합 교통정보 안내(600-0200) 및 민원 처리
 □ 교통정보 제공 서비스
  ○ 제공매체 : 홈페이지, 모바일 앱, ARS, 트위터, 120 콜센터, 버스정보안내기, 교통정보전광판 등
  ○ 제공정보 : 도로 소통 정보, 돌발사고정보, 버스 도착 정보, CCTV 영상정보 등</t>
  </si>
  <si>
    <t>심화 데이터 분석을 요청하고 싶은데 어떤 방식으로 추진되나요?
 &gt;&gt; 질문 관련 내용이 근거자료에 나와 있지 않아 유사도 낮을것으로 판단됩니다.</t>
  </si>
  <si>
    <t>빅데이터과 데이터 분석팀에서는 「부산광역시 데이터기반행정 활성화에 관한 조례」 제10조·제11조에 따라 데이터 기반의 의사결정 지원을 위해 데이터 분석사업 용역을 운영하고 있습니다.
 데이터 분석사업 용역은 연례 반복 추진되며, 매년 초에 신규 과제를 발굴하고 데이터 수급 및 규모에 따라 약 6개월 내외로 수행됩니다. 부서별 정책결정에 필요한 데이터 분석, 시각화 대시보드 개발, 데이터 현행화 체계 구축을 통해 과학적 행정을 구현하는 데 목적이 있습니다.</t>
  </si>
  <si>
    <t>2025년 데이터 분석사업 추진 계획</t>
  </si>
  <si>
    <t>2p</t>
  </si>
  <si>
    <t>- 2025년 기준 분석사업 추진 내용</t>
  </si>
  <si>
    <t>보고서 작성 시, 근거자료를 요청하고 싶은데 어떤 방식으로 추진되나요?</t>
  </si>
  <si>
    <t>빅데이터과 데이터 분석팀에서는 「부산광역시 데이터기반행정 활성화에 관한 조례」 제10조·제11조에 따라 정책 수립 시 근거 지원을 위해 데이터 분석 컨설팅 제도를 운영하고 있습니다.
 데이터 분석 컨설팅 제도의 경우에는 내부 분석 인력을 통해서 연중 수시로 비교적 간단한 분석의 경우에는 자체적으로 비예산으로 추진하고 있습니다. 부서 보유 데이터 또는 민간데이터의 활용 가능성 및 분석 방향 검토, 정책기획·현안 대응을 위한 수요 맞춤형 분석 자문을 제공하고 있습니다.</t>
  </si>
  <si>
    <t>2025년 데이터 분석 컨설팅 제도 운영 알림</t>
  </si>
  <si>
    <t>- 2025년 기준 분석 컨설팅 제도 추진 내용</t>
  </si>
  <si>
    <t>위원회</t>
  </si>
  <si>
    <t>위원회 정비기준을 알려줘</t>
  </si>
  <si>
    <t>행정안전부 지침상 위원회 정비기준은 다음과 같습니다.
 1. 미개최위원회
  가. 3년간 미개최 : 폐지
  나. 1년간 미개최 : 정비계획 수립 또는 활성화(연 3회이상 개최)
 2. 비효율위원회(연 3회미만 개최)
  가. 기능 유사, 중복 : 통폐합
  나. 기능 독립 : 폐지, 존속기한 설정, 비상설화, 협의체 전환(위원이 전부 내부공무원일 경우)</t>
  </si>
  <si>
    <t>행정안전부 위원회 정비 지침</t>
  </si>
  <si>
    <t>1, 2, 3, 4, 5</t>
  </si>
  <si>
    <t>행정안전부 위원회 정비 지침 본문 내용 인용</t>
  </si>
  <si>
    <t>위원회 정비방법을 알려줘
 &gt;&gt; 2P의 기본 방향 표 활용, 또는 전체 내용으로 해당 내용 생성 가능한지 판단 필요</t>
  </si>
  <si>
    <t>행정안전부 지침상 위원회 정비방법은 다음과 같습니다.
 1. 비상설화(권장) : 위원회 근거 조례에 비상설화 관련 문구 명시(ex. 위원회는 안건이 발생하면 구성하고, 심의∙의결 후 자동 해산한다.)
 2. 폐지 : 위원회 근거조례의 위원회 관련 조항 삭제를 통해 자체적으로 폐지
 3. 통폐합 : 통합하는 위원회의 근거 조례에 통합 관련 규정 신설 또는 폐지하는 위원회를 규정한 조례에 통합하는 위원회가 폐지되는 위원회의 기능을 대행한다는 조항 신설(ex. A위원회가 심의 또는 자문에 응할 사항에 대해서는 OOO조례에 따른 B위원회가 대신한다.)
 4. 존속기한 설정 : 위원회의 존속기한(최대 5년)을 조례에 명시(ex. 위원회의 존속기한은 2026년 12월 31일까지로 한다)
 5. 내부협의체 전환 : 위원회 근거 조례에 내부 공무원만 위원이 가능하도록 방법을 명시(ex. 위원은 부산광역시 소속 공무원 중에서 시장이 임명한다.)</t>
  </si>
  <si>
    <t>위원회 수당 및 여비 지급 기준을 알려줘</t>
  </si>
  <si>
    <t>부산광역시 소속 위원회 수당 및 여비 지급에 관한 조례에 따라 지급할 수 있는 수당 및 여비의 기준은 다음과 같습니다.
 1. 참석수당(직접 출석)
  가. 기본료(1일 2시간) 10만원
  나. 초과(2시간 이상시) 5만원 - 1일 1회만 지급 가능
 2. 참석수당(사이버위원회)
  가. 기본료(1일 2시간) 5만원
  나. 초과(2시간 이상시) 2만원 - 1일 1회만 지급 가능
 3. 심사수당(서면회의) : 건당 1만원
 4. 여비(위원회의 의결 또는 위원장에 명에 따라 출장하는 경우)
  가. 행정심판위원회, 소청심사위원회, 지방세심의위원회, 공직자윤리위원회, 인사위원회의 위원 : 3급 공무원에 상당하는 여비
  나. 그 밖의 위원회 위원 : 4급 공무원에 상당하는 여비
 단, 부산광역시 소속공무원인 위원이나 부산광역시의회 의원인 위원이 의원의 자격으로 참여하는 경우 지급하지 않음. 의원의 경우 회기가 아닌 경우 교통비, 식비를 실비 범위에서 지급 가능. 실비의 범위에서 지급하는 경우에는 반드시 증명자료를 받아서 첨부하여야 함</t>
  </si>
  <si>
    <t>부산광역시 소속 위원회 위원 수당 및 여비 지급에 관한 조례
 2026년도 예산편성계획</t>
  </si>
  <si>
    <t>제5조~제8조 및 별표
 44P</t>
  </si>
  <si>
    <t>제5조(수당) ① 위원회의 위원에게 지급하는 수당의 종류는 다음 각 호와 같고, 수당의 지급기준은 별표와 같다.
 1. 참석수당 : 위원회에 위원이 출석하여 심의·의결·자문 등을 하는 경우에 지급하는 수당
 2. 심사수당 : 서면심사 및 위원회의 위원장으로부터 의뢰를 받아 미리 자료를 수집하거나 회의 안건을 검토하여 위원회에 보고하는 경우에 지급하는 수당
 3. 그 밖에 운영에 필요한 수당
 ② 원거리에 거주하는 등 특별한 사유가 있는 경우 제1항제1호에 따른 참석수당 지급 시 교통비, 식비(급량비 기준 단가 적용), 숙박비를 실비의 범위에서 별도 지급할 수 있다.
 제6조(지급제외 등) 제5조에도 불구하고 다음 각 호의 어느 하나에 해당하는 경우에는 수당을 지급하지 아니한다.
 1. 부산광역시 소속 공무원인 위원이 위원회에 출석하거나 안건을 심사하는 경우
 2. 부산광역시의회의원인 위원이 의원의 자격으로 위원회에 출석하거나 안건을 심사하는 경우. 단, 부산광역시의회 회기가 아닌 경우에는 교통비 및 식비를 실비 범위에서 지급할 수 있다.
 제7조(여비) 부산광역시의회의원 또는 부산광역시 소속 공무원이 아닌 위원이 위원회의 의결 또는 위원장의 명에 따라 출장할 때에는 다음 각 호의 어느 하나에 해당하는 여비를 지급할 수 있다.
 1. 행정심판위원회·소청심사위원회·지방세심의위원회·공직자윤리위원회 및 인사위원회 위원 : 3급 공무원에 상당하는 여비
 2. 그 밖의 위원회 위원 : 4급 공무원에 상당하는 여비
 제8조(실비 등의 증명) 수당의 실비 및 그 밖에 운영에 필요한 수당을 지급하는 경우에는 이를 확인할 수 있는 증명자료를 위원으로부터 받아 첨부하여야 한다.
 4 운영수당(표) 내용 일체</t>
  </si>
  <si>
    <t>우리 부서에서 운영하는 심의회, 협의체 등도 부산광역시 소속 위원회 설치 및 운영에 관한 조례의 적용을 받는지 알려줘.</t>
  </si>
  <si>
    <t>부산광역시 소속 위원회 설치 및 운영에 관한 조례 제2조(정의) 및 제4조(적용대상)에 따라 조례를 적용받는 위원회는 다음과 같습니다.
 1. "위원회"란 위원회, 심의회, 협의회 등 명칭에 관계없이 시 소관 사무의 심의∙의결∙자문 등을 위해 복수의 구성원으로 이루어진 합의제 기관
 2. 법령이나 조례에 근거하여 시와 직속기관, 사업소에 설치 및 운영
 이 두가지를 만족하는 경우에는 부산광역시 소속 위원회 설치 및 운영에 관한 조례 및 부산광역시 소속 위원회 위원 수당 및 여비 지급에 관한 조례의 적용을 받습니다.</t>
  </si>
  <si>
    <t>부산광역시 소속 위원회 설치 및 운여에 관한 조례</t>
  </si>
  <si>
    <t>제2조, 제4조</t>
  </si>
  <si>
    <t>제2조(정의) 이 조례에서 사용하는 용어의 뜻은 다음과 같다.
 1. “위원회”란 위원회, 심의회, 협의회 등 명칭에 관계없이 부산광역시(이하 “시”라 한다) 소관 사무의 심의·의결·자문 등을 위해 복수의 구성원으로 이루어진 합의제 기관을 말한다.
 제4조(적용대상) 이 조례는 법령이나 조례에 근거하여 시와 직속기관 및 사업소에 설치 및 운영되는 위원회를 대상으로 한다.</t>
  </si>
  <si>
    <t>위원회의 위원을 모집할 떄 주의할 점을 알려줘.</t>
  </si>
  <si>
    <t>위원회의 위원은 당연직 위원과 위촉직 위원으로 나누어집니다. 당연직 위원이란 법령, 조례에 따라 해당 직위가 위원으로 지정된 위원을 말하며, 위촉직 위원이란 당연직 위원 외에 부산광역시장이 위촉하는 위원을 말합니다.
 또한 위촉직 위원을 모집하는 경우 아래사항을 주의해야합니다.
 1. 위촉직 위원은 3개 위원회를 초과하여 중복 참여할 수 없으며, 동일 위원회에서 6년을 초과하여 연임할 수는 없습니다. 위원 후보자의 위원회 참여 현황은 총괄부서(조직담당관)에 확인을 할 수 있습니다.
 2. 위촉직 위원에 대해서는 인원, 자격요건, 선전기준 등을 부산광역시보 및 시 홈페이지에 7일 이상 공고하고 공개모집의 방법으로 위촉하여야 합니다. 다만, 공개모집에 응모하는 사람이 없는경우, 위원회 특성 상 참여할 수 있는 사람이 한정되어 공개모집이 곤란한 경우, 비상설위원회의 경우, 그 밖의 공개모집이 불가능한 사유가 인정되는 경우에는 다른 방법(추천 등)으로 위촉을 할 수가 있습니다.
 3. 위촉직 위원을 구성할 시 특정 성별이 위원의 수의 100분의 60을 초과하지 않도록 구성하여야 하며, 청년 위촉 대상위원회 지정 현황에 따라 일정 비율 이상의 청년을 위원으로 위촉하여야 합니다.</t>
  </si>
  <si>
    <t>제2조, 제8조, 제10조</t>
  </si>
  <si>
    <t>제2조(정의) 이 조례에서 사용하는 용어의 뜻은 다음과 같다.
 2. “당연직 위원”이란 법령, 조례에 따라 해당 직위가 위원으로 지정된 위원을 말하며, “위촉직 위원”이란 당연직 위원 외에 부산광역시장(이하 “시장”이라 한다)이 위촉하는 위원을 말한다.
 제8조(위원회의 구성 등) ① 위원회는 설치목적을 효율적으로 달성하는데 필요한 전문성, 공익성, 윤리성을 갖춘 당연직 및 위촉직 위원으로 구성하되, 비상임으로 한다.
 ② 시장은 관계 법령 또는 조례에 특별한 규정이 없는 한 다음 각 호에 해당하는 사람 중에서 위원회의 목적 및 기능과 관련 있는 위원을 임명 또는 위촉한다.
 1. 부산광역시 소속 공무원
 2. 부산광역시의회가 추천하는 사람
 3. 위원회의 목적 및 기능과 관련 있는 비영리민간단체(부산광역시에 등록된 단체로 한정한다)가 추천하는 사람
 4. 위원회의 목적 및 기능에 관한 학식과 경험이 풍부한 사람
 5. 위원회의 목적 및 기능과 관련 있는 법인, 단체 및 연구기관에 소속된 사람
 6. 위원회 참여를 희망하는 부산시민
 ③ 공무원이 아닌 위촉직 위원에 대하여는 인원, 자격요건, 선정기준 등을 부산광역시보 및 시 홈페이지에 7일 이상 공고하고 공개모집의 방법으로 시장이 위촉한다. 다만, 시장은 다음 각 호의 어느 하나에 해당하는 경우에는 다른 방법으로 위촉할 수 있다.
 1. 공개모집에 응모하는 사람이 없거나 응모자 중 자격기준에 합당한 사람이 없는 경우
 2. 위원회 특성상 참여할 수 있는 사람이 한정되어 공개모집이 곤란한 경우
 3. 특정한 안건을 처리하기 위해 설치되는 위원회가 해당 안건을 처리한 후 해산되는 경우
 4. 그 밖에 공개모집이 불가능한 사유가 인정되는 경우
 ④ 시장은 필요하다고 판단되면 제3항에 따른 자격요건, 선정기준에 적합한 사람이 모집정원을 초과하는 경우 추첨을 통하여 선정할 수 있다. 다만, 제3항 단서가 적용되는 경우에는 예외로 한다.
 ⑤ 시장은 위촉직 위원을 구성할 경우 시민참여를 확대하여야 한다.
 ⑥ 시장은 위촉직 위원 구성 시 특정 성별이 위원 수의 100분의 60을 초과하지 아니하도록 하여야 한다. 다만, 해당 분야 특정 성별의 전문인력 부족 등 부득이한 사유가 있다고 인정되는 경우에는 예외로 한다.
 제10조(위원의 중복참여 제한 등) ① 위촉직 위원은 3개 위원회를 초과하여 중복 참여(위촉 해제 후 비위촉 기간이 1년이 경과하지 아니한 경우를 포함한다)할 수 없고, 동일 위원회에서 6년을 초과하여 연임할 수 없다. 다만, 다음 각 호의 어느 하나에 해당하는 경우에는 예외로 한다.
 1. 부산광역시의회의 추천을 받은 시의원을 위원으로 위촉하는 경우
 2. 특수 전문 분야로서 위원회에 참여할 수 있는 사람이 한정되어 있는 경우
 3. 특정한 안건을 처리한 후 해산되는 위원회의 경우
 ② 담당부서는 위원회 위원을 위촉할 경우 위원회 총괄부서와 미리 협의하여야 한다.
 ③ 위원은 해당 위원회의 자문, 심의, 의결의 내용과 관련된 용역을 수행해서는 아니된다.</t>
  </si>
  <si>
    <t>비상설위원회에 대해서 알려줘</t>
  </si>
  <si>
    <t>비상설위원회는 평소에는 위원이 존재하지 않지만, 안건일 발생할 경우 회의 개최시 마다 위원을 위촉하고 회의 종료 후에는 자동적으로 해촉이 되며, 다음과 같은 장점이 있습니다.
 1. 위원회 모집 방법 완화 : 일반적인 위원회의 경우 부산광역시 소속 위원회 조례에 따라 시보 및 시홈페이지에 7일 이상 공고를 하여 의무적으로 공개모집을 하여야 하지만 비상설 위원회는 예외 조항에 따라 공개모집을 거치지 않을 수 있습니다.
 2. 위원 위촉요건 완화 : 위촉직 위원은 부산광역시 소속 위원회 조례에 따라 3개를 초과하여 위원회의 위촉직 위원으로 참여할수 없고 동일 위원회에서 6년을 초과하여 연임할 수 없지만, 비상설 위원회의 경우 조례의 예외 조항에 따라 위 제한사항을 적용받지 않고 위촉이 가능합니다.
 다만, 비상설위원회는 조례에 비상설위원회로 명시를 한 경우에만 인정이 되며 조례에 명시없이 부서 자체적으로 비상설위원회로 운영할 수는 없습니다.
 기대답변 : (비상설 위원회 관련 내용이 별로 없어서 있는 자료로 답변 생성)
 비효율위원회(연3회미만 개최, 구성 및 운영 개선 필요 위원회 등) 중 존속필요 및 안건이 적을때 위원회를 비상설 위원회로 전환</t>
  </si>
  <si>
    <t>부산광역시 소속 위원회 설치 및 운영에 관한 조례 및 행정안전부 위원회 정비 지침</t>
  </si>
  <si>
    <t>제8조, 제10조, 지침 
 1, 2, 3, 4, 5</t>
  </si>
  <si>
    <t>조례 및 정비 지침 본문 내용 인용
 지침 2p 기본 방향 표 안 내용
 지침 5p ④ (비상설화) 안건 발생 빈도가 적은 경우, 비상설 위원회로 전환</t>
  </si>
  <si>
    <t>서면회의도 회의록을 작성해야하는지 알려줘.</t>
  </si>
  <si>
    <t>공공기록물 관리에 관한 법률 및 부산광역시 소속 위원회 설치 및 운영에 관한 조례에 따라 서면회의 경우에도 회의록을 작성하여야 합니다.
 회의록의 서식은 부산광역시 위원회 설치∙운영 지침 44~45p을 사용하여 추후 서면회의 결과보고에 첨부를 하면 됩니다.
 또한 서면회의 역시 대면회의와 마찬가지로 행정포털 - 행정업무 - 기획관리 - 행정위원회관리 - 위원회 운영관리 - 회의결과등록관리에서 회의결과와 회의록을 등록하여야 합니다.</t>
  </si>
  <si>
    <t>부산광역시 위원회 설치∙운영 지침</t>
  </si>
  <si>
    <t>25, 44, 45</t>
  </si>
  <si>
    <t>행정포털에서 위원회관리를 하는 방법을 알려줘.
 &gt;&gt; 참조 페이지가 너무 많음.
 해당 근거자료 파일 확인이 안되는데 실제 파일 있는지 확인 필요</t>
  </si>
  <si>
    <t>행정포털 위원회 메뉴를 사용하기 위해서는 먼저 정보화정책과에서 위원회 권한을 받아야 하며, 위원회 메뉴는 행정포털 - 행정업무 - 기획관리 - 행정위원회관리에서 확인하실 수 있습니다.
 1. 위원회설치관리
  가. 위원회등록관리 : 부서의 위원회 기본현황을 볼 수 있으며, 추가 버튼을 통해 새로운 위원회를 추가할 수 있습니다. 다만, 위원회의 관리범위 설정을 부서가 아닌 담당자로 할 경우에는 담당자 외에는 보이지 않습니다. 
  나. 전문가등록관리 : 당연직 및 위촉직 위원의 정보를 확인할 수 있습니 다. 새로운 위원을 모집하였을 경우에 해당메뉴에서 최초로 등록을 하여야 하며, 이미 등록이 되어있을 경우에는 등록을 하지 않으셔도 됩니다.
  다. 위원위촉관리 : 기존 등록된 위원회와 전문가를 매칭함으로써 해당위원회의 위원으로 등록을 할 수 있습니다. 위원회나 전문가가 검색이 되지 않는 경우에는 위원회등록관리 메뉴와 전문가등록관리 메뉴에서 새롭게 추가를 하셔야합니다.
 라. 위원활동현황 : 부서에서 위촉한 위원의 현황을 확인할 수 있습니다.
 2. 위원회현황관리
  가. 예산편성관리 : 연도별 위원회의 예산편성액과 집행액, 예산잔액을 입력 및 확인하실 수 있습니다.
  나. 정비실적관리 : 위원회의 정비실적을 입력 및 확인할 수 있습니다.
  다. 회의결과등록관리 : 위원회 개최 후 회의결과 및 회의록을 등록하실 수 있으며, 등록한 회의록은 별도 절차없이 시 홈페이지와 연동되어 외부에 공개가 됩니다. 비공개를 해야할 회의록은 회의록 등록시 비공개란을 체크하시고 등록을 하면 됩니다.</t>
  </si>
  <si>
    <t>시도 행정포털 행정위원회 사용자메뉴얼</t>
  </si>
  <si>
    <t>1p~61p</t>
  </si>
  <si>
    <t>시청사 내 AED(자동 심장충격기) 위치를 알려줘.</t>
  </si>
  <si>
    <t>부산시청 종합안내에 따르면 아래 5곳에 AED(자동 심장충격기)가 있습니다.
 26층 체력단련실 앞
 6층 6층 쉼터 옆
 3층 국민은행 앞
 2층 민원실옆 계단입구
 1층 고층용E/V앞</t>
  </si>
  <si>
    <t>2505_총무과_주요질문사항_시청사 층별 안내</t>
  </si>
  <si>
    <t>페이지 내용에 안내된 내용</t>
  </si>
  <si>
    <t>수영구에 공공심야약국 정보를 안내해줘</t>
  </si>
  <si>
    <t>수영구 공공심야약국은 세종약국 한곳 있습니다. 
 약국 정보는 아래와 같습니다.
 세종약국 
 소재지: 수영구 광안해변로277번길3 ※민락회센터 도로 건너 
 연락처: 051)758-4915 
 운영시간: 22시~25시
 링크 제공만 해야할거 같습니다
 기대답변 :
 부산광역시 약국운영시간, 공공심야약국 현황에 관련된 내용은 아래의 링크에서 확인 가능합니다.
 링크 : https://www.busan.go.kr/depart/ahpharmacy</t>
  </si>
  <si>
    <t>부산광역시 홈페이지-보건·건강-보건보건소/병원/약국-약국안내</t>
  </si>
  <si>
    <r>
      <rPr>
        <rFont val="&quot;맑은 고딕&quot;"/>
        <color rgb="FF1155CC"/>
        <sz val="11.0"/>
        <u/>
      </rPr>
      <t>https://www.busan.go.kr/depart/ahpharmacy</t>
    </r>
  </si>
  <si>
    <t>부산시 대표 영문 뉴스레터 구독 주소를 알려줘</t>
  </si>
  <si>
    <t>부산시 대표 영문홈페이지 구독신청 주소는 아래와 같습니다.
 https://www.busan.go.kr/eng/e-newsletter 
 신청폼에서 이메일주소(필수)와 이름을 입력하면 됩니다.
 매월 15일 신청한 이메일로 시정뉴스, 행사정보를 e-Newsletter로 발송합니다. 
 일본어, 중국어간체, 중국어번체 뉴스레터도 아래 주소에서 신청이 가능합니다.
 일본어 https://www.busan.go.kr/jpn/e-newsletter
 중국어간체 https://www.busan.go.kr/zhs/e-newsletter
 중국어번체 https://www.busan.go.kr/zht/e-newsletter</t>
  </si>
  <si>
    <t>부산시 대표 영문, 일본어, 중국어간체, 중국어번체 홈페이지</t>
  </si>
  <si>
    <r>
      <rPr>
        <rFont val="&quot;맑은 고딕&quot;"/>
        <color rgb="FF1155CC"/>
        <sz val="11.0"/>
        <u/>
      </rPr>
      <t xml:space="preserve">영어 https://www.busan.go.kr/eng/e-newsletter </t>
    </r>
    <r>
      <rPr>
        <rFont val="&quot;맑은 고딕&quot;"/>
        <sz val="11.0"/>
      </rPr>
      <t xml:space="preserve">
 일본어 https://www.busan.go.kr/jpn/e-newsletter
 중국어간체 https://www.busan.go.kr/zhs/e-newsletter
 중국어번체 https://www.busan.go.kr/zht/e-newsletter</t>
    </r>
  </si>
  <si>
    <t>부산시정 홍보 사진을 이용하고 싶은데 부산시에서 제공하는 사진 갤러리가 있으면 찾아줘</t>
  </si>
  <si>
    <t>부산시홈페이지 시정홍보 사진 메뉴에서 시정홍보 사진을 제공하고 있습니다. 
 https://www.busan.go.kr/promophoto
 사진별로 게시된 공공누리 조건에 따라 사용하시면 됩니다.</t>
  </si>
  <si>
    <t>부산시홈페이지 -부산소식-시정사진-시정홍보 사진</t>
  </si>
  <si>
    <r>
      <rPr>
        <rFont val="&quot;맑은 고딕&quot;"/>
        <color rgb="FF1155CC"/>
        <sz val="11.0"/>
        <u/>
      </rPr>
      <t>https://www.busan.go.kr/promophoto</t>
    </r>
  </si>
  <si>
    <t>부산에 '들락날락'이 뭐하는 곳인가요?</t>
  </si>
  <si>
    <t>들락날락은 부산 어린이복합문화공간이며 15분 생활권 내 아동친화적 도서관, 실감형 체험, 미디어아트 전시등 아날로그와 디지털 콘텐츠를 융합한 새로운 개념의 놀이형 학습공간입니다.
 부산 어린이복합문화공간 들락날락 홈페이지(https://www.busan.go.kr/bschild/index.nm)에서 자세한 정보를 확인할 수 있습니다.</t>
  </si>
  <si>
    <t>부산 어린이복합문화공간 들락날락 홈페이지</t>
  </si>
  <si>
    <r>
      <rPr>
        <rFont val="&quot;맑은 고딕&quot;"/>
        <color rgb="FF1155CC"/>
        <sz val="11.0"/>
        <u/>
      </rPr>
      <t>https://www.busan.go.kr/bschild/index.nm?menuCd=1</t>
    </r>
  </si>
  <si>
    <t>11살 어린이는 부산에서 대중교통 이용요금이 무료인지 확인해주세요.</t>
  </si>
  <si>
    <t>네 부산에서 11살 어린이 대중교통 요금은 무료입니다. 
 부산에선 0-5세 어린이 대중교통요금 무료에서 전국 최초로 6세에서 12세 어린아까지 대중교통 요금 무료로 확대 시행하고 있습니다.
 사업내용은 아래와 같습니다.
 (시 행 일) ’23.10.6.(금) 4:00 ~
 (지원대상) 만6세~만12세 어린이(외국인 포함)
 (사업내용) 만6세~만12세 어린이의 부산 대중교통 무료이용 지원
 (지원방법) 교통카드 이용시 0원 처리 *현금 이용시 요금 지불
 (이용방법) 교통카드 구매 후 생년월일 등록 ▻ 편의점 or 앱 (이즐충전소)에서 등록
 (이용수단) 부산 등록 시내·마을버스, 도시철도(2000번 버스, 동해선 제외)
 *어린이 교통카드 이용시 적용, 현금 승차시 무료대상이 아님
 *동해선, 2000번 시외구간은 무료화 제외 입니다.</t>
  </si>
  <si>
    <t>부산시홈페이지&gt; 교통·물류- 부산교통-교통 지원사업-어린이 대중교통 요금 무료화</t>
  </si>
  <si>
    <r>
      <rPr>
        <rFont val="&quot;맑은 고딕&quot;"/>
        <color rgb="FF1155CC"/>
        <sz val="11.0"/>
        <u/>
      </rPr>
      <t>https://www.busan.go.kr/depart/childtransport</t>
    </r>
  </si>
  <si>
    <t>개명을 했는데요. 부산시홈페이지에서 회원 개명처리는 어떻게 하나요?</t>
  </si>
  <si>
    <t>개명신청
 개명하신 경우 회원가입을 새로 하실 필요는 없으며, 다음 단계별 처리가 필요합니다.
 본인인증 기관으로부터 개명된 이름을 확인받아 개명처리를 하고 있으므로
 먼저 본인인증 기관의 개명처리를 해야 합니다.
 (1단계) : 휴대폰 또는 아이핀 개명처리
  - 휴대폰(본인명의 휴대폰) 인증을 선택 시
  휴대폰 통신사(SKT, LG U+, KT)에 연락(☎114)하여 개명 관련 서류제출하여 휴대폰 개명처리
  - 아이핀 인증을 선택 시
  발급기관(나이스신용평가정보 ☎1600-1522, 서울신용평가정보 ☎1577-1006,
  코리아크레딧뷰로 ☎02-708-1000)에 연락하여 신분증(주민등록증,운전면허증, 외국인등록증) 확인 후 개명처리
 * 이미 바뀐 이름으로 되어 있는 경우 1단계 불필요
 (2단계) : 홈페이지 개명처리
 ① 홈페이지(www.busan.go.kr) - 로그인 - 마이페이지 – 개명처리 클릭 [바로가기]
  (PC) 왼쪽 하단 "개명처리" 클릭 
  (모바일) 마이페이지 오른쪽 "아래화살표" 클릭 &gt; 회원정보 클릭 &gt; 개명처리 클릭 
 ② 휴대폰 인증하기 또는 아이핀 인증하기를 클릭
 ③ 인증 완료 후 개명처리가 완료됨
  ※ 만약 1단계에서 개명신청이 되지 않았다면 오류가 발생하므로, 반드시 1단계 수행 후 2단계 인증을 해야 합니다 
  ※ 개명처리 시 이름만 변경하는 것이므로 기존에 적립하신 마일리지 등은 보존됩니다.</t>
  </si>
  <si>
    <t>부산시홈페이지&gt; 이용안내 &gt;자주묻는 질문·답변</t>
  </si>
  <si>
    <r>
      <rPr>
        <rFont val="&quot;맑은 고딕&quot;"/>
        <color rgb="FF1155CC"/>
        <sz val="11.0"/>
        <u/>
      </rPr>
      <t>https://www.busan.go.kr/opgfaq</t>
    </r>
  </si>
  <si>
    <t>감사결과 처분의 종류와 의미를 알려줘</t>
  </si>
  <si>
    <t>자체감사에서 적용되는 감사결과 처분요구는 총칭하여 '처분요구 등'이라 하며, 여기에는 변상명령, 징계(문책)요구, 시정요구, 주의요구(경고·훈계), 개선요구, 권고, 통보, 고발 등이 있습니다
 - 변상명령: 「회계관계직원 등의 책임에 관한 법률」에 따라, 회계관계직원 등이 고의나 중대한 과실로 의무를 위반하여 국가·지자체·공공기관에 손해를 끼친 경우 그 손해액을 변상하도록 명령하는 것입니다. 감사원만이 변상판정을 할 수 있으며, 자체감사기구는 변상명령을 할 수 있습니다.
 - 징계(문책) 요구: 「지방(국가)공무원법」 및 그 밖의 관계 법령에 규정된 의무를 위반하여 징계 또는 문책 사유에 해당하는 경우, 징계 처분을 하도록 요구하는 것입니다. 공무원에게는 '징계'를, 공공기관 임직원 등에게는 '문책'이라는 용어를 사용합니다.
 - 시정요구: 업무와 관련된 규정을 잘못 적용하거나 적시에 적용하지 않아 법률상·사실상 시정이 가능하고, 요구를 받는 자가 조치할 권한이 있는 경우에 합니다. 위법·부당한 사항에 대해 그 내용을 바로잡아 재발을 방지하도록 하는 데 목적이 있습니다.
 - 주의요구 (경고·훈계): 위법 또는 부당하다고 인정되는 사실이 있으나, 그 정도가 징계 또는 문책 사유에 이르지 않을 정도로 경미하거나, 감사대상기관 또는 부서에 대한 제재가 필요할 때 주의 각성을 촉구하기 위해 내립니다. 위법성 또는 부당성의 경중에 따라 훈계, 경고 등으로 세분화될 수 있습니다.
 - 개선요구: 감사 결과 법령상, 제도상 또는 행정상 모순이 있거나 그 밖에 개선할 사항이 있다고 인정되는 경우, 관계 규정의 신설·폐지·개정 등을 요구하는 것입니다. 이는 '위법 부당한 사항'이 아닌 '불합리한 사항'에 대한 처분요구입니다.
 - 권고:감사 결과 나타난 문제점에 대하여 징계·시정·개선을 요구하기에 부적절하거나, 감사대상기관으로 하여금 자율적으로 처리하도록 할 필요가 있는 경우에 개선 방안을 마련하도록 대안을 제시하는 것입니다.
 - 통보: 감사 결과 비위 사실이나 위법 또는 부당하다고 인정되는 사실이 있으나 다른 처분요구를 하기에 부적합하여 각 기관 또는 부서가 자율적으로 처리할 필요가 있다고 인정되는 경우에 활용됩니다. 일반적 통보, 시정완료 통보, 인사자료 통보, 비위 통보, 모범사례 통보 등이 있습니다.
 - 고발·수사요청: 감사 결과 인지한 사항이 「형법」 기타 개별 법률의 범죄 구성요건에 해당되는지 여부를 검토하여 범죄혐의사실이 확실하다고 인정되는 사항에 대해 수사기관에 조치를 요구하는 것입니다.</t>
  </si>
  <si>
    <t>2023년 부산광역시 감사업무편람</t>
  </si>
  <si>
    <t>99
 100, 101, 102, 103, 104, 105, 106, 107, 108, 109, 110, 111, 112</t>
  </si>
  <si>
    <t>본문 내용 그대로 인용
 본문 내용이 너무 많으면 99페이지
 8. 감사결과 처분의 종류 &lt;&lt; 이것만 활용 해서 기대답변 생성
 감사실시 결과 수감기관 또는 업무담당자들의 업무처리 등이 위법 또는 부당하다고 인정되거나 불합리한
 사실이 있을 때에 그에 대한 적정한 처분 또는 조치를 하게 되는데 「감사원법」 제31조 내지 제35조과 「공
 공감사에 관한 법률」 제23조에서는 이러한 감사결과 처분의 종류와 방법 등을 규정하고 있다.
 자체감사에서 적용되는 처분요구 종류는 「공공감사에 관한 법률」에 따라 ‘변상명령’, ‘징계(문책)요구’, ‘시
 정요구’, ‘주의요구(경고·훈계)’, ‘개선요구’, ‘권고’, ‘통보3)’, ‘고발’ 등이 있으며, 이를 통칭하여 ‘처분요구 등’
 이라 한다.
 ‘처분요구’에는 처분의 종류를 나타내는 명칭에 ‘요구’라는 말이 들어가는 것을 이르는데 이에는 징계요구,
 시정요구, 주의요구, 개선요구를 의미하며, ‘등’에 해당하는 처분 또는 조치는 변상명령과 권고, 통보, 고발
 이다.
 이하 감사결과 처분의 세부내용을 살펴보면 다음과 같다.</t>
  </si>
  <si>
    <t>김지훈(1669)</t>
  </si>
  <si>
    <t>공무원 징계의 종류 및 효력에 대해 알려줘
 &gt;&gt; 표 처리 가능한지 여부 확인 필요</t>
  </si>
  <si>
    <t>징계는 공무원 관계의 질서를 유지하고 기강을 바로잡아 공무원으로서의 의무를 다하게 하기 위하여 국가 또는 지방자치단체가 사용자의 지위에서 과하는 행정상 제재를 의미합니다
 1. 징계의 종류
 「지방공무원법」 또는 관계 법령의 적용을 받는 공무원에게는 **징계(懲戒)**라는 용어를 사용하며, 「국가공무원법」이나 「지방공무원법」의 적용을 받지 않는 공공기관 임직원 등에게는 **문책(問責)**이라는 용어를 사용합니다.
 징계는 비위의 정도 및 과실 여부에 따라 중징계와 경징계로 구분되며, 구체적인 징계의 종류와 효력은 다음과 같습니다.
 징계 종류별 세부 내용
 • 파면 및 해임: 공무원 신분 관계를 박탈하는 처분입니다.
 • 강등: 3개월간 직무에 종사하지 못하며, 계급이 1계급 아래로 내려갑니다.
 • 정직: 1개월 이상 3개월 이하의 기간 동안 직무에 종사하지 못하는 처분입니다.
 • 감봉: 1개월 이상 3개월 이하의 기간 동안 보수(봉급)의 3분의 1이 감액되는 처분입니다.
 • 견책: 잘못을 뉘우치게 하고 앞으로 재발하지 않도록 하는 처분으로, 처분일이 징계 기간이 됩니다.
 2. 징계의 효력 및 주요 불이익
 징계 처분은 공무원에게 신분상, 재정상, 인사상 광범위한 불이익을 초래합니다.
 가. 인사 및 신분상의 불이익
 (1). 승진 임용 제한
  ◦ 징계 처분을 받으면 「지방공무원 임용령」에 따라 일정 기간 승진 임용이 제한됩니다. 파면은 5년, 해임은 3년의 제한 기간이 적용됩니다.
  ◦ 징계처분을 받고 그 집행이 끝난 날부터 승진 제한 기간이 계산되며, 이 기간 중에 다시 징계처분을 받으면 직전 처분의 제한 기간이 끝난 날부터 새로운 제한 기간을 합산하여 계산합니다.
 (2). 호봉 승급 제한
  ◦ 징계 처분 기간은 호봉 승급 기간에 산입되지 않아 승급이 제한됩니다.
 (3). 퇴직 후 임용 제한
  ◦ 파면 처분을 받은 경우 5년간, 해임 처분을 받은 경우 3년간 공무원 임용이 제한됩니다.
 (4). 징계의결의 구속력
  ◦ 징계 처분권자(임용권자)는 인사위원회의 징계의결 결과에 기속되어 징계 의결된 양정을 임의로 변경할 수 없습니다.
 나. 재정상의 불이익 (징계부가금)
 • 징계부가금 부과: 공금 횡령·유용, 금품 및 향응 수수 등 특정 비위로 징계를 받는 경우, 징계 외에 공금 횡령액의 5배 내의 징계부가금을 추가로 부과할 수 있습니다.
  ◦ 징계부가금 납부고지서를 받은 날부터 60일 이내에 납부하지 않으면 지방세 체납처분의 예에 따라 징수될 수 있습니다.
 다. 기록 관리 및 말소
 (1). 징계 기록 말소 제도
  ◦ 징계 처분 기록은 공무원의 긍지 회복과 사기 진작을 위해 일정 기간 성실히 근무한 경우 말소될 수 있습니다.
  ◦ 각 징계 종류별로 정해진 기간 동안 더 이상의 징계 또는 직위해제 처분을 받지 않으면 기록이 말소됩니다. (예: 정직 7년, 감봉 5년, 견책 3년).
  ◦ 기록이 말소된 이후에는 근무성적평정, 승진 임용 심의, 전보 등에서 해당 기록을 이유로 불리한 대우를 할 수 없습니다.
 (2). 불문 경고의 효력
  ◦ 불문경고는 법률상의 징계 처분은 아니지만, 징계 감경 사유로 사용될 수 있는 표창 공적의 사용 가능성을 소멸시키는 효과가 있으며, 1년 동안 인사기록카드에 등재되어 장관 표창이나 도지사 표창 대상자에서 제외되는 효과가 있어 항고소송의 대상이 되는 행정처분에 해당합니다.
 라. 직위해제 및 형사벌과의 관계
 (1). 직위해제와의 구별
  ◦ 직위해제는 징벌적 제재인 징계와는 성질을 달리하는 처분이지만, 직무에 종사하지 못하게 하고 승급이나 보수 등에서 불이익한 처우를 받게 되므로 인사상 불이익한 처분에 해당합니다.
 (2). 형사처벌과의 병과
  ◦ 동일한 비위 행위에 대해 징계벌과 형사벌은 그 목적과 권력의 기초가 다르므로, 두 처벌을 병과하더라도 일사부재리(一事不再理) 원칙에 저촉되지 않습니다.
  ◦ 공무원이 형사사건에서 벌금 이하의 형을 받거나 무죄 판결을 받았다 하더라도, 그 비위 행위가 징계 사유에 해당하는 한 별도로 징계 절차를 진행할 수 있으며 징계 사유의 인정에는 영향이 없습니다
  ◦ 만약 감봉 처분 기간 중에 다시 감봉 처분을 받은 경우, 중복된 기간 동안은 이미 감액된 봉급을 기준으로 다시 3분의 1을 감액하여 지급합니다.</t>
  </si>
  <si>
    <t>101, 128, 129</t>
  </si>
  <si>
    <t>본문 내용 그대로 인용
 본문 표 내용 그대로 인용</t>
  </si>
  <si>
    <t>감사 보고서나 처리안 등 문서 작성을 위해 알아야하는 기본 원칙 및 요건에 대해 알려줘
 &gt;&gt; 보안 PDF라 벡터DB 변환 가능한지 여부 확인 필요</t>
  </si>
  <si>
    <t>&lt;감사문장 작성의 기본 원칙 및 요건&gt;
 1. 바른 글: 어휘의 선택과 문장의 서술이 글쓰기의 기본 바탕을 갖추어야 합니다.
 2. 쉬운 글: 이해관계인이나 일반 국민이 이해할 수 있도록 쉽게 써야 합니다.
 3. 명확성: 내용에 모호함이 없도록 구체적으로 분명하게 서술해야 합니다.
 또한, 감사문장을 작성할 때 유념해야 할 주요 지침은 다음과 같습니다:
 • 용어 사용: 일상생활에서 잘 쓰이지 않는 어려운 한자말은 쉬운 말로 순화해서 써야 하며, 외래어는 가능한 한 쓰지 않아야 합니다. 다만, 학술용어, 전문용어 등 적절한 우리말 용어가 없는 경우는 그대로 씁니다.
 • 표현 방식: 일본말 투를 비롯한 외국어 번역 투의 표현은 우리말답게 바꾸어 써야 합니다.
 • 문장 구조: 길고 복잡한 문장은 내용별로 문단을 나누고, 각 문단은 여러 개의 짧은 문장으로 써야 합니다.
 • 객관성: 감사문장은 주관적인 표현을 삼가고 객관적으로 표현해야 하며, 문장의 표현은 뜻이 분명한 용어를 사용하여 구체적으로 표현해야 합니다.
 &lt;처분요구별 감사문장 구성 원칙&gt;
 감사문장은 일반적으로 전제사실, 정당론, 비난사실, 결론으로 구분되어 작성됩니다.
 • 전제사실: 비난사실에 대한 전제와 기초사실로 구성됩니다. 기초사실은 처분요구 등의 대상이 되는 업무와 관련된 이해관계인의 행위로서 필요한 경우 전제와 함께 서술하거나 비난사실의 앞부분에 함께 서술할 수 있습니다.
 • 정당론: 관계 법령, 업무 처리의 기준, 정당한 업무 처리 절차와 근거 등을 명시합니다. 다만, 금품수수, 횡령·유용, 문서 허위작성 등과 같이 위법·부당 행위임이 명백한 경우에는 생략할 수 있습니다.
 • 비난사실: 위법·부당하게 처리한 행위와 그 원인, 이유와 결과를 서술합니다.
 • 결론: 지적내용이 위법·부당하다는 결론을 내리고, 대안, 즉 시정 등의 방향을 제시합니다.
 &lt;감사문서 작성 시 개인정보 기재 기준&gt;
 처리안을 작성할 때 생년월일, 주민등록번호 등 개인정보는 관련자 특정을 위해 필요한 경우에 한정하여 최소한으로 기재해야 합니다
 - 고발, 수사요청사항: 주민등록번호 기재
 - 판정, 징계 및 문책요구, 통보(인사자료), 통보(비위): 소속, 직급, 성명, 생년월일만 기재(주민등록번호 기재 X)
 - 시정요구, 주의요구: 소속, 직급, 성명만 기재(생년월일, 주민등록번호 기재 X)</t>
  </si>
  <si>
    <t>2022 감사원 감사문장 바로쓰기 편람</t>
  </si>
  <si>
    <t>2007, 8, 9</t>
  </si>
  <si>
    <t>본문 내용 그대로 인용
 본문 내용 그대로 인용</t>
  </si>
  <si>
    <t>감사 결과에 대한 후속 조치 기한에 대해 알려줘
 &gt;&gt; 보안 PDF라 벡터DB 변환 가능한지 여부 확인 필요</t>
  </si>
  <si>
    <t>• 징계(문책)요구사항: 1개월 안에 징계의결을 요구하고, 그 의결 결과를 의결이 있었던 날로부터 15일 안에 감사원에 회보해야 합니다. 다만, 파면 요구사항은 10일 안에 징계의결을 요구해야 합니다.
 • 시정요구사항: 2개월 안에 처리하고 그 결과를 바로 회보해야 합니다.
 • 개선요구, 권고·통보사항 (인사자료 포함): 2개월 안에 집행이 가능한 사항은 그 기간 내에 적정한 조치를 하고 그 결과를 바로 회보해야 합니다. 집행에 2개월 이상이 소요되는 사항은 2개월 안에 추진일정·계획 등이 포함된 집행계획을 우선 회보한 후 집행계획에 따라 조치한 결과를 바로 회보해야 합니다</t>
  </si>
  <si>
    <t>62, 63</t>
  </si>
  <si>
    <t>부산시에서 실시한 감사 결과에 대해 알려 줘</t>
  </si>
  <si>
    <t>홈페이지 감사실시 결과란 참조 (https://www.busan.go.kr/gbinspec02) 
 - 2008년 이후 감사결과보고서 수록</t>
  </si>
  <si>
    <r>
      <rPr>
        <rFont val="&quot;맑은 고딕&quot;"/>
        <color rgb="FF1155CC"/>
        <sz val="11.0"/>
        <u/>
      </rPr>
      <t>https://www.busan.go.kr/gbinspec02</t>
    </r>
  </si>
  <si>
    <t>링크 내 각 감사건별 결과보고서(PDF) DB 추출</t>
  </si>
  <si>
    <t>부산시 재산등록 대상자의 범위를 알려줘</t>
  </si>
  <si>
    <t>부산시 재산등록 대상자는 
 공직자윤리법 제3조에 따라
 1) 4급 이상의 지방공무원, 4급 이상에 상당하는 별정직공무원(고위공무원단에 속하는 별정직 공무원 포함)
 2) 연구관･지도관, 4급 이상의 일반직공무원에 상당하는 지방전문경력관 ｢전문직공무원 인사규정｣ 제3조에 따른 수석전문관
 3) ｢공공기관의 운영에 관한 법률｣에 따른 공기업의 장･부기관장, 상임이사 및 상임감사
 4) 공직유관단체의 임원
 5) ｢한국토지주택공사법｣에 따른 한국토지주택공사 등 부동산 관련 업무나 정보를 
 취급하는 대통령령으로 정하는 공직유관단체의 직원
 6) 그밖의 대통령령으로 정하는 특정분야의 공무원과 공직윤관단체의 직원
 이 대상이 됨</t>
  </si>
  <si>
    <t>공직윤리업무편람</t>
  </si>
  <si>
    <t>20, 21, 22, 23, 24</t>
  </si>
  <si>
    <t>우금향(1211)</t>
  </si>
  <si>
    <t>정보제공동의서를 제출하는 이유와 제출 시기를 알려줘</t>
  </si>
  <si>
    <t>1) 정보제공동의서를 제출하는 이유는 등록의무자와 그 이해관계자의 재산신고를 편리하게 하기 위해 금융거래 및 부동산 정보 등을 명의인의 동의를 받아 공직자윤리위원회에 제출하면 재산신고 개시 전 동의한 정보를 제공해 함으로써 개별적으로 재산을 확인해야하는 절차를 줄여줌
 2) 정보제공동의서 제출 시기는 
  ① 정기변동신고 대상자는 개시일 1개월 전까지(매년 11월 말)
  ② 수시신고 의무자는 등록의무 또는 신고의무가 발생한 날이 속하는 달의 다음달 15일까지(단, 등록의무 또는 신고의무가 매우러 1일에 발생한 경우는 그달의 15일까지)</t>
  </si>
  <si>
    <t>70</t>
  </si>
  <si>
    <t>부모 및 자녀의 고지거부 신청 기간 을 알려줘</t>
  </si>
  <si>
    <t>1) 고지거부 신청 대상은 등록의무자의 부양을 받지 아니하는 직계존비속 중 자기 재산의 고지를 거부하려는 사람(기존 고지거부 허가 효력이 상실된 경우 포함)이 대상이 되며
 2)신청기간은
  ① 최초 재산등록신고자 : 등록의무자가 된 날부터 1개월 이내(재산등록 의무자 포함)
  ② 정기 재산변동신고자 : 신고기간 개시일부터 1개월 이내(매년 1월 31까지) 
  ③ 신고유예 사유 소멸자 : 그 유예사유가 소멸된 날부터 1개월 이내
  ④ 승진, 전보 등으로 공개대상자가 된 신고자 : 공개대상자가 된 날부터 1개월 이내
  ⑤ 퇴직자 : 퇴직일로부터 1개월 이내
  ⑥ 의무면제자 : 전보 등이 된 날부터 1개월 이내
 2) 고지거부 재삼사 신청은
  ① 신청대상 : 등록의무자의 부양을 받지 아니한 직계존비속 중 이전 고지거부 허가를 받은 지 3년째 되는 자로서 계속해서 자기재산 고지를 거부하려는 사람
  ② 신청기간 : 고지거부 허가 받은 지 3년째 되는 정기변동신고기간(1월~3월)</t>
  </si>
  <si>
    <t>60</t>
  </si>
  <si>
    <t>주식백지신탁 제도 안내와 의무대상을 알려줘</t>
  </si>
  <si>
    <t>1) 주식백지신탁 제도는 재산공개대상자 등은 본인 및 그 이해관계자가(배우자 등)가 보유한 주식이 3천만원을 초과할 경우에는 2개월 이내 주식을 매각하거나 주식백지신탁 하고 그 행위를 한 사실을 등록기관에 신고해야하는 제도이며, 보유주식이 담당 직무와 관련성이 없다고 생각되어 매각 도는 백지신탁 의무를 면제받고자 하는 자는 기준일로부터 2개월 이내에 주식백지신탁 심사위원회에 직무관련성 심사를 청구하여야 함.
 2) 주식백지신탁 대상자는 재산공개대상자로 부산시의 경우 1급이상 공무원 및 (2025년 기준)10개의 공직유관단체 기관장이 해당됨</t>
  </si>
  <si>
    <t>220</t>
  </si>
  <si>
    <t>건물 분양권 및 상가, 오피스텔을 보유하고 있을 경우 가액산정 방법을 알려줘</t>
  </si>
  <si>
    <t>⚫ (가액산정방법) 신규 취득한 부동산과 종전에 신고한 부동산을 구분하여 신고
 - 신규 취득한 부동산 : 반드시 실거래가격*(실제매입･매도한 금액)으로 신고하되, 상속 등으로
 실거래가격을 알 수 없는 경우에는 ’24년도 공시지가, 공시가격 등 평가액으로신고(부동산
 공시가격 알리미 활용)하고 ‘변동사유’란에 해당내용 기재
 * 각종 포털 및 시장에서 형성된 시세가 아닌, 실제로 취득한 가격 또는 보상액을 의미
 - 기존 신고한 부동산 : ① 종전신고 시 실거래가격으로 신고한 부동산은 실거래가격과
 평가액(공시지가, 공시가격 등) 중 높은 금액으로 신고, ② 종전신고 시 평가액으로 신고한
 부동산은 ’24년도 평가액으로 신고
 - 공동소유 부동산 : 소유 지분만큼만 신고</t>
  </si>
  <si>
    <t>정기 재산변동신고 안내서</t>
  </si>
  <si>
    <t>21, 22</t>
  </si>
  <si>
    <t>퇴직 후 재취업 예정인데 취업심사대상기관은 어떻게 확인해야 하는지 알려줘</t>
  </si>
  <si>
    <t>퇴직 후 재취업 시 취업심사대상기관 여부를 확인하려면 다음과 같은 기준을 참고해야 합니다.
 기대답변 : 
 영리사기업체: 자본금이 10억원 이상이고 연간 외형거래액이 100억원 이상인 영리 목적 사기업체.
 협회: 영리사기업체의 공동이익과 상호협력을 위해 설립된 법인·단체, 또는 기타 사유로 설립된 비영리 법인·단체.
 법무법인 등: 연간 외형거래액이 100억원 이상인 법무법인, 법무법인(유한), 법무조합, 법률사무소.
 회계법인: 연간 외형거래액이 100억원 이상인 회계법인.
 세무법인: 연간 외형거래액이 50억원 이상인 세무법인.
 외국법자문법률사무소 및 합작법무법인: 연간 외형거래액이 100억원 이상인 외국법자문법률사무소 및 합작법무법인.
 시장형 공기업: 공공기관의 운영에 관한 법률에 따른 시장형 공기업.
 안전 감독 업무, 인·허가 규제 업무 또는 조달 업무 등을 수행하는 공직유관단체: 국민의 생명 또는 신체와 관련된 위험을 예방·감소시키는 안전관리·지도·단속 업무, 법령에서 정한 인가·허가·면허·특허·승인 등의 업무, 법령에서 정한 조달 업무 등을 수행하는 단체.
 사립학교와 그 설립학교법인: 초·중등교육법 및 고등교육법에 따른 사립학교 및 학교법인.
 종합병원과 그 설립법인: 의료법에 따른 종합병원 및 이를 개설한 의료법인 또는 비영리법인.
 사회복지법인 등: 기본재산이 100억원 이상인 사회복지법인 또는 사회복지시설을 운영하는 비영리법인.
 방산·식품·의약품 등 특정분야: 방위사업법에 따른 방산업체, 식품안전기본법에 따른 식품 등 및 식품·의약품 등과 관련하여 인증·검사·시험·평가·지정 등의 업무를 수행하는 사기업체 또는 법인·단체.
 이러한 취업심사대상기관은 인사혁신처 고시 등을 통해 확인할 수 있습니다.</t>
  </si>
  <si>
    <t>170, 171, 172, 173</t>
  </si>
  <si>
    <t>사전 컨설팅감사는 누가 신청할 수 있는지, 그리고 사전 컨설팅감사는 무슨 효과를 갖고 있는 지 알려줘</t>
  </si>
  <si>
    <t>사전 컨설팅감사는 부산시 본청, 직속기관, 사업소, 16개 구.군, 공사.공단, 출자출연기관이 신청할 수 있으며, 부산시장 또는 구청장.군수에게 인허가 등을 신청한 민원인이 신청할 수 있음.
 감사위원장은 신청기관의 장이 사전 컨설팅감사 의견대로 업무를 처리한 경우에는 그 사안에 대하여 감사를 면제할 수 있음.</t>
  </si>
  <si>
    <t>부산광역시 사전 컨설팅감사 운영 조례 제3조 및 제6조, 제11조</t>
  </si>
  <si>
    <t>사전 컨설팅감사의 신청대상은 어떤 것이 있는지 알려줘</t>
  </si>
  <si>
    <t>1) 인·허가등 규제 관련 능동적 업무 처리 곤란시
 2) 관련 법령등이 불명확하여 적용이 어려울 시
 3) 업무추진시 절차 위반 등 논란 소지 예상시
 4) 환경 및 여건 변화로 예산낭비 등이 예상시
 5) 그 밖에 적극행정을 위해 필요할 시</t>
  </si>
  <si>
    <t>부산광역시 사전 컨설팅감사 운영 조례 제4조 제1항</t>
  </si>
  <si>
    <t>정성수(1212)</t>
  </si>
  <si>
    <t>사전 컨설팅감사 대상에서 제외되는 경우는 어떤 것이 있는지 알려줘</t>
  </si>
  <si>
    <t>1) 단순 민원해소, 책임회피 수단 등으로 이용시
 2) 신청기관이 충분한 검토를 거치지 않은 경우
 3) 신청기관 자체적으로 해결이 가능한 경우
 4) 이미 행해진 처분의 위법.부당여부 확인시
 5) 수사.소송.행정심판 또는 감사 진행(확정) 시
 6) 행정청 내부문제로 시민과 직접적 관계 없을시
 7) 단순 법령해석 또는 제도개선 건의와 관련시
 8) 정책적 결정이 요구되는 경우</t>
  </si>
  <si>
    <t>사전 컨설팅감사의 일반적인 처리절차와 패스트트랙 처리절차의 차이점에 대해 알려줘
 &gt;&gt; 근거자료에 패스트트랙(상담창구) 관련 내용이 없어서 답벼 ㄴ불가</t>
  </si>
  <si>
    <t>시본청, 직속기관, 사업소는 신청부서의 장이 신청서를 작성하여 부산시 감사위원회에 제출하여야 하며, 구.군, 공사공단, 출자출연기관, 인허가 등을 신청한 민원인은 신청기관 감사부서의 장을 통해 부산시 감사위원회에 신청서를 제출하여야 함.
 사전 컨설팅감사 신청건에 대하여 부산시 감사위원회는 30일 이내 감사 결과를 통보하여야 하며, 부득이한 사유가 있을시 1회 연장 가능함.
 또한 부산시 행정포털 내 사전 컨설팅감사 상담창구(패스트트랙)를 통해 신청시 5~7일 이내 감사결과를 통보 받을수 있음.(자유로운 서식으로 신청이 가능하며, 감사 면책은 해당없음.)</t>
  </si>
  <si>
    <t>부산광역시 사전 컨설팅감사 운영 조례 제5조 및 제6조</t>
  </si>
  <si>
    <t>부산시의 사전 컨설팅감사 사례를 열람할 수 있는 방법을 알려줘</t>
  </si>
  <si>
    <t>부산시 홈페이지의 정보공개 페이지의 감사정보란에 사전 컨설팅감사 결과(사례)와 사례집이 등록되어 있어 열람이 가능함.</t>
  </si>
  <si>
    <t>부산시 홈페이지-정보공개-감사정보-사전 컨설팅감사-사전 컨설팅감사 사례</t>
  </si>
  <si>
    <t>외부강의등 신고는 어디에서 하나요?</t>
  </si>
  <si>
    <t>행정포털-행정업무-감사관리-외부강의등-외부강의등 신고 목록 - 추가버튼 클릭 - 서식란 입력 - 외부강의등 요청기관 공문 붙임 - 온나라 연계기안 후 청렴담당관 송부</t>
  </si>
  <si>
    <t>부산광역시 외부강의등 신고 업무처리 지침</t>
  </si>
  <si>
    <t>외부강의등 서면신고 방법(행정포털 연계기안)</t>
  </si>
  <si>
    <t>예효선(1671)</t>
  </si>
  <si>
    <t>외부강의등 대상 및 형태는 어떤 것이 있나요?</t>
  </si>
  <si>
    <t>공직자 자신의 직무와 관련되거나 그 지위ㆍ직책 등에서 유래되는 사실상의 영향력을 통하여 요청받은 교육ㆍ홍보ㆍ토론회ㆍ세미나ㆍ공청회 또는 그 밖의 회의 등에서 한 강의ㆍ강연ㆍ기고 등입니다.</t>
  </si>
  <si>
    <t>제10조(외부강의등의 사례금 수수 제한) ① 공직자등은 자신의 직무와 관련되거나 그 지위ㆍ직책 등에서 유래되는 사실상의 영향력을 통하여 요청받은 교육ㆍ홍보ㆍ토론회ㆍ세미나ㆍ공청회 또는 그 밖의 회의 등에서 한 강의ㆍ강연ㆍ기고 등(이하 “외부강의등”이라 한다)의 대가로서 대통령령으로 정하는 금액을 초과하는 사례금을 받아서는 아니 된다.
  ② 공직자등은 사례금을 받는 외부강의등을 할 때에는 대통령령으로 정하는 바에 따라 외부강의등의 요청 명세 등을 소속기관장에게 그 외부강의등을 마친 날부터 10일 이내에 서면으로 신고하여야 한다. 다만, 외부강의등을 요청한 자가 국가나 지방자치단체인 경우에는 그러하지 아니하다. 
  ③ 삭제 
  ④ 소속기관장은 제2항에 따라 공직자등이 신고한 외부강의등이 공정한 직무수행을 저해할 수 있다고 판단하는 경우에는 그 공직자등의 외부강의등을 제한할 수 있다.
  ⑤ 공직자등은 제1항에 따른 금액을 초과하는 사례금을 받은 경우에는 대통령령으로 정하는 바에 따라 소속기관장에게 신고하고, 제공자에게 그 초과금액을 지체 없이 반환하여야 한다.</t>
  </si>
  <si>
    <t>외부강의등 신고 대상 및 신고 기한은 어떻게 되나요?</t>
  </si>
  <si>
    <t>공직자는 사례금을 받는 외부강의등을 할 때에는 외부강의등의 요청 명세 등을 외부강의등을 마친 날부터 10일 이내에 서면으로 신고하여야 합니다.</t>
  </si>
  <si>
    <t>8 1 외부강의등 서면신고
 신고기한 외부강의등을 마친 날로부터 10일 이내(→강의 당일·초일 불산입)
 외부강의를 한 다음날 익일 부터 계산함(→토·일요일 및 공휴일을 포함하여 계산함)
 (→다만, 신고기간 만료일이 토·일 또는 공휴일인 경우 그 익일을 신고 기간 만료일로 봄)
 - 5 -
 신고기한 기준일은 외부강의등을 마친 날임(→사례금을 받은 날 기준이 아님)
 신문 잡지 등에 기고한 경우는 해당 원고의 최종본을 송부한 날을 마친 날로 봄
 (→기고문 원고료·사례금을 실제 받은 날이 아닌 최종 원고를 송부한 날을 기준으로 하여 익일부터 계산함)
 동일 기관 특정 기간에 계속된 강의는 일괄신고 가능하나 신고기한은 최초 강의를 마친
 날로부터 일 이내에 신고함
 (→통합하여 1회 일괄 신고할 수 있음. 요청기관이 다르거나 강의일이 월간 상이·다른 경우는 구분하여 신고함)</t>
  </si>
  <si>
    <t>외부강의등 신고 기간(외부강의등을 마친 날부터 10일 이내)은 토요일 및 공휴일을 포함하나요?
 &gt;&gt; 10일 이내에서 숫자가 복사가 안되는데 확인바랍니다.</t>
  </si>
  <si>
    <t>포함입니다. 만료일이 토요일 또는 공휴일인 경우 그 익일을 신고 기간 만료일로 봅니다.</t>
  </si>
  <si>
    <t>외부강의등 사례금 상한액과 예외는 어떻게 되나요?
 &gt;&gt; 10일 이내에서 숫자가 복사가 안되는데 확인바랍니다.</t>
  </si>
  <si>
    <t>6 1 외부강의등 사례금(대가) 상한액
 사례금 한도 1회 총 60만원 1시간 40만원 한도 1시간 초과시 50% 가산
 사례금 한도를 초과하여 수령 시는 그 사실을 안 날로부터 일 이내에 신고해야 함
 그 초과금액은 지체없이 외부강의 요청기관에 반환해야 함
 (→ 강의시간이 1시간 이내, 사례금이 50만원인 경우 : 초과금액 10만원을 신고·반환해야 함)
 (→ 강의시간 2시간, 사례금 60만원, 요청기관에서 교통비를 받은 경우 : 초과금액&lt;교통비&gt;을 신고·반환해야 함)
 사례금 포함 내역 세전으로 계산(→세후 금액이 아님)
 요청기관에서 지급한 강의료 원고료 교통비 실비 등 명목 관계없이 수령액 일체
 부서장이 공무출장으로 인정한 경우 소속기관에서 지급한 출장여비는 미포함 별도
 사례금 한도 예외 외국기관이 요청한 경우(→사례금 기준·한도 없음)
 국제기구 국제학술단체 외국 대학 등은 당해 기관에서 정한 기준에 따름
 사례금 한도 예외일 뿐 외부강의등에 대한 부서장의 사전검토와 신고의무가 있음
 국제기구 행사를 유치하여 국내에서 개최하는 경우 주관을 국내기관이 담당하고 외부
 강의등 요청 공문을 국내기관이 보내온 경우라면 국내기관의 국내행사로 봄
 → (권익위 청탁금지제도과, 2022.10.14.) 외부강의등 신고의 명확성, 일관성 및 법적 안정성 도모를 위해, 외부강의등
 을 요청한 자에 대한 판단은 형식적으로 강의를 요청(공문)한 기관으로 봄이 상당하다고 할 것임.</t>
  </si>
  <si>
    <t>외부강의등 신고 사항은 어떻게 되나요?</t>
  </si>
  <si>
    <t>신고 내용 : 일시, 장소, 강의 제목, 주제, 사례금 총액(상세 명세), 요청기관, 요청공문 등
 (→외부강의등을 요청한 기관으로부터 발송·접수된 공문 반드시 첨부, 이메일 내용은 불가함)</t>
  </si>
  <si>
    <t>신고방법 온라인 서면신고 행정포털 연계기안 및 공문발송 청렴담당관
 절차 행정포털 외부강의등 신고등록(→세부 신고방법 예시는 [붙임 1] 참조)
 내용 일시 장소 강의 제목 주제 사례금총액 상세명세 요청기관 요청공문 등
 (→외부강의등을 요청한 기관으로부터 발송·접수된 공문 반드시 첨부, 이메일 내용은 불가함)</t>
  </si>
  <si>
    <t>외부강의등 사례금 상한액에 초과하여 수령하였을 때에는 어떻게 해야하나요?</t>
  </si>
  <si>
    <t>사례금 한도를 초과하여 수령하였을 때에는 그 사실을 안 날로부터 2일 이내에 신고하여야 하고, 초과금액은 지체없이 외부강의등 요청기관에 반환하여야 합니다.</t>
  </si>
  <si>
    <t>임은정(1672)</t>
  </si>
  <si>
    <t>외부강의등에 대상이 아닌 것은 어떤 것들이 있나요?</t>
  </si>
  <si>
    <t>외부강의 비대상 사례 (붙임 2 기반 정리):
 1. 채용 관련
  - 채용 면접관 참여 시 개인별 점수 평가만 하는 경우 (다수인 대상 의견·지식 전달이 아닌 경우)
 2. 창작 활동
  - 책 저술·출판 (단, 신문·잡지 기고 시 외부강의 해당)
 3. 발표 형태 제한
  - 업무개선 경연, 성과보고회 등 직무 관련 내부 발표
  - 방송 출연 시 1:1 인터뷰 형식
  - 행사 축사·기조연설 (환영 인사 수준)
 4. 문화 행사
  - 동호회 주관 연주회·전시회
 5. 평가 위원 활동
  - 제안서 평가·협상 계약 시 개인 평가만 참여하는 경우(단, 대형공사 계약 시 집단토의 평가라면 해당)
  - 조달청 평가위원 (겸직허가 대상, 외부강의 아님)
 6. 자문·심의 활동
  - 서면 자문 (회의 없는 개인 의견 제시)
  - 법령에 따른 위원회 활동
 7. 기타 비영리 법인 활동
  - 법령조례 근거 비영리법인 이사
  - 위원회 당연직 위원 활동 (별도 용역 수행 시 제외).
 📌 핵심 구분 기준: 다수인 대상 지식 전달·회의 형태 X, 개인 평가/의견만 해당 경우 O.
 ※ 세부 확인이 필요한 경우 인사팀 문의 권장</t>
  </si>
  <si>
    <t>붙임 2 외부강의등 비대상 사례
 채용 서면심사 면접관으로 참여하는 경우
 다수인을 대상으로 하는 의견 지식 전달 및 회의 형태가 아니며 채용심사를 (→ · , 위한 개인 의견·점수만 판정하는 경우)
 책을 저술 출판하는 경우(→다만, 신문·잡지에의 기고는 외부강의등에 해당됨)
 (→출판에 따른 수익이 발생하는 경우는 겸직허가대상 여부 판단, 인사과 문의)
 (→권익위 청탁금지제도과, 2021.12.15., 인문사회 책의 한 챕터를 담당, 집필하는 것은 외부강의등에 해당되지 아니함)
 업무개선 경연 경진대회 성과보고회 등에서 발표하는 경우
 공직자가 직무와 관련하여 방송에 출연하여 1:1 문답 등 의견을 전달하는 경우
 행사 축사 기조연설은 단순 축하 환영인사를 하는 경우
 (→권익위 청탁금지제도과, 2019.9.23., 강의·강연은 일정한 주제에 대해 설명하여 가르치는 것으로 교육·홍보·토론회·세미나·
 공청회와 같이 ‘다수인을 대상으로 의견·지식을 전달하는 형태’이거나, 여럿이 모여 의견·정보 등을 교환하는 ‘회의형태’
 인 경우이므로 환영 축사 및 기조연설 등은 외부강의등에 해당되지 아니함)
 동호회 등에서 개최하는 연주회 전시회 등에 참여하는 경우
 (→다수인을 대상으로 하더라도 문화예술행위는 외부강의등에 미포함)
 제안서평가 또는 협상에 의한 계약 등에서 평가위원으로 참여하는 경우
 (→다수인을 대상으로 하는 의견·지식 전달 및 회의 형태가 아니며, 평가위원 개인별 의견·점수만 판정하는 경우)
 (※ 다만, 대형공사계약 또는 공모사업 등의 계약자·공모자 선정 평가위원으로 참여하여 집단토의·논의를 하면서 평가위원
 간 의견·정보 등을 교환하는 회의 형태의 평가라면 외부강의에 포함됨)
 서면 자문하는 경우(→의견·지식을 전달하는 회의 형태가 아님, 개별 의견만 작성하는 것에 불과함)
 (→자문위원회에 직접 참석하여 자문위원 간 의견·지식을 전달하는 회의형태인 경우에는 외부강의에 해당됨)
 조달청 심사 심의 평가 위원으로 참여하는 경우(→겸직허가 대상)
 (→조달청 심사·심의·평가위원 풀(Pool) 명단으로 위촉되어 계약심의·평가에 참여하는 경우는 겸직허가 대상)
 법령조례에 따라 비영리법인의 당연직 이사로 활동하는 경우(→겸직허가 대상)
 (→비영리법인의 당연직 이사로서 법인 내 활동은 조례에 따른 법적 업무수행이므로 외부강의등에 미포함)
 법령조례에 따라 설치된 위원회 당연위촉직 위원으로 회의에 참석하는 경우(→겸직허가대상)
 (→회의에 참석하는 것은 법령·조례에 따른 법적 업무수행이므로 외부강의등에 미포함)
 (→위원회 위원으로서의 법적 업무수행이 아닌 다른 형태(용역사업 수행)인 경우는 외부강의등 여부 추가판단 필요)
 비영리법인 단체의 정관에 따라 위원으로 위촉되어 회의에 참석하는 경우(→겸직허가대상)
 (→겸직허가대상으로 겸직허가 후 관련 회의에 참석하는 경우는 외부강의등에 미포함)
 대학교 등에 출강하는 경우(→겸직허가대상)
 (→대학교, 학원 등에 출강하는 경우는 겸직허가대상으로 인사과 별도 문의)</t>
  </si>
  <si>
    <t>외부강의등 신고의무 제외 대상은 어떤 것들이 있나요?</t>
  </si>
  <si>
    <t>신고의무 제외 외부강의등에는 해당되나 신고의무가 면제되는 경우
 1. 국가 중앙행정기관 지방자치단체 지방의회 국 공립학교 등으로부터 요청된 경우
  (→신고하지 아니함 : 중앙행정기관, 국회 등 헌법기관, 지방자치단체·지방의회, 국공립 유치원·초·중·고·대학교, 교육청 등)
  *다만, 국·공립대학교 중에서 공직유관단체로 지정(부산대학교병원)된 경우는 신고의무가 있음
  (→신고해야 함 : 사립학교, 공직유관단체&lt;공사·공단, 출자·출연기관, 체육회, 부산대학교병원 등&gt;)
 2. 교통비 숙박비 등 일체의 사례금을 받지 아니한 경우(→‘20.5.27.시행)
  (→사례금을 받지 아니한 경우는 외부강의등에는 해당되나 신고의무를 면제하는 것임)</t>
  </si>
  <si>
    <t>신고의무 제외 외부강의등에는 해당되나 신고의무가 면제되는 경우
 국가 중앙행정기관 지방자치단체 지방의회 국 공립학교 등으로부터 요청된 경우
 (→신고하지 아니함 : 중앙행정기관, 국회 등 헌법기관, 지방자치단체·지방의회, 국공립 유치원·초·중·고·대학교, 교육청 등)
 *다만, 국·공립대학교 중에서 공직유관단체로 지정(부산대학교병원)된 경우는 신고의무가 있음
 (→신고해야 함 : 사립학교, 공직유관단체&lt;공사·공단, 출자·출연기관, 체육회, 부산대학교병원 등&gt;)
 교통비 숙박비 등 일체의 사례금을 받지 아니한 경우(→‘20.5.27.시행)
 (→사례금을 받지 아니한 경우는 외부강의등에는 해당되나 신고의무를 면제하는 것임)</t>
  </si>
  <si>
    <t>외부강의등 복무는 어떻게 처리하여야 하나요?</t>
  </si>
  <si>
    <t>사전 복무 결재를 받아야 합니다. 원칙은 개인 연가를 사용하고, 예외적으로 출장 처리가 가능할 것입니다.</t>
  </si>
  <si>
    <t>7. 외부강의등 복무관리
  ① 원칙 : 개인 연가(조퇴·외출) 사용
  - 자신의 現직무와의 관련성을 막연하게 광의·확대하여 공무출장 가능하다는 것은 불인정됨 (→시립박물관·미술관 학예사·직원이 문화예술발전이라는 광의의 개념을 주장하는 경우 불인정, 개인연가 사용 원칙)
  ② 예외 : 공무출장 및 출장여비지급 가능
  - 공직자 자신의 현 직무(분장사무)와 직접 관련성이 명시적으로 있는 경우 (→현 직무와 관련성이 없거나, 직전 또는 과거에 담당했던 직무인 경우에는 개인연가를 사용해야 함)
  - 소속기관의 기능수행 및 정책수행 목적상 필요한 경우 (→별정직보좌관 또는 실국장 등 직원이 기관의 정책을 널리 홍보하기 위한 특강이라면 공무출장 가능함)
  - 소속 기관장(부서장)이 특별히 필요하다고 인정하는 경우
  ③ 참고사항[권익위, 공무원의 외부강의등에 관한 관리 지침, 시행 2022.4.14.]
  - 제3조, 외부강의등은 강의 요청 공문서와 결재권자의 허가를 받아야 함(→제2항, 결재권자는 직무관련성, 업무형편, 업무수행 지장 초래 등을 엄격히 확인한 후 외부강의등을 허가해야 함)
  - 제6조, 외부강의등이 직무수행 관련성, 소속기관(부서)의 기능·정책 수행 목적상 필요한 경우는 공무출장 처리하고, 이외의 외부강의등은 연가를 활용해야 함.
  - 제8조, 결재권자는 특정 직원의 과도한 외부강의, 업무수행에 지장 초래없도록 관리해야 함</t>
  </si>
  <si>
    <t>신고 없이 외부강의를 한 경우 과태료 부과 대상인가요?</t>
  </si>
  <si>
    <t>사례금을 받는 외부강의등을 신고하지 않은 경우 징계대상에 해당합니다.</t>
  </si>
  <si>
    <t>2111_정보화정책과_업무매뉴얼_청렴담당관_외부강의등 관련 주요 안내사항</t>
  </si>
  <si>
    <t>⑤ 위반에 대한 제재(청탁금지법 제21조, 제23조제4항) 
 구분
 외부강의등
 초과 사례금
 공직자등의 의무
 신고 의무
 신고 의무
 반환 의무
 위반 시 제재
 징계대상
 어느 하나라도 이행하지 않은 경우, 징계대상
 모두 이행하지 않은 경우 과태료 부과 대상(500만원 이하)</t>
  </si>
  <si>
    <t>휴직자가 외부강의등을 할 때에도 신고를 해야하나요?</t>
  </si>
  <si>
    <t>휴직자의 경우도 사례금을 받는 외부강의등을 할 경우 외부강의등을 마친 날부터 10일 이내에 신고해야 하며, 초과사례금 수수 시에도 신고 및 반환해야 함</t>
  </si>
  <si>
    <t>2025 부정청탁 및 금품등 수수의 금지에 관한 법률 행정기관 및 공직유관단체 매뉴얼</t>
  </si>
  <si>
    <t>154</t>
  </si>
  <si>
    <t>FAQ 외부강의등 사례금 수수 제한 관련
 Q. 휴직자가 외부강의등을 할 경우에도 신고를 해야 하는지?
 A. 휴직자의 경우도 사례금을 받는 외부강의등을 할 경우 외부강의등을 마친 날부터 10일 이내에 신고해야 하며, 초과사례금 수수 시에도 신고 및 반환해야 함</t>
  </si>
  <si>
    <t>사례금을 받지 않는 외부강의등을 하는 경우에도 신고를 해야하나요?</t>
  </si>
  <si>
    <t>사례금을 받지 않고 외부강의등을 하는 경우에 별도로 신고의무는 없습니다. 다만 향후 사례금이 지급된 경우에는 반드시 신고하여야 합니다.</t>
  </si>
  <si>
    <t>FAQ 외부강의등 사례금 수수 제한 관련
 Q. 사례금을 받지 않고 외부강의등을 하는 경우에도 신고해야 하는지?
 A. 사례금을 받지 않는 외부강의등은 신고의무 없음</t>
  </si>
  <si>
    <t>이은숙(1676)</t>
  </si>
  <si>
    <t>외부강의등 사례금에 어떤 것이 포함되나요?</t>
  </si>
  <si>
    <t>강의료, 원고료, 출연료 등 명목에 관계 없이 외부강의등과 관련하여 제공받은 일체의 사례금을 포함합니다.</t>
  </si>
  <si>
    <t>156</t>
  </si>
  <si>
    <t>FAQ 외부강의등 사례금 수수 제한 관련
 Q. 외부강의등 사례금에 원고료도 포함되는지?
 A. 외부강의등 사례금에는 강의료, 원고료, 출연료 등 명목에 관계 없이 외부강의등과 관련하여 공직자등에게 제공되는 일체의 사례금을 포함</t>
  </si>
  <si>
    <t>회의에서 사회자 등의 역할을 맡아 회의를 진행하는 경우에도 외부강의등에 해당한다고 볼 수 있나요?</t>
  </si>
  <si>
    <t>다수인을 대상으로 의견·지식을 전달하는 형태이거나 회의형태이므로 외부강의등에 해당할 수 있습니다.</t>
  </si>
  <si>
    <t>157</t>
  </si>
  <si>
    <t>FAQ 외부강의등 사례금 수수 제한 관련
 Q. 공청회, 간담회 등의 회의에서 사회자 등의 역할을 맡아 회의를 진행하는 경우에는 외부강의등에 해당하나요?
 A. 공청회, 간담회 등의 회의에서 사회자 등의 역할을 맡아 회의를 진행하는 경우는 다수인을 대상으로 의견·지식을 전달하는 형태이거나 회의형태이므로 외부강의등에 해당함</t>
  </si>
  <si>
    <t>시험출제업무를 하는 경우에도 외부강의등에 해당한다고 볼 수 있나요?</t>
  </si>
  <si>
    <t>시험출제는 응시자의 능력을 평가하기 위한 문제를 내는 행위로서, 다수인을 대상으로 의견·지식을 전달하는 형태라거나 회의형태라고 보기 어려우므로 외부강의등에 해당하지 않습니다.</t>
  </si>
  <si>
    <t>FAQ 외부강의등 사례금 수수 제한 관련
 Q. 공직자등이 시험출제위원으로 위촉되어 시험출제업무를 하는 경우 출제위원으로 참석하는 행위가 외부강의등에 해당하나요? 
 A. 시험출제는 응시자의 능력을 평가하기 위한 문제를 내는 행위로서, 다수인을 대상으로 의견·지식을 전달하는 형태라거나 회의형태라고 보기 어려우므로 외부강의등에 해당하지 아니함</t>
  </si>
  <si>
    <t>온라인으로 강의를 하는 경우에도 외부강의등에 해당하나요?</t>
  </si>
  <si>
    <t>온라인 강의의 경우 전달매체가 온라인 형식일 뿐 다수인을 대상으로 의견·지식을 전달하는 형태이므로 외부강의등에 해당합니다.</t>
  </si>
  <si>
    <t>FAQ 외부강의등 사례금 수수 제한 관련
 Q. 온라인으로 동영상 강의를 하는 경우도 외부강의등에 해당하나요?
 A. 온라인 강의의 경우 전달매체가 온라인 형식일 뿐 다수인을 대상으로 의견·지식을 전달하는 형태이므로 외부강의등에 해당함</t>
  </si>
  <si>
    <t>외부강의등을 사전신고하는 것도 괜찮나요?</t>
  </si>
  <si>
    <t>가능합니다. 신고항목(요청자, 요청사유, 날짜, 시간, 장소, 사례금 등)이 모두 기재된 공문을 첨부하여 신고하면 됩니다.</t>
  </si>
  <si>
    <t>FAQ 외부강의등 사례금 수수 제한 관련
 Q. 사례금을 받는 외부강의등의 경우 사전에 신고해도 되나요?
 A. 2020.5.27. 이후 실시하는 외부강의등은 마친 날부터 10일 이내에 신고하면 되고, 신고자가 요청자, 요청 사유, 일시, 장소, 사례금 액수, 강의 주제 등을 미리 알고 있는 경우에는 사전에 신고하는 것도 가능함</t>
  </si>
  <si>
    <t>상위법이 개정되면 조례는 언제까지 정비해야 하나요?
 &gt;&gt; 제출 자료에서 기대답변에 대한 내용이 명시적으로 나와 있지 않음</t>
  </si>
  <si>
    <t>상위법이 개정되면 조례는 상위법 시행일까지 정비하는 것이 실무 원칙입니다. 
 조례는 상위법에 위반될 수 없으며, 상위법 시행과 동시에 정합성이 확보되어야 합니다. 
 부칙에 조례 정비기한이 명시된 경우에는 부칙 기한을 우선 적용합니다.</t>
  </si>
  <si>
    <t>자치법규업무매뉴얼(2022, 행안부)</t>
  </si>
  <si>
    <t>행정안전부 자치법규업무매뉴얼(2022)
 P16~17, P34~37</t>
  </si>
  <si>
    <t>자치법규업무매뉴얼(2022, 행안부)
 P16~17 상위법 정합성 반영 의무
 P34–35 상위법과 저촉되는 조례는 유지할 수 없으며 즉시 개정해야 함 
 P36–37 상위법령의 시행과 관련하여 조례의 시행이 시급히 요청되는 경우</t>
  </si>
  <si>
    <t>문서 보존기간은 어떻게 산정하나요?</t>
  </si>
  <si>
    <t>2502_통합민원과_업무매뉴얼_통합민원과_기록관리_업무편람기정너</t>
  </si>
  <si>
    <t>페이지 내용 전체 참조</t>
  </si>
  <si>
    <t>고시, 공고(입법예고) 시보, 홈페이지 게재 방법
 &gt;&gt; 매월 업데이트 되는 내용으로 추후 데이터 자동화 수집 이후 적용</t>
  </si>
  <si>
    <t>**&lt;시보 게재&gt;**
 1. 발행주기 : 매주 수요일
  ▶ 2024년 12월 발행일자 : 4일, 11일, 18일, 25일
  ▶ 2025년 1월 발행일자 : 1일, 8일, 15일, 22일, 29일
 2. 발행방법 : 책자 발행(구·군 배부), 부산시보 홈페이지 게시(PDF파일)
 3. 게재의뢰 : 발행일 3일전(**매주 금요일**)까지 공문 의뢰 ※ 화요일 편집·인쇄 완료
 * 고시공고 번호 채번 후 붙임파일 첨부하여 반드시 “뉴미디어담당관”으로 공문 요청
 * 공문 본문에 게재대상, **게재일시 반드시 명시**
 * 붙임 파일명 : 구분+번호+제목 (예시) 공고 제2024-1호 ○○○ 공고
 * 붙임 첨부자료 파일명 : 구분+번호+제목 (예시) 공고 제2024-1호 01.시행도면
  ※ 본청 및 산하기관 : 행정포털 시스템 이용 / 구·군 : 자체 시스템 이용
 4. 게재경로 : 부산시보 &gt; 시정·경제 &gt; 고시공고(시보 게재 후 개별 확인 요망)
 5. 업무문의 : 미디어운영팀 박성준 (☎888-1292)
 **&lt;홈페이지 게재&gt;**
 1. 등록요청 : 행정포털 &gt; 행정업무 &gt; 공보관리 &gt; 고시/공고(입법예고) 등록
 2. 등록일자 : 홈페이지 채번 시 자동 등록(지정일시)
  ※ 시보 게재 없이 홈페이지에만 게재 시에는 공문 불필요
 3. 업무문의 : 미디어운영팀 조현경 (☎888-1297) ▶ 파일 수정/삭제 요청</t>
  </si>
  <si>
    <t>고시공고 등록 매뉴얼, 고시공고등 부산시보 게재 의뢰 유의사항</t>
  </si>
  <si>
    <t>첨렴퀴즈, 청렴교육 이수 후 청렴마일리지 실적 입력방법
 &gt;&gt; 26년 자료 나오면 업데이트 필요</t>
  </si>
  <si>
    <t>청렴퀴즈, 직원설문에 참여하셨나요
 공직자자기관리시스템에 청렴마일리지 실적을 입력해주세요.
 ● 참여자 확인 : 지식행정 → 커뮤니티 → 청렴사랑방 &gt; 청렴퀴즈 종료 후 참여자 게시
 ● 입력 방법 : 행정포털 – 행정업무 – 감사관리 – 공직자자기관리
 ☑ 본인 이수 실적 입력 : 실적관리 ⇒ 개인별 실적관리 ⇒ 추가
 마감년도 : 2025년
 실적일자 : 청렴퀴즈 종료일
 성명 : 검색으로 선택
 실적동향항목 : 0월 청렴퀴즈
 입력실적 : 1
 청렴교육을 이수하셨나요
 공직자자기관리시스템에 청렴마일리지 실적을 입력해주세요.
 ● 입력 방법 : 행정포털 – 행정업무 – 감사관리 – 공직자자기관리
 ☑ 본인 이수 실적 입력 : 실적관리 ⇒ 개인별 실적관리 ⇒ 추가
 마감년도 : 2025년
 실적일자 : 교육 수료일
 성명 : 검색으로 선택
 실적항목등록 : 수료한 교육명 기재
 예) 사이버교육(나라배움터), 집합교육, 사이버 교육
 입력실적 : 이수한 시간 입력
 첨부내역 : 수료증 등 이수 확인할 수 있는 자료(사이버교육)</t>
  </si>
  <si>
    <t>공직자자기관리시스템 입력방법(2025)</t>
  </si>
  <si>
    <t>정당한 사유없는 장시간 통화 어떻게 대응</t>
  </si>
  <si>
    <t>○ (장시간 통화‧면담 종료) 기관별로 1회당 통화‧면담 권장시간을 정하고,
 정당한 사유 없이 초과하는 경우 통화 종결 가능(※「민원처리법 시행령」개정)
 - 조사 결과, 민원 상담은 통상 15분 이내로 가능하므로, 정당한 사유 없이
 지속되는 경우 15분 경과 시 종결 안내하고 20분 경과 시 종결 가능
 * 15분 경과 시 통화 종료 예고, 20분 경과 알림, 통화 자동 종료 기능 활용 권고
 ** 사전 방문‧면담 예약제를 운영하여 1회 면담 최대 시간 설정의 실효성 확보 가능
 ※ 지자체 대상 주요 민원(55개 사무) 상담 필요시간 조사 결과(’24.8월 기준)
 1. 통상적인 민원 : 15분 이내 (전체 평균 9.4분)
 2. 공적 증명서 열람‧발급 : 15분 이내
 예) 주민등록표 등‧초본 발급, 인감증명서 발급, 건축물대장 등초본 발급‧열람 등
 * 단, 구인‧구직 신청, 기초연금 신청 등 지원‧수급 자격 상담이 필요한 민원이나 2개 이상의 민원
 사무가 연계된 복합민원은 평균적으로 20~25분 소요
 ☞ 조사 결과를 참조하되, 기관별 특성에 맞는 1회당 최대 시간 설정 권장</t>
  </si>
  <si>
    <t>431_2410_통합민원과_업무매뉴얼_행정안전부_민원인의 위법행위 및 반복민원 대응방안(지침)</t>
  </si>
  <si>
    <t>□ 장시간‧반복‧폭언 민원 상담 시 종료
 ○ (장시간 통화‧면담 종료) 기관별로 1회당 통화‧면담 권장시간을 정하고,
 정당한 사유 없이 초과하는 경우 통화 종결 가능(※「민원처리법 시행령」개정)
 - 조사 결과, 민원 상담은 통상 15분 이내로 가능하므로, 정당한 사유 없이
 지속되는 경우 15분 경과 시 종결 안내하고 20분 경과 시 종결 가능
 * 15분 경과 시 통화 종료 예고, 20분 경과 알림, 통화 자동 종료 기능 활용 권고
 ** 사전 방문‧면담 예약제를 운영하여 1회 면담 최대 시간 설정의 실효성 확보 가능
 ※ 지자체 대상 주요 민원(55개 사무) 상담 필요시간 조사 결과(’24.8월 기준)
 1. 통상적인 민원 : 15분 이내 (전체 평균 9.4분)
 2. 공적 증명서 열람‧발급 : 15분 이내
 예) 주민등록표 등‧초본 발급, 인감증명서 발급, 건축물대장 등초본 발급‧열람 등
 * 단, 구인‧구직 신청, 기초연금 신청 등 지원‧수급 자격 상담이 필요한 민원이나 2개 이상의 민원
 사무가 연계된 복합민원은 평균적으로 20~25분 소요
 ☞ 조사 결과를 참조하되, 기관별 특성에 맞는 1회당 최대 시간 설정 권장</t>
  </si>
  <si>
    <t>반복전화 어떻게 대응</t>
  </si>
  <si>
    <t>○ (반복전화‧면담 종료) 충분한 설명이 이루어졌음에도 정당한 사유 없이
 반복적으로 전화나 면담 요청을 하는 경우 민원처리 지연 등으로 추가
 상담이 어려움을 안내 후 종결 처리 권고
 - 동일․유사내용에 대한 상습적 반복 전화, 면담(요구)은 민원처리법 제5조
 제2항에 따른 다른 민원인에 대한 민원처리 지연 사유에 해당될 수 있음
 ※ 새로운 민원신청이 아닌 경우에는 충분한 설명이 이루어졌음을 안내하고 전화 종결
 (법정 지침 또는 민원처리법령에 법적 근거 마련 예정)
 ․답변 예시) 말씀하시는 내용에 대해서는 충분히 설명 드렸습니다. 다른 분들의 민원
 처리가 지연되고 있으므로 통화를 종료하겠습니다. 반복적으로 전화하시거나 면담을
 요구하시는 행위는 민원처리법 제5조에 따른 공무방해행위에 해당될 수 있습니다.
 * 충분한 설명이 이루어진 경우 외에도 다음의 경우에 해당하는 경우 설명 후 반복전화 등 종결 처리 권고
 ▹ 해당 행정기관의 권한이 아니거나 이행이 불가능한 처분, 조치 등 요구
 ▹ 민원처리담당자에 대한 욕설, 모욕, 협박, 성희롱 등 폭언
 ▹ 요구 사항과 관련하여 민원인이 폭행, 흉기난동 등의 심각한 위법행위를 한 경우
 ▹ 사인 관계 등 민원처리와 관련 없는 사항
 ▹ 요지 불명의 내용
 ▹ 기타 다른 민원인의 민원처리를 방해하는 내용</t>
  </si>
  <si>
    <t>11, 12</t>
  </si>
  <si>
    <t>폭언(욕설, 협박 등) 전화응대 어떻게 해야돼</t>
  </si>
  <si>
    <t>○ (폭언 종료) 상담 시간과 관계 없이, 욕설·협박·성희롱 등 폭언 시
 전화‧면담 종료 가능 (※「민원처리법 시행령」개정)
 - 폭언이 있을 경우 전화․면담 종료를 안내하고 즉시 종료 가능
 민원처리법 시행령 제4조(민원 처리 담당자의 보호) ①
 8. 다음 각 목의 경우 전화나 면담의 종료 조치. 이 경우 그 조치 전에 해당 사유를 민
 원인에게 고지해야 한다.
 가. 전화 또는 면담 중 민원인이 반복적ㆍ지속적으로 욕설, 협박 등 폭언을 하거나 모욕, 성희롱
 (성적인 언동 등을 통하여 성적 굴욕감 또는 혐오감을 느끼게 하는 행위를 말한다)을 한 경우
 나. 제7호에 따른 권장 시간을 상당히 초과하여 공무를 방해한 경우</t>
  </si>
  <si>
    <t>관인 날인 어떻게 해야해</t>
  </si>
  <si>
    <t>[관인 날인 관련 협조사항 안내]
 모든 문서는 관련 결재문서가 있어야 날인 가능합니다관련된 내부결재 문서 지참관련 결재문서가 없는 경우에는 '관인 날인 의뢰' 공문 발송 후, 지참'표창장, 상장, 감사장'은내부결재 공문 (명단 포함)(또는) '행정포털-자치행정-포상관리-포상대상자명단' 출력 지참(번호, 대상자명, 유공명 필요) 명단 순서대로 / 케이스 끼워오지 X / 포스트잇 지참(번짐 방지) 
 '위촉장, 비영리법인(허가증, 정관)'은내부결재 공문(명단 포함)다량 인쇄(20매 이상) 및 감사패 제작은날인 의뢰가 아닌, '공인 인영 인쇄' 방법으로 진행하여 주십시오
 ※ 인영 사용 협조 요청 공문 발송 통합민원과 승인 인영 수령 인쇄각종 실적증명서(공사·용역·물품)는날인대상이 아니며, 통합민원과 8번 창구 방문(수수료 1천원)</t>
  </si>
  <si>
    <t>2410_정보화정책과_업무매뉴얼_통합민원과_관인 날인 프로세스</t>
  </si>
  <si>
    <t>시장님 말씀자료 검토 의뢰 방법</t>
  </si>
  <si>
    <t>**가. 대상 : 시장님 일정 관련 비서실 협의의 완료된 행사 말씀자료**
 **나. 의뢰기한 : 행사 개최일(영상축사의 경우 촬영일) 7일 이전**
 * **부서 작성 초안(반드시 부서장 확인)** 및 업무보고 첨부하여 메시지 기획팀 제출
 * **제출 방법 : 온톡 메신저 쪽지 송부 (메시지기획팀 주무관, ☎ 1282)**
 **다. 말씀자료 검토 절차**
 * **① 일정 확정**
  * 시장님 참석 일정 조율 및 확정 (담당부서 $\rightarrow$ 비서실)
 * **② 말씀자료 의뢰 [D-7]**
  * 메시지팀 검토 의뢰 (초안 첨부) (담당부서 $\rightarrow$ 메시지기획팀)
 * **③ 말씀자료 회신 [D-3]**
  * 수정 후 부서에 회신 (메시지기획팀 $\rightarrow$ 담당부서)
 * **④ 최종자료 제출 [D-3]**
  * 부서 최종 확인 후 비서실 송부 (담당부서 $\rightarrow$ 비서실)
 **라. 협조사항 : 말씀자료 의뢰는 반드시 행사일 7일 이전 시행, 기일 엄수**
 * **의뢰 늦어질 시, 다른 행사 말씀자료 작성 일정에 차질 발생**</t>
  </si>
  <si>
    <t>2505_정보화정책과_업무매뉴얼_공보담당관_시장님 말씀 자료 검토 의뢰 관련 협조 사항 알림</t>
  </si>
  <si>
    <t>시장님 인터뷰 요청 시 처리 방법</t>
  </si>
  <si>
    <t>2. 각 언론사 등 시장님 인터뷰 요청 관련 진행사항을 아래와 같이 알려드리니, 부서에서는 인터뷰 진행 시 **공보담당관(메시지기획팀)**과 협의하여 주시기 바랍니다.
 **가. 대상 :** 각 언론사 등 **시장님 인터뷰(서면 답변 포함)** 요청
 **나. 필수사항 :** 인터뷰 진행 시 **반드시 공보담당관(메시지기획팀)과 협의**
 **다. 인터뷰 진행 절차**
 * **① 인터뷰 진행 협의**
  * 부서 통화 인터뷰 요청 시 **공보담당관과 인터뷰 진행 협의** (담당부서 $\rightarrow$ 공보담당관)
 * **② 일정 조율 등**
  * 시장님 인터뷰 방법 및 일정 조율 (비서실 $\rightarrow$ 공보담당관)
  * 질문지 검토 (언론사 $\rightarrow$ 공보담당관)
 * **③ 답변 작성**
  * 질문에 따른 **답변자료 작성 제출** (담당부서 $\rightarrow$ 공보담당관)
 * **④ 인터뷰 진행**
  * 답변자료 검토 및 작성 **최종 답변자료 공유** (공보담당관 $\rightarrow$ 비서실/부서)
  * 인터뷰 진행 (공보담당관)
 **※ 협의 및 답변자료 제출 방법 :** **온톡 메신저 쪽지 송부 또는 유선( 주무관, 행1282)**</t>
  </si>
  <si>
    <t>2508_정보화정책과_공문_언론다당관_시장님 인터뷰 진행 관련 협조사항 알림</t>
  </si>
  <si>
    <t>간행물 발간등록번호 신청 어떻게 하지</t>
  </si>
  <si>
    <t>1. 간행물 발간등록번호 신청은 어떻게 합니까?국가기록원 홈페이지(http://www.archives.go.kr) 참여·민원 간행물 발간등록 발간등록신청을 클릭하여 신청양식에 따라 작성 후 등록 신청하시면 됩니다.</t>
  </si>
  <si>
    <t>2024년도 간행물 발간등록 및 송부지침</t>
  </si>
  <si>
    <t>신용카드 사용으로 계약서 작성을 생략하는 지출 금액기준?</t>
  </si>
  <si>
    <t>□ 대상 : 물품구매 및 제조, 소규모 용역(100만원이상 500만원 이하)
 □ 근거 : 부산광역시 회계 및 계약사무 처리지침 개정(회계재산담당관-14369(2022.03.23.)호)</t>
  </si>
  <si>
    <t>2211_정보화정책과_업무매뉴얼_회계재산담당관_소규모 물품, 용역 신용카드 사용 지출 안내</t>
  </si>
  <si>
    <t>신용카드 사용으로 계약서 작성을 생략하는 지출 처리안내
 □ 근거 : 부산광역시 회계 및 계약사무 처리지침 개정(회계재산담당관-14369(2022.03.23.)호)
 □ 대상 : 물품구매 및 제조, 소규모 용역(100만원이상 500만원 이하)</t>
  </si>
  <si>
    <t>외부강의 신고대상, 방법 등 절차는?
 &gt;&gt; 앞 쪽에 동일 질문이 있으므로 제외</t>
  </si>
  <si>
    <t>① 외부강의등의 신고대상
  □ 직무와 관련되거나 그 지위·직책등에서 유래되는 사실상 영향력을 통하여 요청받은 교육·홍보·토론회·세미나·공청회 또는 그 밖의 회의 등에서 한 강의·강연·기고·발표·토론·심사·평가·자문·의결 등의 대가로서 사례금을 받는 경우
  □ 단, 사례금을 받더라도 요청자가 국가나 지방자치단체인 경우는 신고대상 아님
  ▸ 국가 : 국회, 법원, 헌법재판소, 선거관리위원회, 감사원, 국가인권위원회, 중앙행정기관 및 소속기관
  ▸ 지방자치단체 : 지방자치단체(지방의회 포함), 시도 교육청 및 해당 지방자치단체의 행정기구의 조례에 
  포함된 직속기관, 사업소 등
  ※ 요청자가 공직유관단체, 공기업, 공사·공단, 사립학교, 언론사 등인 경우는 외부강의등 신고대상임 
  ② 외부강의등의 신고방법ˑ신고부서
  □ 신고방법 : 사례금 받는 외부강의등을 할 때 마친 날부터 10일 이내 서면으로 신고
  ○ 행정포털-감사관리-외부강의등 신고등록-온나라 연계기안-신고부서로 공문발송
  ▷ 증빙서류(외부강의등 요청 외부기관 공문서) 첨부
  ▷ 문서전결권자 준수 
  - 주무관ˑ팀장 신고(부서장 전결), 부서장 신고(국장 전결) 
  - 국장 신고(부시장 또는 실장 전결)
  □ 신고부서 
  ○ 본청 및 소속기관(소방재난본부, 상수도사업본부 제외) : 청렴감사담당관
  ※ 시의회사무처 : 총무담당관, 소방재난본부 : 소방감사담당관, 상수도사업본부 : 경영지원부(요금감사팀)
  ③ 외부강의등 사례금 상한액 ▷ 세전금액으로 신고
  □ 직급 구분 없이 시간당 40만원, 총액은 시간 상한액의 100분의 150 초과 불가
  ○ 1시간 : 최대 40만원, 1시간 초과 : 최대 60만원까지 수령 가능 
  ※ 사례금 상한액에는 강의료, 원고료, 출연료 등 명목에 관계없이 제공하는 일체의 사례금 포함
  ※ 단, 교통비, 숙박비, 식비는 사례금에 포함되지 아니하되, 소속기관과 중복하여 수령 불가
  □ 초과사례금을 받은 경우, 2일 이내에 서면신고 후 제공자에게 지체없이 반환
  ④ 외부강의등 횟수기준
  □ 대가를 받고 수행하는 외부강의등은 월3회를 초과할 수 없음
  □ 월3회를 초과하여 대가를 받고 외부강의등을 할 경우, 미리 행동강령책임관의 승인을 받아야 함</t>
  </si>
  <si>
    <t>민간 클라우드를 활용하여 정보화사업을 추진시 보안대책은 무엇인가요?</t>
  </si>
  <si>
    <t>ㅇ 클라우드 보안인증(CSAP) 획득한 민간 클라우드 서비스 이용
 ㅇ 공공 전용 영역과 민간영역이 물리적으로 분리된 공공 전용 클라우드 이용
 ㅇ 이용기관 內 인가받은 관리자(IP)만 클라우드 관리자 서비스에 접근
 ㅇ 클라우드 서비스 접속시 인증서, OTP, MAC 등 다중요소 인증방식 적용
 ㅇ 클라우드 시스템 보안점검 리스트를 참고하여 정기적으로 보안점검 수행
 ㅇ 해킹·장애 대응에 필요한 조치를 위한 사업자의 협조 의무사항 계약서에 명시
 ㅇ 민간 클라우드 컴퓨팅 서비스에 대한 이용기관의 보안관제 수행
 ㅇ 정보화사업 보안성검토 확행(시스템 중요도 분류 체크리스트</t>
  </si>
  <si>
    <t>2507_정보화정책과_2025년 국가정보원 「사이버보안 실태 평가」 대비 민간 클라우드 컴퓨팅 서비스 관련 자료 제출</t>
  </si>
  <si>
    <t>본문</t>
  </si>
  <si>
    <t>본문내용 인용</t>
  </si>
  <si>
    <t>정보화용역사업 추진시 사업 단계별 담당자가 준수해야할 절차는 무엇인가요?</t>
  </si>
  <si>
    <t>정보화용역사업 추진 단계별 준수 절차
 제1절 참여인원 보안관리
 1. 신원확인
  - 부적격자 배제, 국가공무원법/국가를 당사자로 하는 계약에 관한 법률 위반 시 교체 요구
  - 비밀사업 시 비밀취급 인가 등 보안조치 필수
 2. 보안서약서 &amp; 교육
  - 전원에 보안서약서 서약 (정보 유출 금지 조항 포함)
  - 법적·내부 규정에 따른 비밀유지 의무 교육 실시
 3. 정기·수시 보안점검
  - 누출금지 대상정보 관리 실태 확인
  - 위반 시 내부 처리기준에 따른 조치 + 재발방지 대책 마련
 제2절 사무실·장비 보안관리
 1. 수행 장소
  - 비인가자 출입통제(CCTV, 잠금장치 필수) + 정기적 보안점검
 2. 장비 관리
  - 발주기관 제공 장비 사용 원칙 (PC, 노트북 등 장비등록 대장 관리)
  - 개인장비 반입 금지 (적발 시 계약 조건에 따른 불이익)
 3. 장비 점검
  - 백신 설치, 비밀번호 설정, 매체제어 시스템 적용
  - 개인 모바일기기는 카메라·충전포트 스티커 부착 후 반입 허용
 제3절 내·외부망 접근 보안
 1. 망 분리 구성
  - 용역업체 망을 발주기관 내부·외부망과 분리 (별도 전용 통신망 구성)
 2. 내부망 접근 최소화
  - 지정 단말기로 제한적 접근, 사용자 계정 별도 그룹화 및 권한 차등 부여
  - 시스템 관리자(root) 권한 부여 금지
 3. 외부망 보안 강화
  - 인터넷 연결 전용 기기 지정, P2P/웹하드/클라우드 차단
  - 무선 통신(무선랜, 휴대폰 모뎀) 사용 통제
 제4절 자료에 대한 보안관리
 1. 인계·인수 대장 관리
  - 계약서 명시 자료는 자필 서명하여 대장 관리
 2. 자료 접근 및 회수
  - 잠금장치 보관함/비인터넷 PC에 저장
  - 비밀문서 열람 후 즉시 회수
 3. 점검 확인
  - 체크리스트 활용, 미회수 자료 유무 일일 점검</t>
  </si>
  <si>
    <t>2503_정보화정책과_정보화용역사업 보안관리 철저_붙임_국가·공공기관 용역업체 보안관리 가이드라인</t>
  </si>
  <si>
    <t>9, 10, 11, 12, 13, 14, 15</t>
  </si>
  <si>
    <t>가이드라인 편집 요약</t>
  </si>
  <si>
    <t>사무실 PC에 지켜야할 보안 점검 항목은 무엇인가요?</t>
  </si>
  <si>
    <t>ㅇ CMOS 및 윈도우 비밀번호 설정, 정기적 변경(유추하기 어려운 비밀번호 설정)
 ㅇ 작업 일정 시간 중단 시 비밀번호를 적용한 화면보호기 설정(10분 권고)
 ㅇ 최신 백신SW 설치, 운영체제 및 응용프로그램 최신 보안패치
 ㅇ 출처, 유통경로 및 제작자가 불분명한 응용프로그램 사용 금지
 ㅇ 업무와 무관한 소프트웨어 설치 금지(카카오톡, 게임, 증권, 재테크 등)
 ㅇ 업무용 PC 내 불필요한 개인정보 파기 등 보호 조치
 ㅇ 매월 사이버보안 진단의 날 PC보안 취약점 점검 및 조치(100점)</t>
  </si>
  <si>
    <t>2301_부산광역시_업무매뉴얼_국가정보원_국가 정보보안 기본지침</t>
  </si>
  <si>
    <t>제74조(단말기 보안) 내용 전문</t>
  </si>
  <si>
    <t>서버 운용시 취약한 서비스 포트는 무엇인가요?</t>
  </si>
  <si>
    <t>ㅇ 기본포트 변경 대상
  - ssh(22), rdp(3389), vnc(5800, 5900) 등
 ㅇ 보안 취약 서비스로 사용 금지 대상
  - ftp(20,21), telnet(23), SMTP(23), rpc(135), NetBios(139), SMB(445), rlogin(513), rsh(514), MS SQL(1433/1434)</t>
  </si>
  <si>
    <t>2510_정보화정책과_2025년 사이버보안 관리실태 평가 현장실사에 따른 협조 요청</t>
  </si>
  <si>
    <t>붙임3_정보시스템 보안 체크리스트</t>
  </si>
  <si>
    <t>체크리스트 일부 내용 발췌</t>
  </si>
  <si>
    <t>방화벽 등 IT보안제품 도입시 안정성 검증된 제품은 어디에서 확인할 수 있나요?
 &gt;&gt; 근거자료에 관련 내용 없음</t>
  </si>
  <si>
    <t>ㅇ 안정성 검증필 제품이란 
  - 국가정보원법 제4조 등에 따라 국가정보원장이 정한 보안기준을 만족한 제품으로
  '보안기능 확인서', '국내용 CC인증서' 등이 발급된 제품
 ㅇ 제품 확인 방법은
  - 사이트명 : 국가정보원 '국가사이버안보센터'
  - 메뉴명 : 보안적합성검증 - 안정성 검증필 제품목록
  - URL : www.ncsc.go.kr</t>
  </si>
  <si>
    <t>국가정보원법 제4조
 전자정부법 제56조
 사이버안보업무규정 제9조</t>
  </si>
  <si>
    <t>기술지원 중단 된 소프트웨어 대상은 무엇이 있나요? (25.12월 기준)</t>
  </si>
  <si>
    <t>◦(기술지원 종료 SW) 정보화정책과-17848(‘25.9.23) 공문 참고
  - MS오피스 2019 이하 삭제(2019, 2016, 2013 등) ⇒ 2021 이상 버전 설치
  - 한컴오피스 NEO 이하 삭제(NEO, 2014, 2010 등) ⇒ 2022 이상 버전 설치
  - 기타 Adobe Flash Player, 알캡쳐·알PDF·알집 구버전 등</t>
  </si>
  <si>
    <t>2510_2025년 사이버보안 관리실태 평가 현장실사에 따른 협조 요청</t>
  </si>
  <si>
    <t>외부인사가 부산시 회의 참석시 수당은 얼마인가요?</t>
  </si>
  <si>
    <t>지급 수준과 실비 보전
  - 위원회: 1일(2시간) 기준 기본료는 100,000원이며, 초과 시간당 50,000원을 추가로 지급(단, 초과는 2시간 이상 시 1일 1회만 지급)
  ※ 사이버위원회: 1회(2시간) 기준 기본료는 50,000원이고, 초과 시간당 20,000원을 추가로 지급</t>
  </si>
  <si>
    <t>부산광역시 소속 위원회 위원 수당 및 여비 지급에 관한 조례</t>
  </si>
  <si>
    <t>[별표]수당의 지급기준</t>
  </si>
  <si>
    <t>2006년 2월 입사했는데 20년차 장기재직 휴가를 언제까지 사용해야 하나요?
 또는
 재직기간별 장기재직휴가 사용 마감기한은 언제까지 인가요?</t>
  </si>
  <si>
    <t>1. 재직기간 별 해당 기간 내 반드시 사용
 2. 장기재직휴가 재직기간 산정방법
  - 공무원연금법상 ‘퇴직급여 재직기간’으로 계산
  ○「공무원연금법」제25조 ~ 제27조
  ○ 기본 재직기간* + 군 복무 등 산입기간
  * 임명된 날이 속하는 달로부터 퇴직한 날의 전날 또는 사망한 날이 속하는 달까지의 연월수로 계산</t>
  </si>
  <si>
    <t>부산광역시 공무원 장기재직휴가 시행지침 개정전문</t>
  </si>
  <si>
    <t>2, 5</t>
  </si>
  <si>
    <t>나. 재직기간 별 해당 기간 내 반드시 사용
 - ’23.10.11. 「부산광역시 공무원 복무 조례」개정으로 확대된 장기재직
 휴가 일수가 6개월 내 소멸 예정인 자는 신설·확대된 장기재직
 휴가 5일에 한하여 소멸유예기간을 적용하여 ’24. 4. 1.한 사용 가능
 * 대상자 : ’23.10.2. 기준 재직기간이 9년 6월 ~ 11월 또는, 재직기간이 29년 6월 ~ 11월인 자
 장기재직휴가 재직기간 산정방법
 � 공무원연금법상 ‘퇴직급여 재직기간’으로 계산
 ○「공무원연금법」제25조 ~ 제27조
 ○ 기본 재직기간* + 군 복무 등 산입기간
 * 임명된 날이 속하는 달로부터 퇴직한 날의 전날 또는 사망한 날이 속하는
 달까지의 연월수로 계산</t>
  </si>
  <si>
    <t>1996년 10월 입사했는데 장기재직휴가 일수는 며칠이야?</t>
  </si>
  <si>
    <t>재직기간 별 휴가기간
 1. 5년 ~ 9년 : 5일
 2. 10년 ~ 19년 : 15일
 3. 20년 ~ 29년 : 25일
 4. 30년 이상 : 25일
 장기재직휴가 재직기간 산정방법
  - 공무원연금법상 ‘퇴직급여 재직기간’으로 계산
  ○「공무원연금법」제25조 ~ 제27조
  ○ 기본 재직기간* + 군 복무 등 산입기간
  * 임명된 날이 속하는 달로부터 퇴직한 날의 전날 또는 사망한 날이 속하는 달까지의 연월수로 계산</t>
  </si>
  <si>
    <t>4. 실시방법 : 재직기간에 따라 해당 기간 중 장기재직휴가 실시
 재직기간 5년 ~ 9년 10년 ~ 19년 20년 ~ 29년 30년 이상
 휴가일수 5일 10일 25일 25일
 장기재직휴가 재직기간 산정방법
 � 공무원연금법상 ‘퇴직급여 재직기간’으로 계산
 ○「공무원연금법」제25조 ~ 제27조
 ○ 기본 재직기간* + 군 복무 등 산입기간
 * 임명된 날이 속하는 달로부터 퇴직한 날의 전날 또는 사망한 날이 속하는
 달까지의 연월수로 계산</t>
  </si>
  <si>
    <t>공유재산 사용허가/대부의 경우 수의계약 대상 관련 근거는 무엇인가요?</t>
  </si>
  <si>
    <t>○ (행정재산) ｢공유재산 및 물품 관리법｣ 제20조제2항, 같은 법 시행령 제13조제3항
 ○  (일반재산) ｢공유재산 및 물품 관리법｣ 제29조제1항, 같은 법 시행령 제29조제1항
 ○  다른 법률에서 공유재산에 대한 수의계약 등을 규정하고 있는 경우</t>
  </si>
  <si>
    <t>2024 공유재산 업무편람</t>
  </si>
  <si>
    <t>84</t>
  </si>
  <si>
    <t>김헌호(2263)</t>
  </si>
  <si>
    <t>연간 사용(대부)료 산출방법은?</t>
  </si>
  <si>
    <t>○ 연간 사용료(대부료) = 재산가격(시행령 제31조에 따라 산출한 재산가격) × 사용료율(대부료율)
  ○ 사용(대부)료 부과, 징수 기준은 다음과 같습니다
  1) 건물 전체인 경우: 건물평가액과 부지평가액을 합산하여 재산의 평가액을 산정
  2) 건물의 일부일 경우 : 건물과 토지의 전용면적에 공용면적을 합하여 산출
 • 【 건물의 공용면적 산출 산식 】
 해당건물의 총 공용면적 × (사용허가 또는 대부받은 자의 건물 전용면적÷해당 건물의 총 전용면적)
 • 【 부지의 공용면적 산출 산식 】
 해당부지의 총 공용면적 × (사용허가 또는 대부받은 자의 건물면적(전용･공용면적 합계)÷해당 부지 내 건물의 연면적)</t>
  </si>
  <si>
    <t>97, 98, 99, 100, 101, 102, 103, 104, 105, 106, 107</t>
  </si>
  <si>
    <t>98P 
 ○ 연간 사용료(대부료) = 재산가격(시행령 제31조에 따라 산출한 재산가격) × 사용료율(대부료율)
 102P
 ○ 사용, 대부료 부과, 징수 기준
  1) 건물 전체인 경우: 건물평가액+부지평가액 = 재산의 평가액
  2) 건물의 일부일 경우 : 건물과 토지의 전용면적에 공용면적을 합하여 산출
 • 【 건물의 공용면적 산출 산식 】
 해당건물의 총 공용면적 × 사용허가 또는 대부받은 자의 건물 전용면적/해당 건물의 총 전용면적
 • 【 부지의 공용면적 산출 산식 】
 해당부지의 총 공용면적 × 사용허가 또는 대부받은 자의 건물면적(전용･공용면적 합계)/ 해당 부지 내 건물의 연면적</t>
  </si>
  <si>
    <t>행정재산에 대해 사용허가를 연장하는 경우, 「공유재산 및 물품관리법」과 「상가임대차법」 중 어느 법을 적용해야하는 가요?</t>
  </si>
  <si>
    <t>○ 「공유재산법」은 제1조에서 그 목적을 ‘공유재산을 보호하고 그 취득, 유지,
 보존 및 운용과 처분의 적정을 도모함’으로 규정하면서, 제20조, 제21조 및
 제29조, 제31조 등에서 행정재산의 사용허가 및 일반재산의 대부계약에 있
 어 사용허가 및 대부계약의 절차와 방법, 사용ㆍ대부기간 및 갱신 등에 관하
 여 구체적으로 규정하고 있는 바,
 ○ 「상가임대차법」에서 「공유재산법」에도 불구하고 공유재산의 사용허가ㆍ대부
 의 기간 등에 대한 특례를 별도로 규정하고 있지 않는 한 「공유재산법」에서 정
 하고 있는 사용허가ㆍ대부기간의 갱신 규정이 우선 적용되어야 할 것입니다
 ○ 또한, 상가건물 임대차는 기본적으로 당사자가 사경제 주체로서 서로 대등한
 위치에서 행하는 사법상의 계약임을 전제로 하고 있음을 비추어볼 때, 본 사
 안과 같은 행정재산의 사용허가는 관리청이 공권력을 가진 우월한 지위에서
 행하는 행정처분으로서 특정인에게 행정재산을 사용할 수 있는 권리를 설정
 해주는 일종의 특허에 해당하므로, 「상가임대차법」이 적용되지 않는다 할 것
 입니다.</t>
  </si>
  <si>
    <t>2023 공유재산 질의회신 및 감사 사례집</t>
  </si>
  <si>
    <t>106</t>
  </si>
  <si>
    <t>○ 「공유재산법」은 제1조에서 그 목적을 ‘공유재산을 보호하고 그 취득, 유지,
 보존 및 운용과 처분의 적정을 도모함’으로 규정하면서, 제20조, 제21조 및
 제29조, 제31조 등에서 행정재산의 사용허가 및 일반재산의 대부계약에 있
 어 사용허가 및 대부계약의 절차와 방법, 사용ㆍ대부기간 및 갱신 등에 관하
 여 구체적으로 규정하고 있는 바,
 ○ 「상가임대차법」에서 「공유재산법」에도 불구하고 공유재산의 사용허가ㆍ대부
 의 기간 등에 대한 특례를 별도로 규정하고 있지 않는 한 「공유재산법」에서 정
 하고 있는 사용허가ㆍ대부기간의 갱신 규정이 우선 적용되어야 할 것입니다
 ○ 또한, 상가건물 임대차는 기본적으로 당사자가 사경제 주체로서 서로 대등한
 위치에서 행하는 사법상의 계약임을 전제로 하고 있음을 비추어볼 때, 본 사
 안과 같은 행정재산의 사용허가는 관리청이 공권력을 가진 우월한 지위에서
 행하는 행정처분으로서 특정인에게 행정재산을 사용할 수 있는 권리를 설정
 해주는 일종의 특허에 해당하므로, 「상가임대차법」이 적용되지 않는다 할 것
 입니다.</t>
  </si>
  <si>
    <t>박창범(2262)</t>
  </si>
  <si>
    <t>「공유재산 및 물품 관리법 시행령」제29조제1항제2호에서의 '해당 지방자치단체에 거주하는' 에서의 거주의 의미는 무엇인가요?
 &gt;&gt; 근거자료 미제출</t>
  </si>
  <si>
    <t>○ 「공유재산 및 물품 관리법 시행령」제29조제1항제2호에서의 일단의 면적이 1만제곱미터 이하인 농경지를 경작의 목적으로 해당 지방자치단체에 거주하는 농업인에게 대부하는 경우에는 수의계약으로 대부할 수 있다고 규정하고 있습니다. 
 ○ 이와 같이 대통령령 제29324호에서 '농업인'을 '해당 지방자치단체에 거주하는 농업인'으로 개정한 취지는 
 • 당해 자치단체에 주소를 두고 생활하면서 
 • 세금을 납부하고 있는 주민 중 
 • 농업을 경영하거나 이에 종사하는 자에게 
  자치단체 경작용재산을 수의계약으로 대부할 수 있도록 혜택을 부여하여 그 주민의 경제적 혜택과 복리를 증진하기 위한 입법 목적일 것이므로 
 ○ 시행령에서 말하는 '거주'는 해당 자치단체에 주민등록을 두고 있는 자로 보는 것이 타당합니다.</t>
  </si>
  <si>
    <t>2024 공유재산 실무과정 1기 책자</t>
  </si>
  <si>
    <t>○ 「공유재산 및 물품 관리법 시행령」제29조제1항제2호에서의 일단의 면적이 1만제곱미터 이하인 농경지를 경작의 목적으로 해당 지방자치단체에 거주하는 농업인에게 대부하는 경우에는 수의계약으로 대부할 수 있다고 규정
 ○ 이와 같이 대통령령 제29324호에서 '농업인'을 '해당 지방자치단체에 거주하는 농업인'으로 개정한 취지는 당해 자치단체에 주소를 두고 생활하면서 세금을 납부하고 있는 주민 중 농업을 경영하거나 이에 종사하는 자에게 자치단체 경작용재산을 수의계약으로 대부할 수 있도록 혜택을 부여하여 그 주민의 경제적 혜택과 복리를 증진하기 위한 입법 목적일 것이므로 해당 자치단체에 주민등록을 두고 있는 자로 보는 것이 타당</t>
  </si>
  <si>
    <t>공유재산 변상금이란 무엇인가요?</t>
  </si>
  <si>
    <t>○ 공유재산 변상금은 「공유재산 및 물품 관리법」 제81조 및 같은 법 시행령 제81조에 근거하여 부과되는 금액으로
 ○ 공유재산을 대부 또는 사용허가 등을 받지 아니하고 점유･사용하였을 경우, 또는 대부･사용허가 기간이 끝난 후 다시 대부 또는 사용허가 등을 받지 아니하고 공유재산을 계속 점유하거나 사용･수익한 자를 포함한 경우 부과하는 일종의 징벌적 행정처분으로 
 ○ 부과기준은 해당 재산의 사용료나 대부료의 100분의 120에 상당하는 금액입니다.</t>
  </si>
  <si>
    <t>250</t>
  </si>
  <si>
    <t>가. 근 거
 ❍ ｢공유재산 및 물품 관리법｣ 제81조, 같은 법 시행령 제81조
 나. 의 의
 ❍ 공유재산을 대부 또는 사용허가 등을 받지 아니하고 점유･사용하였을 경우 해당 재산의
 사용료나 대부료의 100분의 120에 상당하는 금액을 부과하는 일종의 징벌적 행정처분임
 ❍ 대부 또는 사용허가 기간이 끝난 후 다시 대부 또는 사용허가 등을 받지 아니하고
 공유재산을 계속 점유하거나 사용･수익한 자를 포함함</t>
  </si>
  <si>
    <t>김태영(2268)</t>
  </si>
  <si>
    <t>변상금 분할납부가 가능한가요?</t>
  </si>
  <si>
    <t>○ 「공유재산 및 물품 관리법 시행령」 제81조에 따라, 변상금이 50만 원을 초과하는 경우, 시중은행 1년 만기 정기예금의 평균 수신금리를 고려하여 행정안전부장관이 고시한 이자율을 적용한 이자를 붙여 최대 3년 범위 내에서 분할납부를 허용할 수 있습니다.
 ○ 이 경우 최초로 변상금을 부과·고지할 때에는 분할납부 대상 금액, 납부기한 및 산출근거를 명시한 문서로 통지하여야 합니다.
 ○ 변상금은 납부기한 경과 시 연체료가 발생하므로, 기한 경과 후에는 분할납부 신청이 불가합니다.
 ○ 분할납부를 허용한 경우에도, 분납기한 도래 전 잔여 변상금을 일시 납부하면 잔여 기간에 대한 분납이자는 면제됩니다.</t>
  </si>
  <si>
    <t>259, 260</t>
  </si>
  <si>
    <t>6. 분할 납부
 가. 변상금은 대통령령으로 정하는 바에 따라 나누어 내게 할 수 있음(법 제81조제2항)
 나. 분할납부 대상(시행령 제81조)
 ❍ 변상금이 50만원을 초과하는 경우에는 시중은행의 1년만기 정기예금의 평균 수신금리를
 고려하여 행정안전부 장관이 정하여 고시하는 이자율을 적용한 이자를 붙여 3년 이내의
 기간에 걸쳐 분할납부하게 할 수 있음
 _x0002_ 변상금을 징수할 때에는 그 금액, 납부기한, 납부 장소 및 변상금의 산출 근거를 분명하게
 적은 문서로 알려야 하며, 납부기한은 변상금 납부 통지일로 부터 60일 이내로 함
 다. 분할납부 방법
 ❍ 변상금 잔액에 대하여 시중은행의 1년만기 정기예금의 평균 수신금리를 고려하여 행정안
 전부 장관이 정하여 고시하는 이자율을 적용한 이자를 붙여 3년 이내의 기간으로 해당
 시중은행의 1년 만기 정기예금의 평균 수신금리를 고려하여 분할납부
 ❍ 이 경우에 최초로 변상금을 부과 고지하는 때에는 분할납부할 변상금, 납부기한 및
 산출근거를 기재한 문서로 통지하여야 함
 ❍ 변상금이 납부기한이 경과된 이후에는 연체료가 발생하므로 납부기한 경과 이후에는
 분할납부 신청 불가
 ❍ 변상금 분할납부 허용 후 분납기일 도래 전 잔여 분납 변상금을 모두 납부한 경우
 잔여기간에 대한 분납이자 납부를 면제함
 라. 분할납부시 각 분납금에 대한 소멸시효
 ❍ 변상금 분납의 경우 각 기한이 도래하는 때부터 소멸시효가 진행</t>
  </si>
  <si>
    <t>공유재산 매수신청 절차가 어떻게 되나요?</t>
  </si>
  <si>
    <t>매각 계약 절차에 관련된 링크만 제공</t>
  </si>
  <si>
    <t>200</t>
  </si>
  <si>
    <t>200P 3. 계약절차의 가. 매각 흐름도(예시)
 매각 계약 절차에 관련된 링크만 제공</t>
  </si>
  <si>
    <t>김수연(2264)</t>
  </si>
  <si>
    <t>공유재산 일반재산의 처분시 수의계약 요건은 어떻게 되나요?</t>
  </si>
  <si>
    <t>○ 「공유재산 및 물품 관리법」 제29조제1항 및 같은 법 시행령 제38조제1항에 따라, 아래에 어느 하나에 해당하는 경우 수의계약으로 매각할 수 있습니다. 세부 적용대상은 다음과 같습니다.
 1. 국가나 다른 지방자치단체가 공용 또는 공공용으로 사용하려는 경우
 2. 제29조제5항제3호에 따른 대부계약의 조건에 따라 대부재산을 대부받은 자에게 매각하는 경우
 3. 제31조제2항 각 호의 방법에 따라 산출한 재산가격이 3천만원 이하인 재산을 매각하는 경우
 4. 「건축법」 제57조제1항에 따른 최소 분할면적에 못 미치는 건물이 없는 토지의 인접 토지소유자가 1인인 경우 그 토지를 그 인접토지 소유자에게 매각하는 경우
 5. 지방자치단체가 건립한 아파트ㆍ연립주택ㆍ공영주택 및 그 부지를 국가보훈부장관이 지정하는 국가유공자 또는 「국민기초생활 보장법」에 따른 수급자에게 매각하는 경우
 6. 「관광진흥법」에 따른 개발사업의 시행으로 조성된 재산을 입주계획에 따라 정해진 지구에 입주하는 실수요자에게 매각하는 경우
 7. 「농어촌정비법」에 따른 생활환경정비사업을 지원 또는 권장하기 위하여 주택 또는 공공이용시설 부지로 사용하게 될 재산을 마을주민에게 매각하는 경우 및 주민 공동이용시설을 설치하기 위하여 주민단체에 매각하는 경우
 8. 외교상 또는 국방상의 이유로 재산의 매각을 비밀리에 할 필요가 있는 경우
 9. 천재지변이나 그 밖의 재해가 발생하여 재해복구 또는 구호의 목적으로 재산을 처분하는 경우
 10. 「수도권정비계획법 시행령」 제3조제1호부터 제3호까지 및 제5호에 따른 수도권 인구집중유발시설을 지방으로 이전하기 위하여 해당 시설을 이전하는 자에게 재산을 매각하는 경우
 11. 주식의 매각을 투자매매업자ㆍ투자중개업자에게 위탁하는 경우
 12. 지방자치단체가 취급하던 업무를 해당 지방자치단체 외의 자에게 포괄하여 이관하면서 이관되는 업무에 제공되고 있던 재산을 이관받는 자에게 매각하는 경우
 13. 지방자치단체가 유아교육 또는 아동복지사업을 지원하기 위하여 유아교육 또는 아동복지사업을 하는 사회복지법인 또는 「공익법인의 설립ㆍ운영에 관한 법률」을 적용받는 어린이육영단체에 재산을 매각하는 경우
 14. 다음 각 목의 어느 하나에 해당하는 기관에 그 목적사업에 필요한 재산을 매각하는 경우
 가. 「지방공기업법」에 따라 설립된 법인
 나. 「공공기관의 운영에 관한 법률」 제4조제1항제1호부터 제3호까지의 규정에 따른 기관 중 기획재정부장관이 공공기관으로 지정한 기관(이하 “공공기관”이라 한다)
 다. 「공무원연금법」에 따라 설립된 공무원연금공단
 라. 「대한지방행정공제회법」에 따라 설립된 대한지방행정공제회
 마. 「방송법」에 따른 한국방송공사
 바. 「한국교육방송공사법」에 따른 한국교육방송공사
 사. 「전자정부법」에 따라 설립된 한국지역정보개발원
 15. 다른 법률에 따라 해당 재산을 양여하거나 무상으로 대부할 수 있는 자에게 그 재산을 매각하는 경우
 16. 「국토의 계획 및 이용에 관한 법률」 제97조에 따라 용도가 정해진 토지를 그 정해진 목적에 사용하도록 해당 도시ㆍ군계획사업시행자에게 매각하는 경우
 17. 국가보훈부장관이 지정하는 국가유공자 집단복지공장이 직접 사용할 업무용 토지를 매각하는 경우
 18. 「농어촌정비법」 제82조에 따른 농어촌 관광휴양단지로 조성된 재산을 농어민에게 매각하는 경우
 19. 「농어촌정비법」 제78조제1항에 따른 농공단지사업을 시행하는 자에게 해당 사업에 사용할 토지를 매각하는 경우
 20. 재공고 일반입찰에 부쳤으나 입찰자 또는 낙찰자가 없는 경우
 21. 「도서ㆍ벽지 교육진흥법」에 따른 도서ㆍ벽지에 있는 학교를 폐지하는 경우 그 학교재산을 청소년교육과 지역주민의 복리증진사업을 위하여 다음 각 목의 어느 하나에 해당하는 자에게 매각하는 경우
 가. 「사립학교법」 제2조제2항에 따른 학교법인
 나. 「사회복지사업법」 제2조제3호에 따른 사회복지법인
 다. 「공익법인의 설립ㆍ운영에 관한 법률」 제2조에 따른 공익법인
 라. 그 밖의 비영리법인
 22. 제21호에 따른 도서ㆍ벽지 외의 읍ㆍ면 지역에 있는 학교를 폐지하고 그 학교재산을 학교법인에 매각하는 경우
 23. 재산의 위치ㆍ형태ㆍ용도 등으로 보아 일반입찰에 부치기 곤란하거나 계약의 목적 또는 성질상 수의계약으로 하는 것이 불가피한 경우로서 지방자치단체의 조례로 그 내용 및 범위를 정한 경우
 24. 「전통시장 및 상점가 육성을 위한 특별법」 제2조제6호에 따른 시장정비사업을 위하여 사업시행자, 점유자 또는 사용자에게 사업 시행에 필요한 재산을 매각하는 경우
 25. 삭제
 26. 「장사 등에 관한 법률」 제2조제9호에 따른 봉안시설의 설치를 위하여 재산을 매각하는 경우
 27. 동일인 소유의 사유지에 둘러싸여 고립된 토지를 그 사유지의 소유자에게 매각하는 경우
 28. 지역경제를 활성화하기 위하여 지방자치단체의 조례로 정하는 기준에 적합한 시설로서 해당 지역에 거주하는 상시 종업원의 수가 30명 이상이거나 원자재의 30퍼센트 이상을 해당 지역에서 조달하려는 기업의 공장 또는 연구시설을 유치하기 위하여 매각하는 경우
 29. 「주택법」에 따른 주택건설사업에 편입되는 토지를 행정안전부장관이 정하는 기준에 따라 매각하는 경우
 30. 「사립학교법」 제2조제2항에 따른 학교법인에 「초ㆍ중등교육법」 제2조에 따른 학교 또는 「고등교육법」 제2조에 따른 학교의 설립에 필요한 부지를 매각하는 경우
 31. 지방자치단체와 해당 지방자치단체 외의 자가 공유하고 있는 재산을 그 재산을 공유하고 있는 자에게 매각하는 경우로서, 지방자치단체가 소유한 지분의 면적이 특별시ㆍ광역시 지역에 소재하는 경우에는 300제곱미터 이하, 특별자치시, 도 또는 제주특별자치도의 동(洞)지역에 소재하는 경우에는 500제곱미터 이하, 특별자치시, 도 또는 제주특별자치도의 읍ㆍ면 지역에 소재하는 경우에는 1천제곱미터 이하인 토지이고, 지방자치단체 외의 자의 공유지분율이 50퍼센트 이상인 경우
 32. 사유지에 건축되거나 설치된 지방자치단체 소유의 건물이나 공작물로서 그 건물이나 공작물의 위치, 규모, 형태 및 용도 등을 고려하여 해당 재산을 그 사유지의 소유자에게 매각하는 경우
 33. 지식재산의 내용상 그 실시(「특허법」 제2조제3호, 「실용실안법」 제2조제3호 및 「디자인보호법」 제2조제7호에 따른 실시를 말한다. 이하 같다)에 특정인의 기술이나 설비가 필요하여 일반입찰에 부치기 곤란한 경우
 34. 「지방자치분권 및 지역균형발전에 관한 특별법 시행령」 제44조의2제1항에 따라 지방자치단체가 자금을 출자한 대상의 주주 등 출자자에게 그 대상의 지분증권을 매각하는 경우
 35. 「지방자치분권 및 지역균형발전에 관한 특별법 시행령」 제44조의2제1항제2호에 따라 지방자치단체가 자금을 출자한 대상 중 주식회사에 그 목적사업에 필요한 재산을 행정안전부장관이 정하여 고시하는 기준에 따라 매각하는 경우
 ② 상반된 이해관계인 사이에 장기간에 걸쳐서 해결하기 극히 곤란한 사실상 또는 소송상 분쟁이 있는 재산이나 수의계약으로 매각하기가 곤란하다고 인정되는 재산은 제1항에도 불구하고 일반입찰로 매각하여야 한다.</t>
  </si>
  <si>
    <t>「공유재산 및 물품 관리법 시행령」 제38조제1항</t>
  </si>
  <si>
    <t>제29조(계약의 방법) ① 일반재산을 대부하거나 매각하는 계약을 체결할 때에는 일반입찰에 부쳐야 한다. 다만, 대통령령으로 정하는 경우에는 제한경쟁 또는 지명경쟁에 부치거나 수의계약으로 할 수 있으며, 증권의 경우에는 「자본시장과 금융투자업에 관한 법률」 제9조제9항에 따른 증권매출의 방법으로 하며, 이 법 제4조제1항제2호 및 제3호의 일반재산을 매각하는 경우에는 제76조제3항을 준용한다.&lt;개정 2010. 2. 4., 2015. 1. 20., 2021. 4. 20.&gt;
 제38조(수의계약으로 매각할 수 있는 경우 등) ① 지방자치단체의 장은 일반재산이 다음 각 호의 어느 하나에 해당하는 경우에는 법 제29조제1항 단서에 따라 수의계약으로 매각할 수 있다.&lt;개정 2009. 12. 15., 2010. 6. 28., 2010. 8. 4., 2012. 4. 10., 2013. 3. 23., 2014. 7. 7., 2014. 11. 19., 2015. 2. 16., 2015. 7. 20., 2016. 7. 12., 2017. 7. 26., 2018. 1. 9., 2018. 9. 18., 2023. 4. 11., 2025. 1. 7.&gt;
  1. 국가나 다른 지방자치단체가 공용 또는 공공용으로 사용하려는 경우
  2. 제29조제5항제3호에 따른 대부계약의 조건에 따라 대부재산을 대부받은 자에게 매각하는 경우
  3. 제31조제2항 각 호의 방법에 따라 산출한 재산가격이 3천만원 이하인 재산을 매각하는 경우
  4. 「건축법」 제57조제1항에 따른 최소 분할면적에 못 미치는 건물이 없는 토지의 인접 토지소유자가 1인인 경우 그 토지를 그 인접토지 소유자에게 매각하는 경우
  5. 지방자치단체가 건립한 아파트ㆍ연립주택ㆍ공영주택 및 그 부지를 국가보훈부장관이 지정하는 국가유공자 또는 「국민기초생활 보장법」에 따른 수급자에게 매각하는 경우
  6. 「관광진흥법」에 따른 개발사업의 시행으로 조성된 재산을 입주계획에 따라 정해진 지구에 입주하는 실수요자에게 매각하는 경우
  7. 「농어촌정비법」에 따른 생활환경정비사업을 지원 또는 권장하기 위하여 주택 또는 공공이용시설 부지로 사용하게 될 재산을 마을주민에게 매각하는 경우 및 주민 공동이용시설을 설치하기 위하여 주민단체에 매각하는 경우
  8. 외교상 또는 국방상의 이유로 재산의 매각을 비밀리에 할 필요가 있는 경우
  9. 천재지변이나 그 밖의 재해가 발생하여 재해복구 또는 구호의 목적으로 재산을 처분하는 경우
  10. 「수도권정비계획법 시행령」 제3조제1호부터 제3호까지 및 제5호에 따른 수도권 인구집중유발시설을 지방으로 이전하기 위하여 해당 시설을 이전하는 자에게 재산을 매각하는 경우
  11. 주식의 매각을 투자매매업자ㆍ투자중개업자에게 위탁하는 경우
  12. 지방자치단체가 취급하던 업무를 해당 지방자치단체 외의 자에게 포괄하여 이관하면서 이관되는 업무에 제공되고 있던 재산을 이관받는 자에게 매각하는 경우
  13. 지방자치단체가 유아교육 또는 아동복지사업을 지원하기 위하여 유아교육 또는 아동복지사업을 하는 사회복지법인 또는 「공익법인의 설립ㆍ운영에 관한 법률」을 적용받는 어린이육영단체에 재산을 매각하는 경우
  14. 다음 각 목의 어느 하나에 해당하는 기관에 그 목적사업에 필요한 재산을 매각하는 경우
  가. 「지방공기업법」에 따라 설립된 법인
  나. 「공공기관의 운영에 관한 법률」 제4조제1항제1호부터 제3호까지의 규정에 따른 기관 중 기획재정부장관이 공공기관으로 지정한 기관(이하 “공공기관”이라 한다)
  다. 「공무원연금법」에 따라 설립된 공무원연금공단
  라. 「대한지방행정공제회법」에 따라 설립된 대한지방행정공제회
  마. 「방송법」에 따른 한국방송공사
  바. 「한국교육방송공사법」에 따른 한국교육방송공사
  사. 「전자정부법」에 따라 설립된 한국지역정보개발원
  15. 다른 법률에 따라 해당 재산을 양여하거나 무상으로 대부할 수 있는 자에게 그 재산을 매각하는 경우
  16. 「국토의 계획 및 이용에 관한 법률」 제97조에 따라 용도가 정해진 토지를 그 정해진 목적에 사용하도록 해당 도시ㆍ군계획사업시행자에게 매각하는 경우
  17. 국가보훈부장관이 지정하는 국가유공자 집단복지공장이 직접 사용할 업무용 토지를 매각하는 경우
  18. 「농어촌정비법」 제82조에 따른 농어촌 관광휴양단지로 조성된 재산을 농어민에게 매각하는 경우
  19. 「농어촌정비법」 제78조제1항에 따른 농공단지사업을 시행하는 자에게 해당 사업에 사용할 토지를 매각하는 경우
  20. 재공고 일반입찰에 부쳤으나 입찰자 또는 낙찰자가 없는 경우
  21. 「도서ㆍ벽지 교육진흥법」에 따른 도서ㆍ벽지에 있는 학교를 폐지하는 경우 그 학교재산을 청소년교육과 지역주민의 복리증진사업을 위하여 다음 각 목의 어느 하나에 해당하는 자에게 매각하는 경우
  가. 「사립학교법」 제2조제2항에 따른 학교법인
  나. 「사회복지사업법」 제2조제3호에 따른 사회복지법인
  다. 「공익법인의 설립ㆍ운영에 관한 법률」 제2조에 따른 공익법인
  라. 그 밖의 비영리법인
  22. 제21호에 따른 도서ㆍ벽지 외의 읍ㆍ면 지역에 있는 학교를 폐지하고 그 학교재산을 학교법인에 매각하는 경우
  23. 재산의 위치ㆍ형태ㆍ용도 등으로 보아 일반입찰에 부치기 곤란하거나 계약의 목적 또는 성질상 수의계약으로 하는 것이 불가피한 경우로서 지방자치단체의 조례로 그 내용 및 범위를 정한 경우
  24. 「전통시장 및 상점가 육성을 위한 특별법」 제2조제6호에 따른 시장정비사업을 위하여 사업시행자, 점유자 또는 사용자에게 사업 시행에 필요한 재산을 매각하는 경우
  25. 삭제&lt;2018. 1. 9.&gt;
  26. 「장사 등에 관한 법률」 제2조제9호에 따른 봉안시설의 설치를 위하여 재산을 매각하는 경우
  27. 동일인 소유의 사유지에 둘러싸여 고립된 토지를 그 사유지의 소유자에게 매각하는 경우
  28. 지역경제를 활성화하기 위하여 지방자치단체의 조례로 정하는 기준에 적합한 시설로서 해당 지역에 거주하는 상시 종업원의 수가 30명 이상이거나 원자재의 30퍼센트 이상을 해당 지역에서 조달하려는 기업의 공장 또는 연구시설을 유치하기 위하여 매각하는 경우
  29. 「주택법」에 따른 주택건설사업에 편입되는 토지를 행정안전부장관이 정하는 기준에 따라 매각하는 경우
  30. 「사립학교법」 제2조제2항에 따른 학교법인에 「초ㆍ중등교육법」 제2조에 따른 학교 또는 「고등교육법」 제2조에 따른 학교의 설립에 필요한 부지를 매각하는 경우
  31. 지방자치단체와 해당 지방자치단체 외의 자가 공유하고 있는 재산을 그 재산을 공유하고 있는 자에게 매각하는 경우로서, 지방자치단체가 소유한 지분의 면적이 특별시ㆍ광역시 지역에 소재하는 경우에는 300제곱미터 이하, 특별자치시, 도 또는 제주특별자치도의 동(洞)지역에 소재하는 경우에는 500제곱미터 이하, 특별자치시, 도 또는 제주특별자치도의 읍ㆍ면 지역에 소재하는 경우에는 1천제곱미터 이하인 토지이고, 지방자치단체 외의 자의 공유지분율이 50퍼센트 이상인 경우
  32. 사유지에 건축되거나 설치된 지방자치단체 소유의 건물이나 공작물로서 그 건물이나 공작물의 위치, 규모, 형태 및 용도 등을 고려하여 해당 재산을 그 사유지의 소유자에게 매각하는 경우
  33. 지식재산의 내용상 그 실시(「특허법」 제2조제3호, 「실용실안법」 제2조제3호 및 「디자인보호법」 제2조제7호에 따른 실시를 말한다. 이하 같다)에 특정인의 기술이나 설비가 필요하여 일반입찰에 부치기 곤란한 경우
  34. 「지방자치분권 및 지역균형발전에 관한 특별법 시행령」 제44조의2제1항에 따라 지방자치단체가 자금을 출자한 대상의 주주 등 출자자에게 그 대상의 지분증권을 매각하는 경우
  35. 「지방자치분권 및 지역균형발전에 관한 특별법 시행령」 제44조의2제1항제2호에 따라 지방자치단체가 자금을 출자한 대상 중 주식회사에 그 목적사업에 필요한 재산을 행정안전부장관이 정하여 고시하는 기준에 따라 매각하는 경우
  ② 상반된 이해관계인 사이에 장기간에 걸쳐서 해결하기 극히 곤란한 사실상 또는 소송상 분쟁이 있는 재산이나 수의계약으로 매각하기가 곤란하다고 인정되는 재산은 제1항에도 불구하고 일반입찰로 매각하여야 한다.&lt;개정 2010. 8. 4., 2015. 7. 20.&gt;
 [전문개정 2009. 4. 24.]</t>
  </si>
  <si>
    <t>문중이 문중의 토지를 교육청에 기부채납하였으나, 기부채납한 토지가 폐교되어 지자체에 매각한 경우, 이러한 사안을 문중에게 사전에 알려야 할 의무가 있는지 및 지자체에 매각했던 사실에 문제가 없는지, 문중은 다시 기부재산을 반환받을 수 있는지
 &gt;&gt; 자료 미제출</t>
  </si>
  <si>
    <t>「공유재산 및 물품 관리법」 제7조에 따라 기부를 받은 경우에는 문중은 어떠한 조건없이 해당 교육청에 기부채납을 한 경우로 보아야 하는바, 기부채납 이후 기부재산에 관한 사항은 온전히 해당 교육청에서 판단하고 결정할 사항으로, 법상 사전에 문중에게 알려야 하거나 기부재산의 반환을 검토할 의무는 없을 것임</t>
  </si>
  <si>
    <t>Q. 기부채납 재산의 반환 가능여부
 문중이 문중의 토지를 교육청에 기부채납하였으나, 기부채납한 토지가 폐교되어 지자체에 매각한 경우, 이러한 사안을 문중에게 사전에 알려야 할 의무가 있는지 및 지자체에 매각했던 사실에 문제가 없는지, 문중은 다시 기부재산을 반환받을 수 있는지
 A. 「공유재산 및 물품 관리법」 제7조에 따라 기부를 받은 경우에는 문중은 어떠한 조건없이 해당 교육청에 기부채납을 한 경우로 보아야 하는바, 기부채납 이후 기부재산에 관한 사항은 온전히 해당 교육청에서 판단하고 결정할 사항으로, 법상 사전에 문중에게 알려야 하거나 기부재산의 반환을 검토할 의무는 없을 것임.</t>
  </si>
  <si>
    <t>김세영(2269)</t>
  </si>
  <si>
    <t>행정재산의 사용허가 시, 해당 건물의 일부가 출입통제구역인 경우 공용면적에서 제외할 수 있는지와 설비공간 등이 공용면적에 해당하는지 여부</t>
  </si>
  <si>
    <t>○참조조항 : 「지방자치단체 공유재산 운영기준」 제8조 및 &lt;별표3&gt;
 ○공유재산 운영기준에 따라 건물의 일부를 사용허가 하는 경우에는 건물과 토지의 전용면적에 공용면적을 합하여 산출하도록 정하고 있으며, 공용면적은특정인이 전용으로 사용하는 면적을 제외한 복도, 계단, 로비, 옥내 주차장
 등 건축물대장 상 공용부분과 같이 해당 건물을 공용 또는 간접적으로 사용하는 공간을 의미한다 할 것입니다.
 ○ 따라서, 본 사안 출입통제구역이 사용허가를 받은 자가 직ㆍ간접적으로 사용할 수 없는 경우에는 사용료 산출을 위한 전용 및 공용면적에서 모두 제외하여 산출할 수 있을 것이며, 설비공간 등은 사용허가를 받은 자가 간접적으로 사용하는 공간으로 판단되는 바, 사용료 산출을 위한 공용면적에 포함하는 것이 바람직할 것으로 사료됩니다.</t>
  </si>
  <si>
    <t>113</t>
  </si>
  <si>
    <t>Q. 행정재산의 사용허가 시, 해당 건물의 일부가 출입통제구역인 경우 공용면적에서 제외할 수 있는지와 설비공간 등이 공용면적에 해당하는지 여부
 A. ○참조조항 : 「지방자치단체 공유재산 운영기준」 제8조 및 &lt;별표3&gt;
 ○공유재산 운영기준에 따라 건물의 일부를 사용허가 하는 경우에는 건물과 토지의 전용면적에 공용면적을 합하여 산출하도록 정하고 있으며, 공용면적은특정인이 전용으로 사용하는 면적을 제외한 복도, 계단, 로비, 옥내 주차장
 등 건축물대장 상 공용부분과 같이 해당 건물을 공용 또는 간접적으로 사용하는 공간을 의미한다 할 것입니다.
 ○ 따라서, 본 사안 출입통제구역이 사용허가를 받은 자가 직ㆍ간접적으로 사용할 수 없는 경우에는 사용료 산출을 위한 전용 및 공용면적에서 모두 제외하여 산출할 수 있을 것이며, 설비공간 등은 사용허가를 받은 자가 간접적으로 사용하는 공간으로 판단되는 바, 사용료 산출을 위한 공용면적에 포함하는 것이 바람직할 것으로 사료됩니다.</t>
  </si>
  <si>
    <t>공유재산 관리계획 수립대상은?
 &gt;&gt; 자료 미제출</t>
  </si>
  <si>
    <t>○ 수립개요: 공유재산 관리계획은 지방자치단체가 공유재산의 취득과 처분을 결정하기 전에 지방의회의 의결을 받는 것을 의미
  ○ 다음 기준에 해당하는 토지와 건물 및 그 부대시설은 관리계획 수립대상입니다
  - (가격기준) 1건당 취득의 경우 20억 이상, 처분의 경우 10억 이상
  - (면적기준) 1건당 취득의 경우 6천㎡ 이상, 처분의 경우 5천㎡이상
  ○ 관리계획 수립 후 내용이 취소되거나 일부를 변경하는 경우에도 대상이 됩니다.
  - 사업목적 또는 용도가 변경된 경우, 공유재산 위치변경, 토지의 면적이나토지·건물가격이 30% 초과하여 증감 등</t>
  </si>
  <si>
    <t>공유재산심의 및 공유재산 관리계획 설명자료</t>
  </si>
  <si>
    <t>p2</t>
  </si>
  <si>
    <t>○ 수립개요: 공유재산 관리계획은 지방자치단체가 공유재산의 취득과 처분을 결정하기 전에 지방의회의 의결을 받는 것을 의미
  ○ 범 위: 토지와 건물 및 그 부대시설의 기준가격과 토지면적
  - (가격기준) 1건당 취득의 경우 20억 이상, 처분의 경우 10억 이상
  - (면적기준) 1건당 취득의 경우 6천㎡ 이상, 처분의 경우 5천㎡이상
  ○ 관리계획 수립 후 내용이 취소되거나 일부를 변경할 때
  - 사업목적 또는 용도가 변경된 경우, 공유재산 위치변경, 토지의 면적이나토지·건물가격이 30% 초과하여 증감 등</t>
  </si>
  <si>
    <t>이주영(2267)</t>
  </si>
  <si>
    <t>공유재산 관리계획 반영 시기
 &gt;&gt; 자료 미제출</t>
  </si>
  <si>
    <t>○ 반영시기: 기본계획 확정 후 예산의결前 시의회 의결(「공유재산 및 물품 관리법」\ 제10조)
  - 예산사업: 기본·실시설계 용역 예산의결 전
  - 비예산사업(기부채납 등) : 방침결정 후 사업추진 전</t>
  </si>
  <si>
    <t>p3</t>
  </si>
  <si>
    <t>○ 반영시기: 기본계획 확정 후 예산의결前 시의회 의결(공유재산법 제10조)
  - 예산사업: 기본·실시설계 용역 예산의결 전
  - 비예산사업(기부채납 등) : 방침결정 후 사업추진 전</t>
  </si>
  <si>
    <t>공유재산심의회 심의 대상은?
 &gt;&gt; 자료 미제출</t>
  </si>
  <si>
    <t>○ 기준가격 1억원 초과 공유재산의 취득․처분
  - 취 득: 매입, 기부채납, 무상귀속, 환지, 교환취득, 건물의 신(증)축 및 공작물의 설치, 출자, 기타 취득
  - 처 분: 매각, 양여, 교환처분, 건물의 멸실, 출자, 기타 처분
  ○ 용도의 변경 또는 폐지에 관한 사항
  - 행정재산의 용도를 변경(공용 ↔ 공공용 등)하거나 폐지하는 경우
  - 행정재산이 사실상 행정 목적으로 사용되지 않게 된 경우
  - 행정재산인 체육시설, 회의시설, 전시장 그 밖의 공공시설로서그 일부를 원래 용도로 사용하지 아니하기로 한 경우
  - 위탁재산의 개발을 위해 필요한 경우
  - 일반재산을 행정재산으로 용도 변경하려는 경우
  ○ 조례 제13조의2 행정재산의 관리위탁기간 두 번 이상 갱신에 관한 사항
  ○ 회계 간의 재산 무상이관
  ○ 법 제24조 또는 법 제34조 및 다른 법률에 따라 사용료 또는 대부료를 감면하는 경우
  ○ 심의회의 심의를 받은 후 취득․처분의 목적·용도·위치가 변경되거나, 해당 토지 면적 또는 토지·시설물의 기준가격이 30퍼센트를 초과하여 증감된 경우
  ○ 관리계획을 수립한 후 부득이한 사유로 그 내용을 취소할 경우
  ○ 그 밖에 공유재산에 관하여 재산관리관이 중요하다고 인정하는 사항</t>
  </si>
  <si>
    <t>p1-p2</t>
  </si>
  <si>
    <t>기준가격 1억원 초과 공유재산의 취득․처분
  - 취 득: 매입, 기부채납, 무상귀속, 환지, 무상귀속, 교환취득, 건물의 신(증)축 및 공작물의 설치, 출자, 기타 취득
  - 처 분: 매각, 양여, 교환처분, 건물의 멸실, 출자, 기타 처분
  ○ 용도의 변경 또는 폐지에 관한 사항
  - 행정재산의 용도를 변경(공용 ↔ 공공용 등)하거나 폐지하는 경우
  - 행정재산이 사실상 행정 목적으로 사용되지 않게 된 경우
  - 행정재산인 체육시설, 회의시설, 전시장 그 밖의 공공시설로서그 일부를 원래 용도로 사용하지 아니하기로 한 경우
  - 위탁재산의 개발을 위해 필요한 경우
  - 일반재산을 행정재산으로 용도 변경하려는 경우
  ○ 조례 제13조의2 행정재산의 관리위탁기간 두 번 이상 갱신에 관한 사항
  ○ 회계 간의 재산 무상이관
  ○ 법 제24조 또는 법 제34조 및 다른 법률에 따라 사용료 또는 대부료를감면하는 경우
  ○ 심의회의 심의를 받은 후 취득․처분의 목적·용도·위치가 변경되거나, 해당 토지 면적 또는 토지·시설물의 기준가격이 30퍼센트를 초과하여 증감된 경우
  ○ 관리계획을 수립한 후 부득이한 사유로 그 내용을 취소할 경우
  ○ 그 밖에 공유재산에 관하여 재산관리관이 중요하다고 인정하는 사항</t>
  </si>
  <si>
    <t>전경환(2265)</t>
  </si>
  <si>
    <t>공유재산심의회 절차 이행사항
 &gt;&gt; 자료 미제출</t>
  </si>
  <si>
    <t>○ 예산수반사업 ▷ 시의회 예산의결前 절차이행
  - 계획수립단계 : 예산담당관, 회계재산담당관 협의
  ▷ 예산담당관(사업비 예산편성), 회계재산담당관(공유재산심의, 관리계획)
  - 예산편성단계 : 공유재산심의 절차이행 여부 확인
  ▷ 공유재산심의 미 이행시 예산편성 배제, 사업추진 원천차단
 ○비예산사업/기부채납 * 기부채납은 기부신청서 접수 → 내부방침 확정후
  - 소관부서 : 재산가치, 조건수반등 검토 → 수락여부 결정
  ▷ 내부방침 확정 전 회계재산담당관 협조 이행
  ▷ 1억원 초과 시 공유재산심의 대상(소관부서→회계재산담당관)</t>
  </si>
  <si>
    <t>용도변경과 그 대상은 어떤것인가요?</t>
  </si>
  <si>
    <t>○ 공유재산의 용도변경은 일반재산을 행정재산으로 전환하거나 행정재산을 다른 행정목적으로 바꾸는 경우를 말합니다
 ○ 대상예시: 일반재산→행정재산(공용재산), 공용재산→공공용 재산, 공공용 재산→보존용재산 전환 등</t>
  </si>
  <si>
    <t>○ 일반재산을 행정재산으로 전환하거나 행정재산을 다른 행정목적으로 바꾸
 는 경우를 말함.
  ○ 일반재산을 행정재산(공용재산)으로, 공용재산을 공공용 재산으로, 공공용 재산을 보존용재산으로의 전환 등</t>
  </si>
  <si>
    <t>김여정(2266)</t>
  </si>
  <si>
    <t>「공유재산 및 물품 관리법」 제11조의 행정재산의 용도변경은 행정재산 대분류간 변경에만 해당되나요? 공용재산 또는 공공용 재산 내에서라도 관리부서변경 또는 사업 목적 등이 변경되었다면 행정목적의 용도변경으로 볼 수 있나요?
 &gt;&gt; 근거자료 미제출</t>
  </si>
  <si>
    <t>○ 「공유재산 및 물품 관리법」 제5조는 공유재산을 행정재산과 일반재산으로 구분하고, 행정재산은 다시 공용재산·공공용재산·기업용재산·보존용재산으로 세분하고 있습니다.
 ○ 법 제11조는 행정재산의 용도변경 또는 폐지가 가능한 경우를 다음과 같이 규정하고 있습니다.
  - 행정재산이 사실상 행정목적으로 사용되지 아니하게 된 경우
  - 체육시설·회의시설·전시장 등 공공시설의 일부를 원래 용도로 사용하지 아니하기로 한 경우
  - 법 제43조의3에 따른 위탁개발이 필요한 경우
  - 일반재산을 행정재산으로 용도 변경하려는 경우
 ○ 또한, 법 제16조제2항은 공유재산심의회의 심의대상으로 행정재산의 용도변경, 일반재산을 행정재산으로 변경하는 경우를 명시하고 있습니다.
 ○ 위 규정과 입법취지를 종합적으로 고려하면, 법 제11조의 ‘용도변경’은 행정재산의 대분류(공용·공공용·기업용·보존용) 간 변경을 의미하는 것으로 해석하는 것이 타당합니다.
 ○ 따라서 같은 행정재산 대분류 내에서 관리부서가 변경되거나 사업 목적이 일부 조정되는 것만으로는 법 제11조상의 ‘용도변경’에 해당한다고 보기 어렵습니다.
 이는 내부적 관리관계의 변경에 불과하며, 행정재산의 법적 성격(공용·공공용 등) 자체가 변경되는 경우에만 법 제11조의 용도변경 절차가 적용됩니다.</t>
  </si>
  <si>
    <t>○ 「공유재산 및 물품 관리법」 제5조에서 공유재산은 그 용도에 따라 행정재산과 일반재산으로 구분 행정재산은 공용재산, 공공용재산, 기업용재산, 보존용재산으로 구분 ○ 법 제11조에서 용도를 변경하거나 폐지하는 경우로서 1. 행정재산이 사실상 행정목적으로 사용하지 아니하게 된 경우 2. 행정재산인 국제경기장 등 체육시설, 국제회의장 등 회의시설, 국제전시장 등 전시장, 그 밖의 공공시설로서 그 일부를 원래 용도로 사용하지 아니하기로 한 경우 3. 법 제43조의3에 따른 위탁개발을 하기 위하여 필요한 경우 4. 일반재산을 행정재산으로 용도 변경하려는 경우를 규정 법 제16조제2항에서 공유재산심의회 심의대상으로 행정재산을 용도변경하는 경우와 일반재산을 행정재산으로 변경하는 경우를 규정 ○ 위와 같은 입법 취지를 고려할 때 행정재산의 용도변경이라 함은 법 제5조제2항 각 호의 용도 간 변경으로 보는 것이 타당함</t>
  </si>
  <si>
    <t>용도폐지와 그 대상은 어떤 것인가요?</t>
  </si>
  <si>
    <t>○ 공유재산의 용도폐지는 행정목적 본래의 기능을 상실한 공용재산, 공공용재산 등 행정재산에 대하여 기존 용도를 폐지하여 일반재산으로 전환하는 것을 말합니다.
 ○ 대상예시
  ① 청사･도로･공원 등 공용･공공용 재산 등의 행정재산이 사실상 사용되지 않게 된 경우
  ② 행정 목적으로 사용할 필요가 없게 된 경우</t>
  </si>
  <si>
    <t>○ 행정목적 본래의 기능을 상실한 공용재산, 공공용재산 등 행정재산에 대하
 여 기존 용도를 폐지하여 일반재산으로 전환하는 것을 말함
 ○ 청사･도로･공원 등 공용･공공용 재산 등의 행정재산이 사실상 사용되지 아니하거나 
 행정 목적으로 사용할 필요가 없게 된 경우</t>
  </si>
  <si>
    <t>김주홍(2261)</t>
  </si>
  <si>
    <t>현금이나 물품을 기부채납 할 수있나요?</t>
  </si>
  <si>
    <t>○ ｢공유재산 및 물품 관리법｣ 제2조제3호에 따른 기부채납이란 해당 지방자치단체 외의 자가 공유재산으로 편입되는 재산의 소유권을 무상으로 지방자치단체에 이전하여 지방자치단체가 이를 취득하는 것을 말합니다.
 ○ 지방자치단체는 법 제7조 및 시행령 제5조에 따라 행정재산 또는 일반재산으로 편입(증가) 가능한 재산을 기부채납 형태로 받을 수 있습니다.
 ○ 즉, 기부채납은 공유재산으로 편입(증가)되는 재산이어야 합니다. 따라서, 현금은 ｢공유재산 및 물품 관리법｣제4조에 의한 공유재산에 해당하지 않으므로, 금전의 투자를 기부채납 대상으로 보는 것은 인정하기는 어렵습니다.</t>
  </si>
  <si>
    <t>○ 기부채납이란 해당 지방자치단체 외의 자가 공유재산으로 편입되는 재산의 소유권을 무상으로 지방자치단체에 이전하여 지방자치단체가 이를 취득하는 것을 말함(법 제2조제3호) 
 ○ 지방자치단체는 행정재산 또는 일반재산으로 기부받을 수 있음 
 ○ 공유재산으로 편입(증가)되는 재산이어야 함 
 - 현금은 ｢공유재산 및 물품 관리법｣제4조에 의한 공유재산에 해당하지 않으므로 금전의 투자를 기부채납 대상으로 보는 것은 곤란함</t>
  </si>
  <si>
    <t>공유재산심의 및 관리계획을 생략할 수 있나요?
 &gt;&gt; 근거자료 미제출</t>
  </si>
  <si>
    <t>다음 내용에 해당하는 경우에는 공유재산심의 및 관리계획 수립 절차를 생략할 수 있습니다
 ○ 「공유재산 및 물품 관리법 시행령」제7조제3항각호에 해당하는 취득․처분
  1. 「공유재산 및 물품 관리법」이 아닌 다른 법률에 따른 무상귀속
  2. 「도시개발법」 등 다른 법률에 따른 환지
  3. 법원의 판결에 의한 소유권 등의 취득 또는 상실
  4. 「공익사업을 위한 토지 등의 취득 및 보상에 관한 법률」에 따른 취득(「국토의 계획 및 이용에 관한 법률」제2조제6호가목 나목 또는 마목의 기반시설을 설치·정비 또는 개량하는 경우만 해당한다)·처분
  5. 「도시 및 주거환경정비법」제68조에 따른 무상양여
  6. 「기업활동 규제완화에 관한 특별조치법」제14조에 따른 중소기업자에 대한 공장용지 매각 
  7. 지방의회의 의결 또는 동의를 받은 재산의 취득․처분 
  8. 「지방세법」제117조에 따른 물납
  9. 다른 법률에 따라 관리계획의 적용이 배제된 재산의 취득․처분
  10. 다른 법률에 따라 해당 지방자치단체의 취득․처분이 의무화된 재산 취득·처분
  11. 다른 법률에 따라 인가․허가 또는 사업승인 시 조건에 의하여 주된사업대상물에 딸린 공공시설의 취득
  12. 공유재산을 종전과 동일한 목적과 규모로 대체하는 재산의 취득(재산 위치가 변경되지 않는 경우를 전제로 함)
 ○ 「건축법」제57조 제1항에 따른 최소 분할면적에 미달하는 토지의 취득․처분
 ○ 기준가격 1억원 이하인 재산의 취득․처분</t>
  </si>
  <si>
    <t>하은지(2482)</t>
  </si>
  <si>
    <t>건물의 리모델링은 관리계획 수립대상인가요?</t>
  </si>
  <si>
    <t>○ 건물의 리모델링이 단순 구조변경, 보수 등으로 물건의 증감 또는 소유권의 변동이 없는 경우는 관리계획 수립대상에 해당하지 않음</t>
  </si>
  <si>
    <t>참조조항 : 「공유재산 및 물품 관리법」 제4조제1항, 제10조제1항
 ‌ ‌ 「공유재산법」 제10조제1항에 따라 자치단체의 장은 예산을 지방의회에 의결
 하기 전에 매년 공유재산의 취득과 처분에 관한 계획(관리계획)을 수립하여
 그 지방의회의 의결을 받도록 규정하고 있습니다.
 ‌ ‌ 부동산과 그 종물 등 같은 법 제4조제1항 각 호의 어느 하나에 해당하는 공
 유재산의 취득 또는 처분인 경우에는 관리계획을 수립하여야 할 것이나, 물건
 의 증감 또는 소유권의 변동이 없는 단순 리모델링은 관리계획 수립 대상에
 해당하지 않을 것으로 사료됩니다.</t>
  </si>
  <si>
    <t>다른 법률에서 규정하고 있는 공유재산 '사용료 등의 감면' 특례 조항은 어디에 있나요?</t>
  </si>
  <si>
    <t>공유재산 사용료 등의 감면 특례는 타 개별 법률에 규정되어 있으며, 현행 기준으로 총 158개의 법률에 특례 조항이 존재합니다. 
 ※ 다만, 특례 조항은 개정·폐지될 수 있으므로 최신 법령(국가법령정보센터 또는 행안부 운영기준)을 반드시 확인하시기 바랍니다.
 공유재산 관련 사용료·대부료 감면 특례를 규정한 주요 개별법은 다음과 같습니다.
 ○ 「2018 평창 동계올림픽대회 및 동계패럴림픽대회 지원 등에 관한 특별법」 제77조, 제79조
 ○ 「2023 순천만국제정원박람회 지원 및 사후활용에 관한 특별법」 제20조
 ○ 「5･18민주유공자예우 및 단체설립에 관한 법률」 제78조
 ○ 「경제자유구역 및 제주국제자유도시의 외국교육기관 설립･운영에 관한 특별법」 제13조
 ○ 「경제자유구역의 지정 및 운영에 관한 특별법」 제16조, 제17조
 ○ 「고도 보존 및 육성에 관한 특별법」 제20조
 ○ 「고엽제후유의증 등 환자지원 및 단체설립에 관한 법률」 제20조의2
 ○ 「공공기록물 관리에 관한 법률」 제46조의3
 ○ 「공공보건의료에 관한 법률」 제10조
 ○ 「공공주택 특별법」 제18조, 제40조의3
 ○ 「공연법」 제8조
 ○ 「공익법인의 설립･운영에 관한 법률」 제13조
 ○ 「과학관의 설립･운영 및 육성에 관한 법률」 제6조의6
 ○ 「과학기술분야 정부출연연구기관등의 설립･운영 및 육성에 관한 법률」 제7조
 ○ 「관광진흥법」 제76조
 ○ 「교육국제화특구의 지정･운영 및 육성에 관한 특별법」 제19조
 ○ 「지방자치분권 및 지역균형발전에 관한 특별법」 제29조
 ○ 「국가유공자 등 단체 설립에 관한 법률」 제13조의2
 ○ 「국립공원공단법」 제16조
 ○ 「국립농업박물관법」 제12조
 ○ 「국립대학법인 서울대학교 설립･운영에 관한 법률」 제22조
 ○ 「국립대학법인 인천대학교 설립･운영에 관한 법률」 제21조
 ○ 「국립묘지의 설치 및 운영에 관한 법률」 제11조의4, 제11조의9
 ○ 「국민체육진흥법」 제22조
 ○ 「국민 평생 직업능력 개발법」 제48조
 ○ 「국방과학연구소법」 제21조
 ○ 「국제경기대회 지원법」 제13조, 제22조
 ○ 「국제과학비즈니스벨트 조성 및 지원에 관한 특별법」 제23조, 제29조, 제31조
 ○ 「국토의 계획 및 이용에 관한 법률」 제65조
 ○ 「국회사무처법」 제10조
 ○ 「규제자유특구 및 지역특화발전특구에 관한 규제특례법」 제54조, 제127조, 제131조
 ○ 「금융중심지의 조성과 발전에 관한 법률」 제12조의2
 ○ 「금융혁신지원 특별법」 제26조
 ○ 「기업도시개발 특별법」 제26조
 ○ 「노인복지법」 제54조
 ○ 「녹색융합클러스터 조성 및 육성에 관한 법률」 제16조
 ○ 「녹색제품 구매촉진에 관한 법률」 제17조의3
 ○ 「농어촌마을 주거환경 개선 및 리모델링 촉진을 위한 특별법」 제17조, 제37조
 ○ 「농업인등의 농외소득 활동 지원에 관한 법률」 제14조
 ○ 「농촌진흥법」 제34조
 ○ 「대한노인회 지원에 관한 법률」 제4조
 ○ 「대한민국헌정회 육성법」 제3조
 ○ 「대한적십자사 조직법」 제23조
 ○ 「도서관법」 제35조
 ○ 「도시개발법」 제66조, 제69조
 ○ 「도시 및 주거환경정비법」 제57조, 제61조, 제97조, 제99조, 제100조, 101조(양여)
 ○ 「도시재생 활성화 및 지원에 관한 특별법」 제30조, 제30조의2, 제49조, 제54조
 ○ 「도시재정비 촉진을 위한 특별법」 제25조
 ○ 「도청이전을 위한 도시건설 및 지원에 관한 특별법」 제34조
 ○ 「독도의용수비대 지원법」 제15조
 ○ 「독립기념관법」 제14조
 ○ 「동북아역사재단 설립･운영에 관한 법률」 제15조
 ○ 「무역거래기반 조성에 관한 법률」 제12조
 ○ 「무형유산의 보전 및 진흥에 관한 법률」 제25조, 제47조
 ○ 「국가유산기본법」 제32조
 ○ 「물류시설의 개발 및 운영에 관한 법률」 제30조
 ○ 「민주화운동기념사업회법」 제15조
 ○ 「바르게살기운동조직 육성법」 제4조
 ○ 「법률구조법」 제28조
 ○ 「벤처기업육성에 관한 특별조치법」 제17조의4, 제19조
 ○ 「북한이탈주민의 보호 및 정착지원에 관한 법률」 제15조의2, 제24조의3
 ○ 「빈집 및 소규모주택 정비에 관한 특례법」 제45조, 제55조
 ○ 「사립학교법」 제35조
 ○ 「사회기반시설에 대한 민간투자법」 제19조
 ○ 「사회복지사업법」 제27조
 ○ 「산림복지 진흥에 관한 법률」 제37조
 ○ 「산림자원의 조성 및 관리에 관한 법률」 제63조
 ○ 「산업기술단지 지원에 관한 특례법」 제10조
 "○ 「산업입지 및 개발에 관한 법률」 제21조, 제23조, 제38조,
 제38조의6, 제46조의6, 제46조의7, 제46조의8"
 ○ 「산업집적활성화 및 공장설립에 관한 법률」 제22조의8, 제28조의3, 제34조
 ○ 「새마을운동조직 육성법」 제4조
 ○ 「새만금사업 추진 및 지원에 관한 특별법」 제17조, 제46조, 제58조
 ○ 「생물자원관의 설립 및 운영에 관한 법률」 제17조의2
 ○ 「서민의 금융생활 지원에 관한 법률」 제36조
 ○ 「세계유산의 보존･관리 및 활용에 관한 특별법」 제18조의2
 ○ 「소방산업의 진흥에 관한 법률」 제15조
 ○ 「소재･부품･장비산업 경쟁력 강화 및 공급망 안정화를 위한 특별조치법」 제31조
 ○ 「수산자원관리법」 제55조의2
 ○ 「스포츠산업 진흥법」 제17조
 ○ 「스포츠클럽법」 제15조
 ○ 「신에너지 및 재생에너지 개발･이용･보급 촉진법」 제26조
 ○ 「신행정수도 후속대책을 위한 연기･공주지역 행정중심복합도시 건설을 위한 특별법」 제22조, 제46조의3
 ○ 「아동복지법」 제62조
 ○ 「아시아문화중심도시 조성에 관한 특별법」 제19조, 제33조
 ○ 「여성기업지원에 관한 법률」 제16조
 ○ 「여수세계박람회 기념 및 사후활용에 관한 특별법」 제6조
 ○ 「영유아보육법」 제39조의2
 ○ 「외국인투자 촉진법」 제13조, 제13조의2
 ○ 「용산공원 조성 특별법」 제38조
 ○ 「울산과학기술원법」 제15조
 ○ 「일제하 일본군위안부 피해자에 대한 보호･지원 및 기념사업
 ○ 「임업 및 산촌 진흥촉진에 관한 법률」 제29조의3
 ○ 「자원봉사활동 기본법」 제16조
 ○ 「자유무역지역의 지정 및 운영에 관한 법률」 제18조, 제20조,
 ○ 「작은도서관 진흥법」 제9조
 ○ 「장애인기업활동 촉진법」 제15조
 ○ 「장애인복지법」 제48조
 ○ 「재해위험 개선사업 및 이주대책에 관한 특별법」 제17조
 ○ 「전통시장 및 상점가 육성을 위한 특별법」 제11조의2, 제17조의2, 제18조, 제19조, 제21조, 제40조
 ○ 「정보통신산업 진흥법」 제28조
 ○ 「제주특별자치도 설치 및 국제자유도시 조성을 위한 특별법」 제152조, 제165조, 제183조, 제222조, 제261조
 ○ 「중소기업창업 지원법」 제53조
 ○ 「중소기업협동조합법」 제9조
 ○ 「중･저준위 방사성폐기물 처분시설의 유치지역지원에 관한 특별법」 제11조
 ○ 「중증장애인생산품 우선구매 특별법」 제17조
 ○ 「지방공무원 교육훈련법」 제23조
 ○ 「지방문화원진흥법」 제15조
 ○ 「지방자치단체출연 연구원의 설립 및 운영에 관한 법률」 제15조
 ○ 「지역 개발 및 지원에 관한 법률」 제52조
 ○ 「지역 산업위기 대응 및 지역경제 회복을 위한 특별법」 제21조
 ○ 「지역중소기업 육성 및 혁신촉진 등에 관한 법률」 제18조, 제28조
 ○ 「참전유공자 예우 및 단체설립에 관한 법률」 제28조
 ○ 「첨단의료복합단지 육성에 관한 특별법」 제18조
 ○ 「청소년 기본법」 제55조, 제57조
 ○ 「체육시설의 설치･이용에 관한 법률」 제5조, 제6조
 ○ 「초지법」 제17조, 제18조
 ○ 「크루즈산업의 육성 및 지원에 관한 법률」 제8조
 ○ 「태권도 진흥 및 태권도공원 조성 등에 관한 법률」 제17조
 ○ 「특수임무유공자 예우 및 단체설립에 관한 법률」 제65조의2
 ○ 「폐광지역 개발 지원에 관한 특별법」 제11조의2, 제11조의3
 ○ 「폐교재산의 활용촉진을 위한 특별법」 제5조, 제6조
 ○ 「한국4에이치활동 지원법」 제5조의2
 ○ 「한국대학교육협의회법」 제10조
 ○ 「한국사학진흥재단법」 제16조
 ○ 「한국연구재단법」 제12조
 ○ 「한국자유총연맹 육성에 관한 법률」 제2조
 ○ 「한국장학재단 설립 등에 관한 법률」 제19조
 ○ 「한국전문대학교육협의회법」 제10조
 ○ 「한국청소년연맹 육성에 관한 법률」 제4조
 ○ 「한국학중앙연구원 육성법」 제3조
 ○ 「한국해양과학기술원법」 제11조
 ○ 「한국해양소년단연맹 육성에 관한 법률」 제3조
 ○ 「한국환경공단법」 제22조
 ○ 「항만공사법」 제27조
 ○ 「해양산업클러스터의 지정 및 육성 등에 관한 특별법」 제20조
 ○ 「해양치유자원의 관리 및 활용에 관한 법률」 제18조
 ○ 「해양환경관리법」 제105조
 ○ 「해외진출기업의 국내복귀 지원에 관한 법률」 제13조의2, 제13조의3
 ○ 「혁신도시 조성 및 발전에 관한 특별법」 제14조, 제46조
 ○ 「환경기술 및 환경산업 지원법」 제10조
 ○ 「환경친화적 자동차의 개발 및 보급 촉진에 관한 법률」 제11조의3
 ○ 「한국과학기술원법」 제11조
 ○ 「대구경북과학기술원법」 제9조
 ○ 「광주과학기술원법」 제9조
 ○ 「소비자생활협동조합법」 제9조
 ○ 「국가첨단전략산업 경쟁력 강화 및 보호에 관한 특별조치법」 제21조
 ○ 「박물관 및 미술관 진흥법」 제19조
 ○ 「지역문화진흥법」 제8조
 ○ 「광주 군 공항 이전 및 종전부지 개발 등에 관한 특별법」 제11조
 ○ 「국민기초생활 보장법」 제16조
 ○ 「농촌공간 재구조화 및 재생지원에 관한 법률」 제41조
 ○ 「대구경북통합신공항 건설을 위한 특별법」 제17조
 ○ 「도심융합특구 조성 및 육성에 관한 특별법」 제22조, 제35조, 제36조
 ○ 「도심항공교통 활용 촉진 및 지원에 관한 법률」 제16조
 ○ 「스마트농업 육성 및 지원에 관한 법률」 제22조
 ○ 「자연유산의 보존 및 활용에 관한 법률」 제47조
 ○ 「한국도로교통공단법」 제14조
 ○ 「해양재난구조대의 설치 및 운영에 관한 법률」 제16조</t>
  </si>
  <si>
    <t>2024 공유재산 업무편람
 '다른 법률 상의 공유재산 특례 목록'</t>
  </si>
  <si>
    <t>361, 362, 363, 364, 365, 366</t>
  </si>
  <si>
    <t>편람 내 참고자료 
 &gt;&gt; 해당 자료도 참조페이지가 많으면 361P만 참고하고 추가 자료는 링크 제공으로 변경</t>
  </si>
  <si>
    <t>류연희(2481)</t>
  </si>
  <si>
    <t>다른 법률에서 규정하고 있는 공유재산 '영구시설물 축조' 특례 조항은 어디에 있나요?</t>
  </si>
  <si>
    <t>공유재산 '영구시설물 축조' 특례는 타 개별 법률에 규정되어 있으며, 현행 기준으로 총 47개의 법률에 특례 조항이 존재합니다. 
 ※ 다만, 특례 조항은 개정·폐지될 수 있으므로 최신 법령(국가법령정보센터 또는 행안부 운영기준)을 반드시 확인하시기 바랍니다.
  공유재산 관련 사용료·대부료 감면 특례를 규정한 주요 개별법은 다음과 같습니다.
 ○ 「2018 평창 동계올림픽대회 및 동계패럴림픽대회 지원 등에 관한 특별법」 제77조, 제79조
 ○ 「경제자유구역 및 제주국제자유도시의 외국교육기관 설립･운영에 관한 특별법」 제13조
 ○ 「경제자유구역의 지정 및 운영에 관한 특별법」 제16조, 제17조
 ○ 「공공보건의료에 관한 법률」 제10조
 ○ 「공공주택 특별법」 제18조, 제40조의3
 ○ 「과학기술분야 정부출연연구기관등의 설립･운영 및 육성에 관한 법률」 제7조
 ○ 「국립묘지의 설치 및 운영에 관한 법률」 제11조의4, 제11조의9
 ○ 「국민 평생 직업능력 개발법」 제48조
 ○ 「국방과학연구소법」 제21조
 ○ 「국제과학비즈니스벨트 조성 및 지원에 관한 특별법」 제23조, 제29조, 제31조
 ○ 「도시개발법」 제66조, 제69조
 ○ 「도시 및 주거환경정비법」 제57조, 제61조, 제97조, 제99조, 제100조, 101조
 ○ 「도시재생 활성화 및 지원에 관한 특별법」 제30조, 제30조의2, 제49조, 제54조
 ○ 「도시재정비 촉진을 위한 특별법」 제25조
 ○ 「무역거래기반 조성에 관한 법률」 제12조
 ○ 「민간임대주택에 관한 특별법」 제36조
 ○ 「벤처기업육성에 관한 특별조치법」 제17조의4, 제19조
 ○ 「사회기반시설에 대한 민간투자법」 제19조
 ○ 「산업교육진흥 및 산학연협력촉진에 관한 법률」 제37조
 ○ 「산업기술단지 지원에 관한 특례법」 제10조
 ○ 「산업입지 및 개발에 관한 법률」 제21조, 제23조, 제38조, 제38조의6, 제46조의6, 제46조의7, 제46조의8
 ○ 「산업집적활성화 및 공장설립에 관한 법률」 제22조의8, 제28조의3, 제34조
 ○ 「새만금사업 추진 및 지원에 관한 특별법」 제17조, 제46조, 제58조
 ○ 「신에너지 및 재생에너지 개발･이용･보급 촉진법」 제26조
 ○ 「아시아문화중심도시 조성에 관한 특별법」 제19조, 제33조
 ○ 「연구개발특구의 육성에 관한 특별법」 제15조, 제24조
 ○ 「외국인투자 촉진법」 제13조, 제13조의2
 ○ 「자유무역지역의 지정 및 운영에 관한 법률」 제18조, 제20조, 제22조
 ○ 「전시산업발전법」 제26조
 ○ 「전통시장 및 상점가 육성을 위한 특별법」 제11조의2, 제17조의2, 제18조, 제19조, 제21조, 제40조
 ○ 「제주특별자치도 설치 및 국제자유도시 조성을 위한 특별법」 제152조, 제165조, 제183조, 제222조, 제261조
 ○ 「중･저준위 방사성폐기물 처분시설의 유치지역지원에 관한 특별법」 제11조
 ○ 「지역 개발 및 지원에 관한 법률」 제52조
 ○ 「첨단의료복합단지 육성에 관한 특별법」 제18조
 ○ 「초지법」 제17조, 제18조
 ○ 「태권도 진흥 및 태권도공원 조성 등에 관한 법률」 제17조
 ○ 「폐교재산의 활용촉진을 위한 특별법」 제5조, 제6조
 ○ 「한국해양과학기술원법」 제11조
 ○ 「항만공사법」 제27조
 ○ 「해양산업클러스터의 지정 및 육성 등에 관한 특별법」 제20조
 ○ 「해외진출기업의 국내복귀 지원에 관한 법률」 제13조의2, 제13조의3
 ○ 「혁신도시 조성 및 발전에 관한 특별법」 제14조, 제46조
 ○ 「환경친화적 자동차의 개발 및 보급 촉진에 관한 법률」 제11조의3
 ○ 「국가첨단전략산업 경쟁력 강화 및 보호에 관한 특별조치법」 제21조
 ○ 「노후계획도시 정비 및 지원에 관한 특별법」 제28조
 ○ 「농촌공간 재구조화 및 재생지원에 관한 법률」 제41조
 ○ 「도심융합특구 조성 및 육성에 관한 특별법」 제22조, 제35조, 제36조</t>
  </si>
  <si>
    <t>다른 법률에서 규정하고 있는 공유재산 '양여' 특례 조항은 어디에 있나요?</t>
  </si>
  <si>
    <t>공유재산 '양여' 특례는 타 개별 법률에 규정되어 있으며, 현행 기준으로 총 37개의 법률에 특례 조항이 존재합니다. 
 ※ 다만, 특례 조항은 개정·폐지될 수 있으므로 최신 법령(국가법령정보센터 또는 행안부 운영기준)을 반드시 확인하시기 바랍니다.
 공유재산 관련 사용료·대부료 감면 특례를 규정한 주요 개별법은 다음과 같습니다.
 ○ 「공익법인의 설립･운영에 관한 법률」 제13조
 ○ 「국립대학법인 서울대학교 설립･운영에 관한 법률」 제22조
 ○ 「국립대학법인 인천대학교 설립･운영에 관한 법률」 제21조
 ○ 「국방과학연구소법」 제21조
 ○ 「국방･군사시설 사업에 관한 법률」 제12조
 ○ 「국제경기대회 지원법」 제13조, 제22조
 ○ 「국토의 계획 및 이용에 관한 법률」 제65조
 ○ 「농어촌마을 주거환경 개선 및 리모델링 촉진을 위한 특별법」 제17조, 제37조
 ○ 「농촌진흥법」 제34조
 ○ 「도시 및 주거환경정비법」 제57조, 제61조, 제97조, 제99조, 제100조, 101조
 ○ 「도시철도법」 제11조
 ○ 「독립기념관법」 제14조
 ○ 「동학농민혁명 참여자 등의 명예회복에 관한 특별법」 제9조
 ○ 「사립학교법」 제35조
 ○ 「새마을운동조직 육성법」 제4조
 ○ 「소재･부품･장비산업 경쟁력 강화 및 공급망 안정화를 위한 특별조치법」 제31조
 ○ 「수산자원관리법」 제55조의2
 ○ 「신행정수도 후속대책을 위한 연기･공주지역 행정중심복합도시 건설을 위한 특별법」 제22조, 제46조의3
 ○ 「여수세계박람회 기념 및 사후활용에 관한 특별법」 제6조
 ○ 「연근해어업의 구조개선 및 지원에 관한 법률」 제19조
 ○ 「울산과학기술원법」 제15조
 ○ 「임업 및 산촌 진흥촉진에 관한 법률」 제29조의3
 ○ 「제주특별자치도 설치 및 국제자유도시 조성을 위한 특별법」 제152조, 제165조, 제183조, 제222조, 제261조
 ○ 「주한미군기지 이전에 따른 평택시 등의 지원 등에 관한 특별법」 제33조의2
 ○ 「중소기업진흥에 관한 법률」 제68조
 ○ 「폐광지역 개발 지원에 관한 특별법」 제11조의2, 제11조의3
 ○ 「학교용지 확보 등에 관한 특례법」 제7조
 ○ 「한국지방행정연구원 육성법」 제4조
 ○ 「한국청소년연맹 육성에 관한 법률」 제4조
 ○ 「한국학중앙연구원 육성법」 제3조
 ○ 「한국해양소년단연맹 육성에 관한 법률」 제3조
 ○ 「한국과학기술원법」 제11조
 ○ 「대구경북과학기술원법」 제9조
 ○ 「광주과학기술원법」 제9조
 ○ 「군사기지 및 군사시설 보호법」 제13조
 ○ 「농어촌정비법」 제112조
 ○ 「농촌공간 재구조화 및 재생지원에 관한 법률」 제41조</t>
  </si>
  <si>
    <t>다른 법률에서 규정하고 있는 공유재산 '장기 사용허가등'의 특례 조항은 어디에 있나요?</t>
  </si>
  <si>
    <t>공유재산 '장기 사용허가등' 특례는 타 개별 법률에 규정되어 있으며, 현행 기준으로 총 45개의 법률에 특례 조항이 존재합니다. 
 ※ 다만, 특례 조항은 개정·폐지될 수 있으므로 최신 법령(국가법령정보센터 또는 행안부 운영기준)을 반드시 확인하시기 바랍니다.
 공유재산 관련 사용료·대부료 감면 특례를 규정한 주요 개별법은 다음과 같습니다.
 ○ 「2018 평창 동계올림픽대회 및 동계패럴림픽대회 지원 등에 관한 특별법」 제77조, 제79조
 ○ 「경제자유구역 및 제주국제자유도시의 외국교육기관 설립･운영에 관한 특별법」 제13조
 ○ 「경제자유구역의 지정 및 운영에 관한 특별법」 제16조, 제17조
 ○ 「공공주택 특별법」 제18조, 제40조의3
 ○ 「과학기술분야 정부출연연구기관등의 설립･운영 및 육성에 관한 법률」 제7조
 ○ 「교육국제화특구의 지정･운영 및 육성에 관한 특별법」 제19조
 ○ 「국립농업박물관법」 제12조
 ○ 「국방과학연구소법」 제21조
 ○ 「국제과학비즈니스벨트 조성 및 지원에 관한 특별법」 제23조, 제29조, 제31조
 ○ 「규제자유특구 및 지역특화발전특구에 관한 규제특례법」 제54조, 제127조, 제131조
 ○ 「도시개발법」 제66조, 제69조
 ○ 「도시 및 주거환경정비법」 제57조, 제61조, 제97조, 제99조, 제100조, 101조
 ○ 「도시재생 활성화 및 지원에 관한 특별법」 제30조, 제30조의2, 제49조, 제54조
 ○ 「도시재정비 촉진을 위한 특별법」 제25조
 ○ 「무역거래기반 조성에 관한 법률」 제12조
 ○ 「민간임대주택에 관한 특별법」 제36조
 ○ 「벤처기업육성에 관한 특별조치법」 제17조의4, 제19조
 ○ 「북한이탈주민의 보호 및 정착지원에 관한 법률」 제15조의2, 제24조의3
 ○ 「산업입지 및 개발에 관한 법률」 제21조, 제23조, 제38조, 제38조의6, 제46조의6, 제46조의7, 제46조의8
 ○ 「새만금사업 추진 및 지원에 관한 특별법」 제17조, 제46조, 제58조
 ○ 「스포츠산업 진흥법」 제17조
 ○ 「신에너지 및 재생에너지 개발･이용･보급 촉진법」 제26조
 ○ 「아시아문화중심도시 조성에 관한 특별법」 제19조, 제33조
 ○ 「연구개발특구의 육성에 관한 특별법」 제15조, 제24조
 ○ 「외국인투자 촉진법」 제13조, 제13조의2
 ○ 「자유무역지역의 지정 및 운영에 관한 법률」 제18조, 제20조, 제22조
 ○ 「전시산업발전법」 제26조
 ○ 「전통시장 및 상점가 육성을 위한 특별법」 제11조의2, 제17조의2, 제18조, 제19조, 제21조, 제40조
 ○ 「제주특별자치도 설치 및 국제자유도시 조성을 위한 특별법」 제152조, 제165조, 제183조, 제222조, 제261조
 ○ 「지역 개발 및 지원에 관한 법률」 제52조
 ○ 「지역중소기업 육성 및 혁신촉진 등에 관한 법률」 제18조, 제28조
 ○ 「첨단의료복합단지 육성에 관한 특별법」 제18조
 ○ 「태권도 진흥 및 태권도공원 조성 등에 관한 법률」 제17조
 ○ 「폐광지역 개발 지원에 관한 특별법」 제11조의2, 제11조의3
 ○ 「폐교재산의 활용촉진을 위한 특별법」 제5조, 제6조
 ○ 「한국4에이치활동 지원법」 제5조의2
 ○ 「한국사학진흥재단법」 제16조
 ○ 「한국해양과학기술원법」 제11조
 ○ 「해양산업클러스터의 지정 및 육성 등에 관한 특별법」 제20조
 ○ 「해외진출기업의 국내복귀 지원에 관한 법률」 제13조의2, 제13조의3
 ○ 「환경친화적 자동차의 개발 및 보급 촉진에 관한 법률」 제11조의3
 ○ 「국가첨단전략산업 경쟁력 강화 및 보호에 관한 특별조치법」 제21조
 ○ 「노후계획도시 정비 및 지원에 관한 특별법」 제28조
 ○ 「농촌공간 재구조화 및 재생지원에 관한 법률」 제41조
 ○ 「도심융합특구 조성 및 육성에 관한 특별법」 제22조, 제35조, 제36조</t>
  </si>
  <si>
    <t>감정평가 시 감정평가법인은 어떻게 선정하나요?
 &gt;&gt;관련근거 미확인</t>
  </si>
  <si>
    <t>○ 감정평가의 공정성·중립성 확보를 위해 한국감정평가사협회에 감정평가법인 등을 추천 의뢰하고, 협회가 추천한 감정평가법인을 선정하여 감정평가를 수행합니다.</t>
  </si>
  <si>
    <t>감정평가 시 예산은 어떤 것을 사용하여야 하나요?
 &gt;&gt;관련근거 미확인</t>
  </si>
  <si>
    <t>○ 감정평가 비용은 회계재산담당관의 '효율적인 재산관리' 세부사업 내 편성된 '공유재산 감정평가 수수료' 예산을 사용합니다 ※ 예산사용 전 재산관리팀 사전협의 필수</t>
  </si>
  <si>
    <t>대부(사용)료 요율 기준은 어떤 법령을 참고해야하나요?</t>
  </si>
  <si>
    <t>○ 대부(사용)료율은 다음의 규정에 따릅니다.
  - 「공유재산 및 물품 관리법 시행령」 제31조(대부료율과 대부재산의 평가)
  - 「부산광역시 공유재산 및 물품 관리 조례」 제19조(대부료율)</t>
  </si>
  <si>
    <t>「공유재산 및 물품 관리법 시행령」 , 「부산광역시 공유재산 및 물품 관리 조례</t>
  </si>
  <si>
    <t>최지혜(2483)</t>
  </si>
  <si>
    <t>공립 학교 내 매점을 입찰 공고하여 낙찰자에게 1년으로 사용,수익 허가하였고, 사용자가 기간 만료 전 갱신을 요청하면서 그 기간을 5년으로 요구함사용수익허가를 갱신함에 있어 갱신기간은 이전의 허가기간을 넘지 못하는지, 5년 이내이면 가능한지
 &gt;&gt;자료 미제출</t>
  </si>
  <si>
    <t>입찰의 방법으로 행정재산을 사용수익허가 한 경우 사용기간 만료에 따른 1회 한정 사용허가갱신의 범위는 5년 이내에서 가능할 것이나,허가갱신 여부 및 그 범위에 대하여는 계약만료 시점에 그 재산의 사용목적이나 용도, 갱신의 필요성 등을 종합적으로 고려하여 지방자치단체의 장이 결정</t>
  </si>
  <si>
    <t>Q. 사용수익허가 갱신기간 관련
 공립 학교 내 매점을 입찰 공고하여 낙찰자에게 1년으로 사용,수익 허가하였고, 사용자가 기간 만료 전 갱신을 요청하면서 그 기간을 5년으로 요구함사용수익허가를 갱신함에 있어 갱신기간은 이전의 허가기간을 넘지 못하는지, 5년 이내이면 가능한지
 A. 입찰의 방법으로 행정재산을 사용수익허가 한 경우 사용기간 만료에 따른 1회 한정 사용허가갱신의 범위는 5년 이내에서 가능할 것이나,허가갱신 여부 및 그 범위에 대하여는 계약만료 시점에 그 재산의 사용목적이나 용도, 갱신의 필요성 등을 종합적으로 고려하여 지방자치단체의 장이 결정</t>
  </si>
  <si>
    <t>우리 시의 공유재산 무상 사용허가(대부) 기간은 어떻게 되나요?</t>
  </si>
  <si>
    <t>○ 행정재산의 무상 사용허가기간은 최대 3년이며 
 ○ 일반재산의 무상 대부기간은 1년을 원칙으로 합니다.</t>
  </si>
  <si>
    <t>2025년도 공유재산 무상 사용허가(대부) 기준 수립, 회계재산담당관-55414(2024.12.10)</t>
  </si>
  <si>
    <t>○ 행정재산: 3년 
 ○ 일반재산: 1년</t>
  </si>
  <si>
    <t>개인정보가 유출이 된 경우 어떻게 해야 하나요?</t>
  </si>
  <si>
    <t>1. 유출 등 사고 인지, 신고·접수
  m 개인정보취급자 등이 유출, 노출 등 유출사고를 인지할 경우 개인정보 보호담당자에게 신고 등 처리
 2. 개인정보 유출사고 대응센터 구성
  m 개인정보 보호책임자는 유출사고의 정도에 따라 유출사고 발생부서(기관)의 적의장소에 「유출사고 대응센터」 설치 등 처리
 3. 개인정보 유출 통지·조회 절차
  m 유출사고 대응센터는 개인정보가 유출등이 어되었음을 알게 된 때에는 72시간 이내에 유출 인원 등을 확인하여 [붙임2] 서식의 [유출통지 방법]에 따라 정보주체에게 유출 통지 등 처리
  - 통지 항목 : ①유출등이 된 개인정보의 항목, ②유출등이 된 시점과 및 그 경위, ③피해 최소화를 위한 정보주체의 조치방법, ④기관의 대응조치 및 피해구제 절차, ⑤피해 신고 접수 담당부서 및 연락처
 4. 침해유형별 확산방지 조치
  m 해킹의 경우
  - (긴급조치) 해킹 등 침해사고 발생으로 인해 개인정보가 유출된 경우 개인정보 추가 유출 방지를 위한 대책을 마련하고 피해를 최소화할 수 있는 조치를 강구 등 처리
  m 내부자 유출의 경우
  - 개인정보 유출자가 개인정보처리시스템에 접속한 이력 및 개인정보 열람·다운로드 등 내역을 확인 등 처리
  m 이메일 오발송의 경우
  - 이메일 회수가 가능한 경우에는 즉시 회수 조치하고, 불가능한 경우에는 이메일 수신자에게 오발송 메일의 삭제를 요청 등 처리
  m 개인정보가 외부에 노출된 경우
  - (외부 검색엔진을 통한 노출의 경우) 노출된 웹페이지 삭제를 검토하고, 검색엔진에 노출된 개인정보 삭제를 요청하여야 하며, 필요시 로봇배제 규칙을 적용하여 외부 검색엔진의 접근을 차단하여야 함
  - (관리자 페이지에 접속하여 노출된 경우) 관리자의 접속 IP를 제한하고, 소스코드를 수정하여 사용자 인증 절차를 추가하여야 함
  - (개인정보취급자 부주의로 인한 노출의 경우) 게시글 및 첨부파일 내 개인정보 노출 부분을 마스킹(* 처리)하여 다시 게시하여야 함
 5. 유출 등 사고 경위조사
  m 유출사고 대응센터는 유출사실 여부를 확인하고 사실로 확인될 경우 유출의 규모, 경위, 방법, 원인 및 관련자를 조사 등 처리
 6. 유출통지 신고 절차
  m (1천명 이상 유출, 민감정보 또는 고유식별정보 유출, 불법적인 접근에 의한 유출) 인지 시점으로부터 72시간 이내 개인정보보호위원회 또는 한국인터넷진흥원에 유출 신고 등 처리
  ※ 신고방법 : 개인정보 포털(www.privacy.go.kr) &gt; 기업·공공서비스 &gt; 유출신고
  ※ 단, 유출 경로 확인 등 해당 개인정보를 회수·삭제하는 등의 조치를 통해 정보주체의 권익 침해 가능성이 현저히 낮아진 경우에는 미신고
 7. 현장 혼잡 최소화 조치
  m 총괄대응본부는 사고기관(부서) 상황실에 오프라인 창구를 개설
  - 전화, 메일, 홈페이지, SNS 등 한 가지 이상의 채널을 선택하여 단일화된 민원대응 창구를 구축 등 처리
 8. 고객민원 대응조치
  m 민원대응반은 유관부서(총괄대응본부, 법무담당관)과 협의하여 피해자 구제방안, 수사 진행상황 등에 대한 외부 질의 답변 방향 결정 등 처리
 9. 고객 불안 해소조치
  m 부산광역시 홈페이지(www.busan.go.kr)에 유출 피해 최소화를 위해 실시하고 있는 노력에 대한 사항 공지(1일 1회 업데이트) 등 처리
 10. 피해자 구제 조치
  m (개인정보 유출사고 전파) 한국인터넷진흥원과 협의하여 “사업자 핫라인”을 통해 사고 사실을 전파 등 처리
 11. 유출 등 사고 종료 
  m 유출사고 대응센터는 개인정보 유출사고 처리보고서를 작성하여 개인정보 보호책임자(CPO)에게 보고 등 처리</t>
  </si>
  <si>
    <t>개인정보 보호법 제34조(개인정보 유출 등의 통지.신고)
 개인정보 보호법 시행령 제39조(개인정보 유출 등의 통지), 제40조(개인정보 유출 등의 신고)
 개인정보 유출 등 사고 대응 매뉴얼(개인정보보호위원회, 24.3.)
 부산광역시 개인정보 유출 등 사고대응 매뉴얼(24.10.)</t>
  </si>
  <si>
    <t>4, 5, 6, 7, 8, 9,</t>
  </si>
  <si>
    <t>4P ~ 9P 내용으로 요약 답변 생성
 안되면 2P 단계별 프로세스 요약 가능한지 여부 확인 필요</t>
  </si>
  <si>
    <t>부산시 개인정보 손해배상 책임보험의 보장 범위는 어떻게 되나요?</t>
  </si>
  <si>
    <t>• 보험기간: 2025.3.20. ~ 2026.3.19.(1년간)
  • 피보험자: 시 소속 전직원(공무원, 공무직, 기간제 등) ※ 본청 및 직속기간, 사업소, 의회
  • 보 험 사: DB손해보험
  • 보장내용
  - 업무수행 중 보유,수집,관리하는 개인정보 유출 등 사고 시 제3자에 대한 손해배상
  - 법률에 따른 손해배상 및 관련 소송비용 지원(변호비, 과징금, 과태료 등)
  • 보장범위: 총 한도 20억(공제금액 100만원)
 개인정보 배상책임 : 20억원
 정보통신보안 배상책임 : 20억원
 미디어 배상책임 : 20억원
 사이버 갈취 : 7,500만원
 데이터 자산 손실 : 2억원
 * 특별약관
  - 사고대응비용(2억원)
  - 방어비용 선지급(5억원)
  - 지방자치단체 특별약관
  (5천만원 보상/50만원 공제)
  ※ 고의적인 행위나 범죄로 인한 사고는 보장 제외</t>
  </si>
  <si>
    <t>개인정보보호 손해배상 책임보험 가입내용 및 처리방법 안내</t>
  </si>
  <si>
    <t>개인정보 수집.이용.제공 동의서 작성시 고려해야 할 점은 무엇인가요?</t>
  </si>
  <si>
    <t>1. 동의서 작성 전 필수 검토사항
 ① 업무에 필요한 개인정보의 최소성
  - 해당 업무 수행에 반드시 필요한 최소한의 개인정보만 수집해야 함.
  - 업무와 직접 관련 없는 개인정보 추가 수집은 최소수집 원칙 위반.
  - 고유식별정보(주민등록번호 등) 및 민감정보 포함 여부를 사전에 점검.
  &gt; 원칙적으로 수집·처리 지양.
  &gt; 법령 근거 또는 별도 동의가 있는 경우에만 허용.
  &gt; 주민등록번호는 법률·대통령령 등 명시적 근거가 있을 때만 가능.
 ② 동의 필요 여부의 명확한 판단
  - 개인정보 수집·이용에 동의가 필요한지 먼저 판단해야 함.
  - 법령 근거가 있는 경우 등 동의 없이 가능한 경우에는:
  &gt; 동의서를 받지 말고,
  &gt; 해당 수집·이용의 법적 근거를 명확히 안내해야 함.
  - 동의가 필요한 경우에만 동의서 작성.
 ※ 만 14세 미만 아동의 경우 법정대리인 동의 필수.
 ③ 개인정보 보유기간의 적정성
  - 수집·이용하는 개인정보에 대해 보유기간을 반드시 설정해야 함.
  - 관련 법령 또는 개인정보 처리방침이 있으면 이를 따름.
  - 별도 규정이 없다면, 업무 특성을 고려한 최소한의 보유기간으로 설정.
 2. 동의서에 포함 여부를 판단해야 할 사항
 ④ 개인정보 제3자 제공 여부
  - 제3자 제공 필요성이 있는지 먼저 검토.
  - 제공이 필요한 경우, 동의서에 다음 사항을 모두 명시해야 함:
  &gt; 제공받는 자
  &gt; 제공 목적
  &gt; 제공 항목
  &gt; 제공받는 자의 보유·이용 기간
  &gt; 동의 거부권 및 거부 시 불이익(있는 경우)
  - 원칙적으로 제3자 제공은 동의 필요.
  - 국외 제3자 제공은 반드시 동의 필요.
  - 만 14세 미만 아동은 법정대리인 동의 필요.
 ⑤ 개인정보 처리업무 위탁 여부
  - 개인정보 처리 위탁의 경우 정보주체 동의는 불필요.
  - 다만,
  &gt; 위탁 사실,
  &gt; 위탁 내용,
  &gt; 수탁자 정보는 홈페이지 등으로 공개해야 함.
  - 위탁과 제3자 제공을 혼동하면 안 됨.
 ⑥ 목적 외 이용·제공 여부
  - 동의받은 항목·목적·보유기간을 변경하는 경우:
  &gt; 반드시 사전 고지 후 추가 동의 필요.
  - 수집 목적 외 이용 또는 제3자 제공은 원칙적으로 금지.
  - 법령상 예외에 해당하거나 별도 동의를 받은 경우에만 가능.
 ⑦ 동의 거부 시 불이익의 적정성
  - 동의 시 제공되는 편익과 내용을 명확히 구분하여 안내해야 함.
  - 동의 거부를 이유로:
  &gt; 개인정보 처리와 직접 관련 없는 재화·서비스 제공을 거부하는 등
  &gt; 부당한 불이익을 주는 행위는 허용되지 않음.</t>
  </si>
  <si>
    <t>2203_정보화정책과_업무매뉴얼_개인정보보호위원회_알기쉬운 개인정보 처리 동의 안내서</t>
  </si>
  <si>
    <t>27, 28, 29, 30</t>
  </si>
  <si>
    <t>본문내용 일체</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</si>
</sst>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m&quot;월&quot;\ dd&quot;일&quot;"/>
  </numFmts>
  <fonts count="66">
    <font>
      <sz val="11.0"/>
      <color theme="1"/>
      <name val="Calibri"/>
      <scheme val="minor"/>
    </font>
    <font>
      <sz val="20.0"/>
      <color theme="1"/>
      <name val="Malgun Gothic"/>
    </font>
    <font>
      <sz val="11.0"/>
      <color theme="1"/>
      <name val="Malgun Gothic"/>
    </font>
    <font>
      <b/>
      <sz val="13.0"/>
      <color theme="1"/>
      <name val="Malgun Gothic"/>
    </font>
    <font>
      <b/>
      <sz val="12.0"/>
      <color rgb="FF000000"/>
      <name val="&quot;맑은 고딕&quot;"/>
    </font>
    <font>
      <b/>
      <sz val="10.0"/>
      <color rgb="FF000000"/>
      <name val="&quot;맑은 고딕&quot;"/>
    </font>
    <font>
      <b/>
      <sz val="11.0"/>
      <color theme="1"/>
      <name val="Malgun Gothic"/>
    </font>
    <font/>
    <font>
      <b/>
      <sz val="10.0"/>
      <color theme="1"/>
      <name val="Malgun Gothic"/>
    </font>
    <font>
      <sz val="11.0"/>
      <color rgb="FF000000"/>
      <name val="&quot;맑은 고딕&quot;"/>
    </font>
    <font>
      <sz val="11.0"/>
      <color rgb="FF6AA84F"/>
      <name val="Malgun Gothic"/>
    </font>
    <font>
      <sz val="11.0"/>
      <color rgb="FFFF0000"/>
      <name val="Malgun Gothic"/>
    </font>
    <font>
      <sz val="11.0"/>
      <color theme="1"/>
      <name val="&quot;맑은 고딕&quot;"/>
    </font>
    <font>
      <sz val="11.0"/>
      <color rgb="FFFF0000"/>
      <name val="&quot;맑은 고딕&quot;"/>
    </font>
    <font>
      <sz val="11.0"/>
      <color rgb="FF0000FF"/>
      <name val="Malgun Gothic"/>
    </font>
    <font>
      <sz val="11.0"/>
      <color rgb="FF000000"/>
      <name val="Malgun Gothic"/>
    </font>
    <font>
      <sz val="11.0"/>
      <color rgb="FF000000"/>
      <name val="MS Mincho"/>
    </font>
    <font>
      <sz val="11.0"/>
      <color theme="1"/>
      <name val="MS Mincho"/>
    </font>
    <font>
      <sz val="11.0"/>
      <color theme="1"/>
      <name val="&quot;Malgun Gothic&quot;"/>
    </font>
    <font>
      <sz val="11.0"/>
      <color rgb="FF000000"/>
      <name val="&quot;Malgun Gothic&quot;"/>
    </font>
    <font>
      <sz val="11.0"/>
      <color rgb="FF1155CC"/>
      <name val="Malgun Gothic"/>
    </font>
    <font>
      <sz val="11.0"/>
      <color rgb="FF0432FF"/>
      <name val="&quot;맑은 고딕&quot;"/>
    </font>
    <font>
      <sz val="11.0"/>
      <color rgb="FF00B050"/>
      <name val="Arial"/>
    </font>
    <font>
      <sz val="11.0"/>
      <color rgb="FF000000"/>
      <name val="&quot;Segoe UI Symbol&quot;"/>
    </font>
    <font>
      <sz val="11.0"/>
      <color rgb="FFFF0000"/>
      <name val="&quot;Malgun Gothic&quot;"/>
    </font>
    <font>
      <u/>
      <sz val="11.0"/>
      <color rgb="FF000000"/>
      <name val="&quot;Malgun Gothic&quot;"/>
    </font>
    <font>
      <sz val="11.0"/>
      <color theme="1"/>
      <name val="Arial"/>
    </font>
    <font>
      <sz val="11.0"/>
      <color rgb="FF4A86E8"/>
      <name val="Malgun Gothic"/>
    </font>
    <font>
      <sz val="11.0"/>
      <color rgb="FF000000"/>
      <name val="Arial"/>
    </font>
    <font>
      <strike/>
      <sz val="11.0"/>
      <color rgb="FFFF0000"/>
      <name val="Malgun Gothic"/>
    </font>
    <font>
      <b/>
      <sz val="11.0"/>
      <color rgb="FF000000"/>
      <name val="Malgun Gothic"/>
    </font>
    <font>
      <sz val="12.0"/>
      <color theme="1"/>
      <name val="Malgun Gothic"/>
    </font>
    <font>
      <sz val="12.0"/>
      <color theme="1"/>
      <name val="Arial"/>
    </font>
    <font>
      <color theme="1"/>
      <name val="Calibri"/>
      <scheme val="minor"/>
    </font>
    <font>
      <sz val="10.0"/>
      <color theme="1"/>
      <name val="Malgun Gothic"/>
    </font>
    <font>
      <sz val="14.0"/>
      <color theme="1"/>
      <name val="Malgun Gothic"/>
    </font>
    <font>
      <b/>
      <sz val="15.0"/>
      <color rgb="FF9900FF"/>
      <name val="Malgun Gothic"/>
    </font>
    <font>
      <b/>
      <sz val="15.0"/>
      <color rgb="FF6AA84F"/>
      <name val="Malgun Gothic"/>
    </font>
    <font>
      <b/>
      <sz val="14.0"/>
      <color rgb="FFFF9900"/>
      <name val="Malgun Gothic"/>
    </font>
    <font>
      <b/>
      <sz val="14.0"/>
      <color theme="1"/>
      <name val="Malgun Gothic"/>
    </font>
    <font>
      <b/>
      <sz val="12.0"/>
      <color theme="1"/>
      <name val="Malgun Gothic"/>
    </font>
    <font>
      <b/>
      <sz val="8.0"/>
      <color theme="1"/>
      <name val="Malgun Gothic"/>
    </font>
    <font>
      <b/>
      <sz val="9.0"/>
      <color theme="1"/>
      <name val="Malgun Gothic"/>
    </font>
    <font>
      <sz val="12.0"/>
      <color rgb="FF9900FF"/>
      <name val="Malgun Gothic"/>
    </font>
    <font>
      <sz val="12.0"/>
      <color theme="1"/>
      <name val="Calibri"/>
    </font>
    <font>
      <sz val="12.0"/>
      <color rgb="FF000000"/>
      <name val="Malgun Gothic"/>
    </font>
    <font>
      <u/>
      <sz val="12.0"/>
      <color theme="10"/>
      <name val="Malgun Gothic"/>
    </font>
    <font>
      <u/>
      <sz val="12.0"/>
      <color theme="10"/>
      <name val="Malgun Gothic"/>
    </font>
    <font>
      <u/>
      <sz val="12.0"/>
      <color theme="1"/>
      <name val="Malgun Gothic"/>
    </font>
    <font>
      <sz val="12.0"/>
      <color rgb="FF000000"/>
      <name val="&quot;맑은 고딕&quot;"/>
    </font>
    <font>
      <sz val="12.0"/>
      <color rgb="FF9900FF"/>
      <name val="&quot;맑은 고딕&quot;"/>
    </font>
    <font>
      <sz val="12.0"/>
      <color rgb="FFFF0000"/>
      <name val="&quot;맑은 고딕&quot;"/>
    </font>
    <font>
      <u/>
      <sz val="11.0"/>
      <color rgb="FF0000FF"/>
      <name val="&quot;맑은 고딕&quot;"/>
    </font>
    <font>
      <u/>
      <sz val="11.0"/>
      <color rgb="FF0000FF"/>
      <name val="&quot;맑은 고딕&quot;"/>
    </font>
    <font>
      <sz val="12.0"/>
      <color theme="1"/>
      <name val="&quot;맑은 고딕&quot;"/>
    </font>
    <font>
      <sz val="12.0"/>
      <color rgb="FF000000"/>
      <name val="&quot;MS Gothic&quot;"/>
    </font>
    <font>
      <strike/>
      <sz val="12.0"/>
      <color rgb="FF000000"/>
      <name val="&quot;맑은 고딕&quot;"/>
    </font>
    <font>
      <u/>
      <sz val="12.0"/>
      <color rgb="FF0000FF"/>
      <name val="&quot;맑은 고딕&quot;"/>
    </font>
    <font>
      <u/>
      <sz val="11.0"/>
      <color rgb="FF0000FF"/>
      <name val="&quot;맑은 고딕&quot;"/>
    </font>
    <font>
      <b/>
      <sz val="11.0"/>
      <color rgb="FF000000"/>
      <name val="&quot;맑은 고딕&quot;"/>
    </font>
    <font>
      <sz val="11.0"/>
      <color rgb="FF9900FF"/>
      <name val="&quot;맑은 고딕&quot;"/>
    </font>
    <font>
      <sz val="12.0"/>
      <color rgb="FF0070C0"/>
      <name val="&quot;맑은 고딕&quot;"/>
    </font>
    <font>
      <sz val="13.0"/>
      <color rgb="FF000000"/>
      <name val="함초롬바탕"/>
    </font>
    <font>
      <u/>
      <sz val="11.0"/>
      <color rgb="FF0000FF"/>
      <name val="&quot;맑은 고딕&quot;"/>
    </font>
    <font>
      <sz val="12.0"/>
      <color rgb="FF000000"/>
      <name val="&quot;Segoe UI Symbol&quot;"/>
    </font>
    <font>
      <sz val="11.0"/>
      <color rgb="FF6AA84F"/>
      <name val="&quot;맑은 고딕&quot;"/>
    </font>
  </fonts>
  <fills count="29">
    <fill>
      <patternFill patternType="none"/>
    </fill>
    <fill>
      <patternFill patternType="lightGray"/>
    </fill>
    <fill>
      <patternFill patternType="solid">
        <fgColor rgb="FFC6D9F0"/>
        <bgColor rgb="FFC6D9F0"/>
      </patternFill>
    </fill>
    <fill>
      <patternFill patternType="solid">
        <fgColor rgb="FFEAF1DD"/>
        <bgColor rgb="FFEAF1DD"/>
      </patternFill>
    </fill>
    <fill>
      <patternFill patternType="solid">
        <fgColor rgb="FFDDD9C3"/>
        <bgColor rgb="FFDDD9C3"/>
      </patternFill>
    </fill>
    <fill>
      <patternFill patternType="solid">
        <fgColor rgb="FFFDE9D9"/>
        <bgColor rgb="FFFDE9D9"/>
      </patternFill>
    </fill>
    <fill>
      <patternFill patternType="solid">
        <fgColor rgb="FFF4CCCC"/>
        <bgColor rgb="FFF4CCCC"/>
      </patternFill>
    </fill>
    <fill>
      <patternFill patternType="solid">
        <fgColor rgb="FFE5DFEC"/>
        <bgColor rgb="FFE5DFEC"/>
      </patternFill>
    </fill>
    <fill>
      <patternFill patternType="solid">
        <fgColor rgb="FF8DB3E2"/>
        <bgColor rgb="FF8DB3E2"/>
      </patternFill>
    </fill>
    <fill>
      <patternFill patternType="solid">
        <fgColor rgb="FFD6E3BC"/>
        <bgColor rgb="FFD6E3BC"/>
      </patternFill>
    </fill>
    <fill>
      <patternFill patternType="solid">
        <fgColor rgb="FF92D050"/>
        <bgColor rgb="FF92D050"/>
      </patternFill>
    </fill>
    <fill>
      <patternFill patternType="solid">
        <fgColor rgb="FFFBD4B4"/>
        <bgColor rgb="FFFBD4B4"/>
      </patternFill>
    </fill>
    <fill>
      <patternFill patternType="solid">
        <fgColor rgb="FFEA9999"/>
        <bgColor rgb="FFEA9999"/>
      </patternFill>
    </fill>
    <fill>
      <patternFill patternType="solid">
        <fgColor rgb="FFCCC0D9"/>
        <bgColor rgb="FFCCC0D9"/>
      </patternFill>
    </fill>
    <fill>
      <patternFill patternType="solid">
        <fgColor rgb="FFD8E4BC"/>
        <bgColor rgb="FFD8E4BC"/>
      </patternFill>
    </fill>
    <fill>
      <patternFill patternType="solid">
        <fgColor rgb="FFD8D8D8"/>
        <bgColor rgb="FFD8D8D8"/>
      </patternFill>
    </fill>
    <fill>
      <patternFill patternType="solid">
        <fgColor rgb="FFFCE5CD"/>
        <bgColor rgb="FFFCE5CD"/>
      </patternFill>
    </fill>
    <fill>
      <patternFill patternType="solid">
        <fgColor theme="0"/>
        <bgColor theme="0"/>
      </patternFill>
    </fill>
    <fill>
      <patternFill patternType="solid">
        <fgColor rgb="FFFFFFFF"/>
        <bgColor rgb="FFFFFFFF"/>
      </patternFill>
    </fill>
    <fill>
      <patternFill patternType="solid">
        <fgColor rgb="FFFFFFCC"/>
        <bgColor rgb="FFFFFFCC"/>
      </patternFill>
    </fill>
    <fill>
      <patternFill patternType="solid">
        <fgColor rgb="FF00FF00"/>
        <bgColor rgb="FF00FF00"/>
      </patternFill>
    </fill>
    <fill>
      <patternFill patternType="solid">
        <fgColor rgb="FFFFC000"/>
        <bgColor rgb="FFFFC000"/>
      </patternFill>
    </fill>
    <fill>
      <patternFill patternType="solid">
        <fgColor rgb="FFFFFF00"/>
        <bgColor rgb="FFFFFF00"/>
      </patternFill>
    </fill>
    <fill>
      <patternFill patternType="solid">
        <fgColor rgb="FFF9CB9C"/>
        <bgColor rgb="FFF9CB9C"/>
      </patternFill>
    </fill>
    <fill>
      <patternFill patternType="solid">
        <fgColor rgb="FFEBF1DE"/>
        <bgColor rgb="FFEBF1DE"/>
      </patternFill>
    </fill>
    <fill>
      <patternFill patternType="solid">
        <fgColor rgb="FFF6B26B"/>
        <bgColor rgb="FFF6B26B"/>
      </patternFill>
    </fill>
    <fill>
      <patternFill patternType="solid">
        <fgColor rgb="FFD9D2E9"/>
        <bgColor rgb="FFD9D2E9"/>
      </patternFill>
    </fill>
    <fill>
      <patternFill patternType="solid">
        <fgColor rgb="FFFABF8F"/>
        <bgColor rgb="FFFABF8F"/>
      </patternFill>
    </fill>
    <fill>
      <patternFill patternType="solid">
        <fgColor rgb="FFD7E4BC"/>
        <bgColor rgb="FFD7E4BC"/>
      </patternFill>
    </fill>
  </fills>
  <borders count="13">
    <border/>
    <border>
      <right style="thin">
        <color rgb="FF000000"/>
      </right>
    </border>
    <border>
      <left style="thin">
        <color rgb="FF000000"/>
      </left>
      <top style="thin">
        <color rgb="FF000000"/>
      </top>
      <bottom style="thin">
        <color rgb="FF000000"/>
      </bottom>
    </border>
    <border>
      <left style="thin">
        <color rgb="FF000000"/>
      </left>
      <right style="thin">
        <color rgb="FF000000"/>
      </right>
      <top style="thin">
        <color rgb="FF000000"/>
      </top>
      <bottom style="thin">
        <color rgb="FF000000"/>
      </bottom>
    </border>
    <border>
      <bottom style="thin">
        <color rgb="FF000000"/>
      </bottom>
    </border>
    <border>
      <right style="thin">
        <color rgb="FF000000"/>
      </right>
      <top style="thin">
        <color rgb="FF000000"/>
      </top>
      <bottom style="thin">
        <color rgb="FF000000"/>
      </bottom>
    </border>
    <border>
      <top style="thin">
        <color rgb="FF000000"/>
      </top>
      <bottom style="thin">
        <color rgb="FF000000"/>
      </bottom>
    </border>
    <border>
      <left/>
      <top style="thin">
        <color rgb="FF000000"/>
      </top>
      <bottom style="thin">
        <color rgb="FF000000"/>
      </bottom>
    </border>
    <border>
      <left style="thin">
        <color rgb="FF000000"/>
      </left>
      <right/>
      <top style="thin">
        <color rgb="FF000000"/>
      </top>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
      <left/>
      <right/>
      <top/>
      <bottom/>
    </border>
    <border>
      <left style="thin">
        <color rgb="FF000000"/>
      </left>
      <right style="thin">
        <color rgb="FF000000"/>
      </right>
    </border>
  </borders>
  <cellStyleXfs count="1">
    <xf borderId="0" fillId="0" fontId="0" numFmtId="0" applyAlignment="1" applyFont="1"/>
  </cellStyleXfs>
  <cellXfs count="292">
    <xf borderId="0" fillId="0" fontId="0" numFmtId="0" xfId="0" applyAlignment="1" applyFont="1">
      <alignment readingOrder="0" shrinkToFit="0" vertical="bottom" wrapText="0"/>
    </xf>
    <xf borderId="0" fillId="0" fontId="1" numFmtId="0" xfId="0" applyAlignment="1" applyFont="1">
      <alignment horizontal="center" shrinkToFit="0" vertical="center" wrapText="1"/>
    </xf>
    <xf borderId="0" fillId="0" fontId="2" numFmtId="0" xfId="0" applyAlignment="1" applyFont="1">
      <alignment horizontal="center" readingOrder="0" shrinkToFit="0" vertical="bottom" wrapText="1"/>
    </xf>
    <xf borderId="0" fillId="0" fontId="3" numFmtId="0" xfId="0" applyAlignment="1" applyFont="1">
      <alignment horizontal="left" shrinkToFit="0" vertical="bottom" wrapText="1"/>
    </xf>
    <xf borderId="0" fillId="0" fontId="4" numFmtId="0" xfId="0" applyAlignment="1" applyFont="1">
      <alignment horizontal="center" readingOrder="0"/>
    </xf>
    <xf borderId="0" fillId="0" fontId="5" numFmtId="49" xfId="0" applyAlignment="1" applyFont="1" applyNumberFormat="1">
      <alignment horizontal="center" readingOrder="0"/>
    </xf>
    <xf borderId="1" fillId="0" fontId="4" numFmtId="0" xfId="0" applyAlignment="1" applyBorder="1" applyFont="1">
      <alignment horizontal="center" readingOrder="0"/>
    </xf>
    <xf borderId="0" fillId="0" fontId="6" numFmtId="0" xfId="0" applyAlignment="1" applyFont="1">
      <alignment horizontal="center" readingOrder="0" shrinkToFit="0" vertical="center" wrapText="1"/>
    </xf>
    <xf borderId="0" fillId="0" fontId="6" numFmtId="0" xfId="0" applyAlignment="1" applyFont="1">
      <alignment horizontal="left" shrinkToFit="0" vertical="center" wrapText="1"/>
    </xf>
    <xf borderId="0" fillId="0" fontId="2" numFmtId="49" xfId="0" applyAlignment="1" applyFont="1" applyNumberFormat="1">
      <alignment horizontal="center" shrinkToFit="0" vertical="center" wrapText="1"/>
    </xf>
    <xf borderId="0" fillId="0" fontId="2" numFmtId="0" xfId="0" applyAlignment="1" applyFont="1">
      <alignment horizontal="center" shrinkToFit="0" vertical="center" wrapText="1"/>
    </xf>
    <xf borderId="2" fillId="0" fontId="2" numFmtId="0" xfId="0" applyAlignment="1" applyBorder="1" applyFont="1">
      <alignment horizontal="center" shrinkToFit="0" vertical="center" wrapText="1"/>
    </xf>
    <xf borderId="3" fillId="0" fontId="2" numFmtId="0" xfId="0" applyAlignment="1" applyBorder="1" applyFont="1">
      <alignment horizontal="center" shrinkToFit="0" vertical="center" wrapText="1"/>
    </xf>
    <xf borderId="0" fillId="0" fontId="2" numFmtId="0" xfId="0" applyAlignment="1" applyFont="1">
      <alignment horizontal="left" shrinkToFit="0" vertical="top" wrapText="1"/>
    </xf>
    <xf borderId="4" fillId="0" fontId="2" numFmtId="0" xfId="0" applyAlignment="1" applyBorder="1" applyFont="1">
      <alignment shrinkToFit="0" vertical="center" wrapText="1"/>
    </xf>
    <xf borderId="4" fillId="0" fontId="2" numFmtId="0" xfId="0" applyAlignment="1" applyBorder="1" applyFont="1">
      <alignment shrinkToFit="0" vertical="top" wrapText="1"/>
    </xf>
    <xf borderId="2" fillId="2" fontId="6" numFmtId="0" xfId="0" applyAlignment="1" applyBorder="1" applyFill="1" applyFont="1">
      <alignment horizontal="center" shrinkToFit="0" vertical="center" wrapText="1"/>
    </xf>
    <xf borderId="5" fillId="0" fontId="7" numFmtId="0" xfId="0" applyBorder="1" applyFont="1"/>
    <xf borderId="2" fillId="3" fontId="6" numFmtId="0" xfId="0" applyAlignment="1" applyBorder="1" applyFill="1" applyFont="1">
      <alignment horizontal="center" shrinkToFit="0" vertical="center" wrapText="1"/>
    </xf>
    <xf borderId="2" fillId="4" fontId="6" numFmtId="0" xfId="0" applyAlignment="1" applyBorder="1" applyFill="1" applyFont="1">
      <alignment horizontal="center" shrinkToFit="0" vertical="center" wrapText="1"/>
    </xf>
    <xf borderId="2" fillId="5" fontId="6" numFmtId="0" xfId="0" applyAlignment="1" applyBorder="1" applyFill="1" applyFont="1">
      <alignment horizontal="center" shrinkToFit="0" vertical="center" wrapText="1"/>
    </xf>
    <xf borderId="6" fillId="0" fontId="7" numFmtId="0" xfId="0" applyBorder="1" applyFont="1"/>
    <xf borderId="6" fillId="6" fontId="6" numFmtId="0" xfId="0" applyAlignment="1" applyBorder="1" applyFill="1" applyFont="1">
      <alignment horizontal="center" readingOrder="0" shrinkToFit="0" vertical="top" wrapText="1"/>
    </xf>
    <xf borderId="7" fillId="7" fontId="6" numFmtId="0" xfId="0" applyAlignment="1" applyBorder="1" applyFill="1" applyFont="1">
      <alignment horizontal="center" shrinkToFit="0" vertical="center" wrapText="1"/>
    </xf>
    <xf borderId="3" fillId="8" fontId="6" numFmtId="0" xfId="0" applyAlignment="1" applyBorder="1" applyFill="1" applyFont="1">
      <alignment horizontal="center" shrinkToFit="0" vertical="center" wrapText="1"/>
    </xf>
    <xf borderId="3" fillId="9" fontId="6" numFmtId="0" xfId="0" applyAlignment="1" applyBorder="1" applyFill="1" applyFont="1">
      <alignment horizontal="center" shrinkToFit="0" vertical="center" wrapText="1"/>
    </xf>
    <xf borderId="3" fillId="10" fontId="6" numFmtId="0" xfId="0" applyAlignment="1" applyBorder="1" applyFill="1" applyFont="1">
      <alignment horizontal="center" shrinkToFit="0" vertical="center" wrapText="1"/>
    </xf>
    <xf borderId="3" fillId="4" fontId="6" numFmtId="0" xfId="0" applyAlignment="1" applyBorder="1" applyFont="1">
      <alignment horizontal="center" shrinkToFit="0" vertical="center" wrapText="1"/>
    </xf>
    <xf borderId="3" fillId="11" fontId="6" numFmtId="0" xfId="0" applyAlignment="1" applyBorder="1" applyFill="1" applyFont="1">
      <alignment horizontal="center" shrinkToFit="0" vertical="center" wrapText="1"/>
    </xf>
    <xf borderId="3" fillId="11" fontId="8" numFmtId="49" xfId="0" applyAlignment="1" applyBorder="1" applyFont="1" applyNumberFormat="1">
      <alignment horizontal="center" shrinkToFit="0" vertical="center" wrapText="1"/>
    </xf>
    <xf borderId="3" fillId="12" fontId="6" numFmtId="0" xfId="0" applyAlignment="1" applyBorder="1" applyFill="1" applyFont="1">
      <alignment horizontal="center" readingOrder="0" shrinkToFit="0" vertical="top" wrapText="1"/>
    </xf>
    <xf borderId="3" fillId="12" fontId="6" numFmtId="0" xfId="0" applyAlignment="1" applyBorder="1" applyFont="1">
      <alignment horizontal="center" readingOrder="0" shrinkToFit="0" vertical="center" wrapText="1"/>
    </xf>
    <xf borderId="3" fillId="12" fontId="6" numFmtId="49" xfId="0" applyAlignment="1" applyBorder="1" applyFont="1" applyNumberFormat="1">
      <alignment horizontal="center" readingOrder="0" shrinkToFit="0" vertical="center" wrapText="1"/>
    </xf>
    <xf borderId="3" fillId="13" fontId="6" numFmtId="0" xfId="0" applyAlignment="1" applyBorder="1" applyFill="1" applyFont="1">
      <alignment horizontal="center" shrinkToFit="0" vertical="center" wrapText="1"/>
    </xf>
    <xf borderId="8" fillId="13" fontId="6" numFmtId="0" xfId="0" applyAlignment="1" applyBorder="1" applyFont="1">
      <alignment horizontal="center" shrinkToFit="0" vertical="center" wrapText="1"/>
    </xf>
    <xf borderId="3" fillId="0" fontId="2" numFmtId="0" xfId="0" applyAlignment="1" applyBorder="1" applyFont="1">
      <alignment horizontal="left" shrinkToFit="0" vertical="top" wrapText="1"/>
    </xf>
    <xf borderId="3" fillId="9" fontId="2" numFmtId="0" xfId="0" applyAlignment="1" applyBorder="1" applyFont="1">
      <alignment horizontal="left" shrinkToFit="0" vertical="top" wrapText="1"/>
    </xf>
    <xf borderId="3" fillId="14" fontId="9" numFmtId="0" xfId="0" applyAlignment="1" applyBorder="1" applyFill="1" applyFont="1">
      <alignment horizontal="left" readingOrder="0" shrinkToFit="0" vertical="top" wrapText="1"/>
    </xf>
    <xf borderId="3" fillId="15" fontId="2" numFmtId="0" xfId="0" applyAlignment="1" applyBorder="1" applyFill="1" applyFont="1">
      <alignment horizontal="left" shrinkToFit="0" vertical="top" wrapText="1"/>
    </xf>
    <xf borderId="3" fillId="0" fontId="9" numFmtId="0" xfId="0" applyAlignment="1" applyBorder="1" applyFont="1">
      <alignment horizontal="left" readingOrder="0" shrinkToFit="0" vertical="top" wrapText="1"/>
    </xf>
    <xf borderId="5" fillId="0" fontId="9" numFmtId="0" xfId="0" applyAlignment="1" applyBorder="1" applyFont="1">
      <alignment horizontal="left" readingOrder="0" shrinkToFit="0" vertical="top" wrapText="1"/>
    </xf>
    <xf borderId="3" fillId="0" fontId="9" numFmtId="49" xfId="0" applyAlignment="1" applyBorder="1" applyFont="1" applyNumberFormat="1">
      <alignment horizontal="left" readingOrder="0" shrinkToFit="0" vertical="top" wrapText="1"/>
    </xf>
    <xf borderId="3" fillId="16" fontId="9" numFmtId="0" xfId="0" applyAlignment="1" applyBorder="1" applyFill="1" applyFont="1">
      <alignment horizontal="left" readingOrder="0" shrinkToFit="0" vertical="top" wrapText="1"/>
    </xf>
    <xf borderId="3" fillId="0" fontId="10" numFmtId="0" xfId="0" applyAlignment="1" applyBorder="1" applyFont="1">
      <alignment horizontal="center" readingOrder="0" shrinkToFit="0" vertical="top" wrapText="1"/>
    </xf>
    <xf borderId="3" fillId="17" fontId="11" numFmtId="0" xfId="0" applyAlignment="1" applyBorder="1" applyFill="1" applyFont="1">
      <alignment horizontal="left" readingOrder="0" shrinkToFit="0" vertical="top" wrapText="1"/>
    </xf>
    <xf borderId="3" fillId="17" fontId="2" numFmtId="49" xfId="0" applyAlignment="1" applyBorder="1" applyFont="1" applyNumberFormat="1">
      <alignment horizontal="left" readingOrder="0" shrinkToFit="0" vertical="top" wrapText="1"/>
    </xf>
    <xf borderId="3" fillId="17" fontId="2" numFmtId="0" xfId="0" applyAlignment="1" applyBorder="1" applyFont="1">
      <alignment horizontal="left" shrinkToFit="0" vertical="top" wrapText="1"/>
    </xf>
    <xf borderId="8" fillId="17" fontId="2" numFmtId="0" xfId="0" applyAlignment="1" applyBorder="1" applyFont="1">
      <alignment horizontal="left" shrinkToFit="0" vertical="top" wrapText="1"/>
    </xf>
    <xf borderId="9" fillId="0" fontId="9" numFmtId="0" xfId="0" applyAlignment="1" applyBorder="1" applyFont="1">
      <alignment horizontal="left" readingOrder="0" shrinkToFit="0" vertical="top" wrapText="1"/>
    </xf>
    <xf borderId="10" fillId="0" fontId="9" numFmtId="0" xfId="0" applyAlignment="1" applyBorder="1" applyFont="1">
      <alignment horizontal="left" readingOrder="0" shrinkToFit="0" vertical="top" wrapText="1"/>
    </xf>
    <xf borderId="1" fillId="0" fontId="9" numFmtId="0" xfId="0" applyAlignment="1" applyBorder="1" applyFont="1">
      <alignment horizontal="left" readingOrder="0" shrinkToFit="0" vertical="top" wrapText="1"/>
    </xf>
    <xf borderId="3" fillId="17" fontId="10" numFmtId="0" xfId="0" applyAlignment="1" applyBorder="1" applyFont="1">
      <alignment horizontal="center" readingOrder="0" shrinkToFit="0" vertical="top" wrapText="1"/>
    </xf>
    <xf borderId="0" fillId="17" fontId="2" numFmtId="0" xfId="0" applyAlignment="1" applyFont="1">
      <alignment horizontal="left" readingOrder="0" shrinkToFit="0" vertical="top" wrapText="1"/>
    </xf>
    <xf borderId="2" fillId="17" fontId="2" numFmtId="0" xfId="0" applyAlignment="1" applyBorder="1" applyFont="1">
      <alignment horizontal="left" shrinkToFit="0" vertical="top" wrapText="1"/>
    </xf>
    <xf borderId="0" fillId="17" fontId="2" numFmtId="0" xfId="0" applyAlignment="1" applyFont="1">
      <alignment horizontal="left" shrinkToFit="0" vertical="top" wrapText="1"/>
    </xf>
    <xf borderId="3" fillId="0" fontId="9" numFmtId="0" xfId="0" applyAlignment="1" applyBorder="1" applyFont="1">
      <alignment horizontal="left" shrinkToFit="0" vertical="top" wrapText="1"/>
    </xf>
    <xf borderId="3" fillId="0" fontId="9" numFmtId="49" xfId="0" applyAlignment="1" applyBorder="1" applyFont="1" applyNumberFormat="1">
      <alignment horizontal="left" shrinkToFit="0" vertical="top" wrapText="1"/>
    </xf>
    <xf borderId="3" fillId="17" fontId="2" numFmtId="0" xfId="0" applyAlignment="1" applyBorder="1" applyFont="1">
      <alignment horizontal="left" readingOrder="0" shrinkToFit="0" vertical="top" wrapText="1"/>
    </xf>
    <xf borderId="3" fillId="0" fontId="12" numFmtId="0" xfId="0" applyAlignment="1" applyBorder="1" applyFont="1">
      <alignment horizontal="left" readingOrder="0" shrinkToFit="0" vertical="top" wrapText="1"/>
    </xf>
    <xf borderId="3" fillId="18" fontId="9" numFmtId="0" xfId="0" applyAlignment="1" applyBorder="1" applyFill="1" applyFont="1">
      <alignment horizontal="left" readingOrder="0" shrinkToFit="0" vertical="top" wrapText="1"/>
    </xf>
    <xf borderId="3" fillId="0" fontId="13" numFmtId="0" xfId="0" applyAlignment="1" applyBorder="1" applyFont="1">
      <alignment horizontal="left" readingOrder="0" shrinkToFit="0" vertical="top" wrapText="1"/>
    </xf>
    <xf borderId="3" fillId="0" fontId="14" numFmtId="0" xfId="0" applyAlignment="1" applyBorder="1" applyFont="1">
      <alignment horizontal="left" readingOrder="0" shrinkToFit="0" vertical="top" wrapText="1"/>
    </xf>
    <xf borderId="3" fillId="0" fontId="15" numFmtId="0" xfId="0" applyAlignment="1" applyBorder="1" applyFont="1">
      <alignment horizontal="left" shrinkToFit="0" vertical="top" wrapText="1"/>
    </xf>
    <xf borderId="3" fillId="19" fontId="2" numFmtId="0" xfId="0" applyAlignment="1" applyBorder="1" applyFill="1" applyFont="1">
      <alignment horizontal="left" shrinkToFit="0" vertical="top" wrapText="1"/>
    </xf>
    <xf borderId="3" fillId="0" fontId="2" numFmtId="0" xfId="0" applyAlignment="1" applyBorder="1" applyFont="1">
      <alignment horizontal="left" readingOrder="0" shrinkToFit="0" vertical="top" wrapText="1"/>
    </xf>
    <xf borderId="3" fillId="0" fontId="9" numFmtId="0" xfId="0" applyAlignment="1" applyBorder="1" applyFont="1">
      <alignment horizontal="left" shrinkToFit="0" vertical="top" wrapText="1"/>
    </xf>
    <xf borderId="3" fillId="20" fontId="9" numFmtId="0" xfId="0" applyAlignment="1" applyBorder="1" applyFill="1" applyFont="1">
      <alignment horizontal="left" readingOrder="0" shrinkToFit="0" vertical="top" wrapText="1"/>
    </xf>
    <xf borderId="3" fillId="18" fontId="9" numFmtId="49" xfId="0" applyAlignment="1" applyBorder="1" applyFont="1" applyNumberFormat="1">
      <alignment horizontal="left" readingOrder="0" shrinkToFit="0" vertical="top" wrapText="1"/>
    </xf>
    <xf borderId="3" fillId="17" fontId="15" numFmtId="0" xfId="0" applyAlignment="1" applyBorder="1" applyFont="1">
      <alignment horizontal="left" readingOrder="0" shrinkToFit="0" vertical="top" wrapText="1"/>
    </xf>
    <xf borderId="3" fillId="17" fontId="2" numFmtId="49" xfId="0" applyAlignment="1" applyBorder="1" applyFont="1" applyNumberFormat="1">
      <alignment horizontal="left" shrinkToFit="0" vertical="top" wrapText="1"/>
    </xf>
    <xf borderId="3" fillId="0" fontId="15" numFmtId="0" xfId="0" applyAlignment="1" applyBorder="1" applyFont="1">
      <alignment horizontal="left" readingOrder="0" shrinkToFit="0" vertical="top" wrapText="1"/>
    </xf>
    <xf borderId="8" fillId="21" fontId="11" numFmtId="0" xfId="0" applyAlignment="1" applyBorder="1" applyFill="1" applyFont="1">
      <alignment horizontal="left" shrinkToFit="0" vertical="top" wrapText="1"/>
    </xf>
    <xf borderId="2" fillId="17" fontId="2" numFmtId="0" xfId="0" applyAlignment="1" applyBorder="1" applyFont="1">
      <alignment horizontal="left" readingOrder="0" shrinkToFit="0" vertical="top" wrapText="1"/>
    </xf>
    <xf borderId="2" fillId="17" fontId="2" numFmtId="49" xfId="0" applyAlignment="1" applyBorder="1" applyFont="1" applyNumberFormat="1">
      <alignment horizontal="left" readingOrder="0" shrinkToFit="0" vertical="top" wrapText="1"/>
    </xf>
    <xf borderId="3" fillId="9" fontId="2" numFmtId="0" xfId="0" applyAlignment="1" applyBorder="1" applyFont="1">
      <alignment horizontal="left" readingOrder="0" shrinkToFit="0" vertical="top" wrapText="1"/>
    </xf>
    <xf borderId="8" fillId="19" fontId="2" numFmtId="0" xfId="0" applyAlignment="1" applyBorder="1" applyFont="1">
      <alignment horizontal="left" shrinkToFit="0" vertical="top" wrapText="1"/>
    </xf>
    <xf borderId="0" fillId="0" fontId="9" numFmtId="0" xfId="0" applyAlignment="1" applyFont="1">
      <alignment horizontal="left" readingOrder="0" shrinkToFit="0" vertical="top" wrapText="1"/>
    </xf>
    <xf borderId="0" fillId="17" fontId="14" numFmtId="0" xfId="0" applyAlignment="1" applyFont="1">
      <alignment horizontal="left" readingOrder="0" shrinkToFit="0" vertical="top" wrapText="1"/>
    </xf>
    <xf borderId="0" fillId="17" fontId="11" numFmtId="49" xfId="0" applyAlignment="1" applyFont="1" applyNumberFormat="1">
      <alignment horizontal="left" readingOrder="0" shrinkToFit="0" vertical="top" wrapText="1"/>
    </xf>
    <xf borderId="0" fillId="0" fontId="14" numFmtId="0" xfId="0" applyAlignment="1" applyFont="1">
      <alignment readingOrder="0" shrinkToFit="0" vertical="top" wrapText="1"/>
    </xf>
    <xf borderId="0" fillId="0" fontId="11" numFmtId="49" xfId="0" applyAlignment="1" applyFont="1" applyNumberFormat="1">
      <alignment readingOrder="0" shrinkToFit="0" vertical="top" wrapText="1"/>
    </xf>
    <xf borderId="0" fillId="0" fontId="2" numFmtId="0" xfId="0" applyAlignment="1" applyFont="1">
      <alignment shrinkToFit="0" vertical="top" wrapText="1"/>
    </xf>
    <xf borderId="3" fillId="0" fontId="2" numFmtId="49" xfId="0" applyAlignment="1" applyBorder="1" applyFont="1" applyNumberFormat="1">
      <alignment horizontal="left" shrinkToFit="0" vertical="top" wrapText="1"/>
    </xf>
    <xf borderId="3" fillId="9" fontId="16" numFmtId="0" xfId="0" applyAlignment="1" applyBorder="1" applyFont="1">
      <alignment readingOrder="0" shrinkToFit="0" vertical="top" wrapText="1"/>
    </xf>
    <xf borderId="3" fillId="15" fontId="17" numFmtId="0" xfId="0" applyAlignment="1" applyBorder="1" applyFont="1">
      <alignment shrinkToFit="0" vertical="center" wrapText="1"/>
    </xf>
    <xf borderId="3" fillId="15" fontId="17" numFmtId="0" xfId="0" applyAlignment="1" applyBorder="1" applyFont="1">
      <alignment shrinkToFit="0" vertical="top" wrapText="1"/>
    </xf>
    <xf borderId="3" fillId="0" fontId="18" numFmtId="0" xfId="0" applyAlignment="1" applyBorder="1" applyFont="1">
      <alignment horizontal="left" readingOrder="0" shrinkToFit="0" vertical="top" wrapText="1"/>
    </xf>
    <xf borderId="3" fillId="17" fontId="14" numFmtId="0" xfId="0" applyAlignment="1" applyBorder="1" applyFont="1">
      <alignment horizontal="left" readingOrder="0" shrinkToFit="0" vertical="top" wrapText="1"/>
    </xf>
    <xf borderId="3" fillId="9" fontId="16" numFmtId="0" xfId="0" applyAlignment="1" applyBorder="1" applyFont="1">
      <alignment shrinkToFit="0" vertical="top" wrapText="1"/>
    </xf>
    <xf borderId="3" fillId="0" fontId="12" numFmtId="49" xfId="0" applyAlignment="1" applyBorder="1" applyFont="1" applyNumberFormat="1">
      <alignment horizontal="left" readingOrder="0" shrinkToFit="0" vertical="top" wrapText="1"/>
    </xf>
    <xf borderId="3" fillId="0" fontId="12" numFmtId="0" xfId="0" applyAlignment="1" applyBorder="1" applyFont="1">
      <alignment horizontal="left" readingOrder="0" shrinkToFit="0" wrapText="1"/>
    </xf>
    <xf borderId="3" fillId="20" fontId="19" numFmtId="0" xfId="0" applyAlignment="1" applyBorder="1" applyFont="1">
      <alignment horizontal="left" readingOrder="0" shrinkToFit="0" vertical="top" wrapText="1"/>
    </xf>
    <xf borderId="3" fillId="18" fontId="19" numFmtId="49" xfId="0" applyAlignment="1" applyBorder="1" applyFont="1" applyNumberFormat="1">
      <alignment horizontal="left" readingOrder="0" shrinkToFit="0" vertical="top" wrapText="1"/>
    </xf>
    <xf borderId="3" fillId="18" fontId="19" numFmtId="0" xfId="0" applyAlignment="1" applyBorder="1" applyFont="1">
      <alignment horizontal="left" readingOrder="0" shrinkToFit="0" vertical="top" wrapText="1"/>
    </xf>
    <xf borderId="3" fillId="0" fontId="19" numFmtId="0" xfId="0" applyAlignment="1" applyBorder="1" applyFont="1">
      <alignment horizontal="left" readingOrder="0" shrinkToFit="0" vertical="top" wrapText="1"/>
    </xf>
    <xf borderId="3" fillId="0" fontId="19" numFmtId="49" xfId="0" applyAlignment="1" applyBorder="1" applyFont="1" applyNumberFormat="1">
      <alignment horizontal="left" readingOrder="0" shrinkToFit="0" vertical="top" wrapText="1"/>
    </xf>
    <xf borderId="3" fillId="17" fontId="15" numFmtId="49" xfId="0" applyAlignment="1" applyBorder="1" applyFont="1" applyNumberFormat="1">
      <alignment horizontal="left" readingOrder="0" shrinkToFit="0" vertical="top" wrapText="1"/>
    </xf>
    <xf borderId="3" fillId="17" fontId="11" numFmtId="0" xfId="0" applyAlignment="1" applyBorder="1" applyFont="1">
      <alignment horizontal="left" shrinkToFit="0" vertical="top" wrapText="1"/>
    </xf>
    <xf borderId="0" fillId="0" fontId="2" numFmtId="0" xfId="0" applyAlignment="1" applyFont="1">
      <alignment horizontal="left" readingOrder="0" shrinkToFit="0" vertical="top" wrapText="1"/>
    </xf>
    <xf borderId="3" fillId="17" fontId="11" numFmtId="49" xfId="0" applyAlignment="1" applyBorder="1" applyFont="1" applyNumberFormat="1">
      <alignment horizontal="left" shrinkToFit="0" vertical="top" wrapText="1"/>
    </xf>
    <xf borderId="3" fillId="17" fontId="20" numFmtId="0" xfId="0" applyAlignment="1" applyBorder="1" applyFont="1">
      <alignment horizontal="left" readingOrder="0" shrinkToFit="0" vertical="top" wrapText="1"/>
    </xf>
    <xf borderId="3" fillId="9" fontId="2" numFmtId="0" xfId="0" applyAlignment="1" applyBorder="1" applyFont="1">
      <alignment horizontal="left" shrinkToFit="0" vertical="center" wrapText="1"/>
    </xf>
    <xf borderId="3" fillId="20" fontId="12" numFmtId="0" xfId="0" applyAlignment="1" applyBorder="1" applyFont="1">
      <alignment horizontal="left" readingOrder="0" shrinkToFit="0" vertical="top" wrapText="1"/>
    </xf>
    <xf borderId="3" fillId="20" fontId="12" numFmtId="0" xfId="0" applyAlignment="1" applyBorder="1" applyFont="1">
      <alignment horizontal="left" readingOrder="0" shrinkToFit="0" vertical="top" wrapText="1"/>
    </xf>
    <xf borderId="3" fillId="0" fontId="21" numFmtId="0" xfId="0" applyAlignment="1" applyBorder="1" applyFont="1">
      <alignment horizontal="left" readingOrder="0" shrinkToFit="0" vertical="top" wrapText="1"/>
    </xf>
    <xf borderId="3" fillId="16" fontId="12" numFmtId="0" xfId="0" applyAlignment="1" applyBorder="1" applyFont="1">
      <alignment horizontal="left" readingOrder="0" shrinkToFit="0" vertical="top" wrapText="1"/>
    </xf>
    <xf borderId="3" fillId="5" fontId="9" numFmtId="0" xfId="0" applyAlignment="1" applyBorder="1" applyFont="1">
      <alignment horizontal="left" readingOrder="0" shrinkToFit="0" vertical="top" wrapText="1"/>
    </xf>
    <xf borderId="3" fillId="20" fontId="9" numFmtId="49" xfId="0" applyAlignment="1" applyBorder="1" applyFont="1" applyNumberFormat="1">
      <alignment horizontal="left" readingOrder="0" shrinkToFit="0" vertical="top" wrapText="1"/>
    </xf>
    <xf borderId="3" fillId="5" fontId="9" numFmtId="0" xfId="0" applyAlignment="1" applyBorder="1" applyFont="1">
      <alignment horizontal="left" readingOrder="0" vertical="top"/>
    </xf>
    <xf borderId="3" fillId="22" fontId="9" numFmtId="0" xfId="0" applyAlignment="1" applyBorder="1" applyFill="1" applyFont="1">
      <alignment horizontal="left" readingOrder="0" shrinkToFit="0" vertical="top" wrapText="1"/>
    </xf>
    <xf borderId="3" fillId="22" fontId="9" numFmtId="49" xfId="0" applyAlignment="1" applyBorder="1" applyFont="1" applyNumberFormat="1">
      <alignment horizontal="left" readingOrder="0" shrinkToFit="0" vertical="top" wrapText="1"/>
    </xf>
    <xf borderId="3" fillId="16" fontId="22" numFmtId="0" xfId="0" applyAlignment="1" applyBorder="1" applyFont="1">
      <alignment horizontal="left" readingOrder="0" shrinkToFit="0" vertical="top" wrapText="1"/>
    </xf>
    <xf borderId="3" fillId="5" fontId="2" numFmtId="0" xfId="0" applyAlignment="1" applyBorder="1" applyFont="1">
      <alignment horizontal="left" readingOrder="0" shrinkToFit="0" vertical="top" wrapText="1"/>
    </xf>
    <xf borderId="3" fillId="0" fontId="13" numFmtId="0" xfId="0" applyAlignment="1" applyBorder="1" applyFont="1">
      <alignment horizontal="left" shrinkToFit="0" vertical="top" wrapText="1"/>
    </xf>
    <xf borderId="3" fillId="14" fontId="12" numFmtId="0" xfId="0" applyAlignment="1" applyBorder="1" applyFont="1">
      <alignment horizontal="left" readingOrder="0" shrinkToFit="0" vertical="top" wrapText="1"/>
    </xf>
    <xf borderId="8" fillId="17" fontId="11" numFmtId="0" xfId="0" applyAlignment="1" applyBorder="1" applyFont="1">
      <alignment horizontal="left" shrinkToFit="0" vertical="top" wrapText="1"/>
    </xf>
    <xf borderId="3" fillId="5" fontId="21" numFmtId="0" xfId="0" applyAlignment="1" applyBorder="1" applyFont="1">
      <alignment horizontal="left" readingOrder="0" vertical="top"/>
    </xf>
    <xf borderId="0" fillId="0" fontId="11" numFmtId="0" xfId="0" applyAlignment="1" applyFont="1">
      <alignment horizontal="left" readingOrder="0" shrinkToFit="0" vertical="top" wrapText="1"/>
    </xf>
    <xf borderId="3" fillId="18" fontId="2" numFmtId="0" xfId="0" applyAlignment="1" applyBorder="1" applyFont="1">
      <alignment shrinkToFit="0" vertical="top" wrapText="1"/>
    </xf>
    <xf borderId="0" fillId="18" fontId="15" numFmtId="0" xfId="0" applyAlignment="1" applyFont="1">
      <alignment horizontal="left" readingOrder="0" shrinkToFit="0" vertical="top" wrapText="1"/>
    </xf>
    <xf borderId="0" fillId="18" fontId="15" numFmtId="0" xfId="0" applyAlignment="1" applyFont="1">
      <alignment horizontal="left" shrinkToFit="0" vertical="top" wrapText="1"/>
    </xf>
    <xf borderId="11" fillId="18" fontId="15" numFmtId="0" xfId="0" applyAlignment="1" applyBorder="1" applyFont="1">
      <alignment horizontal="left" shrinkToFit="0" vertical="top" wrapText="1"/>
    </xf>
    <xf borderId="3" fillId="0" fontId="19" numFmtId="49" xfId="0" applyAlignment="1" applyBorder="1" applyFont="1" applyNumberFormat="1">
      <alignment horizontal="left" shrinkToFit="0" vertical="top" wrapText="1"/>
    </xf>
    <xf borderId="3" fillId="0" fontId="19" numFmtId="0" xfId="0" applyAlignment="1" applyBorder="1" applyFont="1">
      <alignment horizontal="left" shrinkToFit="0" vertical="top" wrapText="1"/>
    </xf>
    <xf borderId="3" fillId="18" fontId="15" numFmtId="49" xfId="0" applyAlignment="1" applyBorder="1" applyFont="1" applyNumberFormat="1">
      <alignment horizontal="left" readingOrder="0" shrinkToFit="0" vertical="top" wrapText="1"/>
    </xf>
    <xf borderId="3" fillId="18" fontId="15" numFmtId="0" xfId="0" applyAlignment="1" applyBorder="1" applyFont="1">
      <alignment horizontal="left" shrinkToFit="0" vertical="top" wrapText="1"/>
    </xf>
    <xf borderId="3" fillId="18" fontId="23" numFmtId="0" xfId="0" applyAlignment="1" applyBorder="1" applyFont="1">
      <alignment horizontal="left" readingOrder="0" shrinkToFit="0" vertical="top" wrapText="1"/>
    </xf>
    <xf borderId="3" fillId="18" fontId="14" numFmtId="0" xfId="0" applyAlignment="1" applyBorder="1" applyFont="1">
      <alignment horizontal="left" readingOrder="0" shrinkToFit="0" vertical="top" wrapText="1"/>
    </xf>
    <xf borderId="3" fillId="18" fontId="2" numFmtId="0" xfId="0" applyAlignment="1" applyBorder="1" applyFont="1">
      <alignment readingOrder="0" shrinkToFit="0" vertical="top" wrapText="1"/>
    </xf>
    <xf borderId="3" fillId="18" fontId="2" numFmtId="49" xfId="0" applyAlignment="1" applyBorder="1" applyFont="1" applyNumberFormat="1">
      <alignment readingOrder="0" shrinkToFit="0" vertical="top" wrapText="1"/>
    </xf>
    <xf borderId="3" fillId="18" fontId="2" numFmtId="49" xfId="0" applyAlignment="1" applyBorder="1" applyFont="1" applyNumberFormat="1">
      <alignment shrinkToFit="0" vertical="top" wrapText="1"/>
    </xf>
    <xf borderId="3" fillId="18" fontId="15" numFmtId="0" xfId="0" applyAlignment="1" applyBorder="1" applyFont="1">
      <alignment readingOrder="0" shrinkToFit="0" vertical="top" wrapText="1"/>
    </xf>
    <xf borderId="3" fillId="18" fontId="15" numFmtId="0" xfId="0" applyAlignment="1" applyBorder="1" applyFont="1">
      <alignment horizontal="left" readingOrder="0" shrinkToFit="0" vertical="top" wrapText="1"/>
    </xf>
    <xf borderId="3" fillId="18" fontId="15" numFmtId="49" xfId="0" applyAlignment="1" applyBorder="1" applyFont="1" applyNumberFormat="1">
      <alignment horizontal="left" shrinkToFit="0" vertical="top" wrapText="1"/>
    </xf>
    <xf borderId="3" fillId="20" fontId="19" numFmtId="49" xfId="0" applyAlignment="1" applyBorder="1" applyFont="1" applyNumberFormat="1">
      <alignment horizontal="left" readingOrder="0" shrinkToFit="0" vertical="top" wrapText="1"/>
    </xf>
    <xf borderId="3" fillId="0" fontId="24" numFmtId="0" xfId="0" applyAlignment="1" applyBorder="1" applyFont="1">
      <alignment horizontal="left" readingOrder="0" shrinkToFit="0" vertical="top" wrapText="1"/>
    </xf>
    <xf borderId="10" fillId="0" fontId="19" numFmtId="0" xfId="0" applyAlignment="1" applyBorder="1" applyFont="1">
      <alignment horizontal="left" readingOrder="0" shrinkToFit="0" vertical="top" wrapText="1"/>
    </xf>
    <xf borderId="3" fillId="18" fontId="11" numFmtId="49" xfId="0" applyAlignment="1" applyBorder="1" applyFont="1" applyNumberFormat="1">
      <alignment horizontal="left" shrinkToFit="0" vertical="top" wrapText="1"/>
    </xf>
    <xf borderId="3" fillId="18" fontId="11" numFmtId="0" xfId="0" applyAlignment="1" applyBorder="1" applyFont="1">
      <alignment horizontal="left" shrinkToFit="0" vertical="top" wrapText="1"/>
    </xf>
    <xf borderId="3" fillId="22" fontId="19" numFmtId="0" xfId="0" applyAlignment="1" applyBorder="1" applyFont="1">
      <alignment horizontal="left" readingOrder="0" shrinkToFit="0" vertical="top" wrapText="1"/>
    </xf>
    <xf borderId="10" fillId="0" fontId="19" numFmtId="49" xfId="0" applyAlignment="1" applyBorder="1" applyFont="1" applyNumberFormat="1">
      <alignment horizontal="left" readingOrder="0" shrinkToFit="0" vertical="top" wrapText="1"/>
    </xf>
    <xf borderId="3" fillId="0" fontId="25" numFmtId="0" xfId="0" applyAlignment="1" applyBorder="1" applyFont="1">
      <alignment horizontal="left" readingOrder="0" shrinkToFit="0" vertical="top" wrapText="1"/>
    </xf>
    <xf borderId="3" fillId="18" fontId="14" numFmtId="0" xfId="0" applyAlignment="1" applyBorder="1" applyFont="1">
      <alignment readingOrder="0" shrinkToFit="0" vertical="top" wrapText="1"/>
    </xf>
    <xf borderId="3" fillId="0" fontId="26" numFmtId="0" xfId="0" applyAlignment="1" applyBorder="1" applyFont="1">
      <alignment horizontal="left" readingOrder="0" shrinkToFit="0" vertical="top" wrapText="1"/>
    </xf>
    <xf borderId="3" fillId="18" fontId="27" numFmtId="0" xfId="0" applyAlignment="1" applyBorder="1" applyFont="1">
      <alignment horizontal="left" readingOrder="0" shrinkToFit="0" vertical="top" wrapText="1"/>
    </xf>
    <xf borderId="3" fillId="22" fontId="19" numFmtId="49" xfId="0" applyAlignment="1" applyBorder="1" applyFont="1" applyNumberFormat="1">
      <alignment horizontal="left" readingOrder="0" shrinkToFit="0" vertical="top" wrapText="1"/>
    </xf>
    <xf borderId="3" fillId="16" fontId="2" numFmtId="0" xfId="0" applyAlignment="1" applyBorder="1" applyFont="1">
      <alignment horizontal="left" readingOrder="0" shrinkToFit="0" vertical="top" wrapText="1"/>
    </xf>
    <xf borderId="3" fillId="23" fontId="2" numFmtId="0" xfId="0" applyAlignment="1" applyBorder="1" applyFill="1" applyFont="1">
      <alignment readingOrder="0" shrinkToFit="0" vertical="top" wrapText="1"/>
    </xf>
    <xf borderId="3" fillId="0" fontId="2" numFmtId="0" xfId="0" applyAlignment="1" applyBorder="1" applyFont="1">
      <alignment readingOrder="0" shrinkToFit="0" vertical="top" wrapText="1"/>
    </xf>
    <xf borderId="3" fillId="20" fontId="2" numFmtId="49" xfId="0" applyAlignment="1" applyBorder="1" applyFont="1" applyNumberFormat="1">
      <alignment readingOrder="0" shrinkToFit="0" vertical="top" wrapText="1"/>
    </xf>
    <xf borderId="3" fillId="5" fontId="2" numFmtId="0" xfId="0" applyAlignment="1" applyBorder="1" applyFont="1">
      <alignment readingOrder="0" shrinkToFit="0" vertical="top" wrapText="1"/>
    </xf>
    <xf borderId="3" fillId="22" fontId="2" numFmtId="0" xfId="0" applyAlignment="1" applyBorder="1" applyFont="1">
      <alignment shrinkToFit="0" vertical="top" wrapText="1"/>
    </xf>
    <xf borderId="3" fillId="22" fontId="2" numFmtId="49" xfId="0" applyAlignment="1" applyBorder="1" applyFont="1" applyNumberFormat="1">
      <alignment readingOrder="0" shrinkToFit="0" vertical="top" wrapText="1"/>
    </xf>
    <xf borderId="3" fillId="16" fontId="15" numFmtId="0" xfId="0" applyAlignment="1" applyBorder="1" applyFont="1">
      <alignment horizontal="left" readingOrder="0" shrinkToFit="0" vertical="top" wrapText="1"/>
    </xf>
    <xf borderId="3" fillId="0" fontId="28" numFmtId="0" xfId="0" applyAlignment="1" applyBorder="1" applyFont="1">
      <alignment readingOrder="0" shrinkToFit="0" vertical="top" wrapText="1"/>
    </xf>
    <xf borderId="3" fillId="0" fontId="19" numFmtId="0" xfId="0" applyAlignment="1" applyBorder="1" applyFont="1">
      <alignment horizontal="left" shrinkToFit="0" vertical="top" wrapText="1"/>
    </xf>
    <xf borderId="3" fillId="18" fontId="10" numFmtId="0" xfId="0" applyAlignment="1" applyBorder="1" applyFont="1">
      <alignment horizontal="center" readingOrder="0" shrinkToFit="0" vertical="top" wrapText="1"/>
    </xf>
    <xf borderId="3" fillId="18" fontId="29" numFmtId="0" xfId="0" applyAlignment="1" applyBorder="1" applyFont="1">
      <alignment readingOrder="0" shrinkToFit="0" vertical="top" wrapText="1"/>
    </xf>
    <xf borderId="3" fillId="18" fontId="11" numFmtId="49" xfId="0" applyAlignment="1" applyBorder="1" applyFont="1" applyNumberFormat="1">
      <alignment readingOrder="0" shrinkToFit="0" vertical="top" wrapText="1"/>
    </xf>
    <xf borderId="3" fillId="0" fontId="11" numFmtId="0" xfId="0" applyAlignment="1" applyBorder="1" applyFont="1">
      <alignment horizontal="left" shrinkToFit="0" vertical="top" wrapText="1"/>
    </xf>
    <xf borderId="3" fillId="9" fontId="11" numFmtId="0" xfId="0" applyAlignment="1" applyBorder="1" applyFont="1">
      <alignment horizontal="left" shrinkToFit="0" vertical="top" wrapText="1"/>
    </xf>
    <xf borderId="3" fillId="14" fontId="13" numFmtId="0" xfId="0" applyAlignment="1" applyBorder="1" applyFont="1">
      <alignment horizontal="left" readingOrder="0" shrinkToFit="0" vertical="top" wrapText="1"/>
    </xf>
    <xf borderId="3" fillId="15" fontId="11" numFmtId="0" xfId="0" applyAlignment="1" applyBorder="1" applyFont="1">
      <alignment horizontal="left" shrinkToFit="0" vertical="top" wrapText="1"/>
    </xf>
    <xf borderId="3" fillId="18" fontId="27" numFmtId="0" xfId="0" applyAlignment="1" applyBorder="1" applyFont="1">
      <alignment readingOrder="0" shrinkToFit="0" vertical="top" wrapText="1"/>
    </xf>
    <xf borderId="3" fillId="18" fontId="15" numFmtId="49" xfId="0" applyAlignment="1" applyBorder="1" applyFont="1" applyNumberFormat="1">
      <alignment readingOrder="0" shrinkToFit="0" vertical="top" wrapText="1"/>
    </xf>
    <xf borderId="3" fillId="18" fontId="11" numFmtId="0" xfId="0" applyAlignment="1" applyBorder="1" applyFont="1">
      <alignment shrinkToFit="0" vertical="top" wrapText="1"/>
    </xf>
    <xf borderId="3" fillId="23" fontId="15" numFmtId="0" xfId="0" applyAlignment="1" applyBorder="1" applyFont="1">
      <alignment horizontal="left" readingOrder="0" shrinkToFit="0" vertical="top" wrapText="1"/>
    </xf>
    <xf borderId="3" fillId="24" fontId="19" numFmtId="49" xfId="0" applyAlignment="1" applyBorder="1" applyFill="1" applyFont="1" applyNumberFormat="1">
      <alignment horizontal="left" shrinkToFit="0" vertical="top" wrapText="1"/>
    </xf>
    <xf borderId="3" fillId="18" fontId="30" numFmtId="0" xfId="0" applyAlignment="1" applyBorder="1" applyFont="1">
      <alignment horizontal="left" shrinkToFit="0" vertical="top" wrapText="1"/>
    </xf>
    <xf borderId="3" fillId="0" fontId="23" numFmtId="0" xfId="0" applyAlignment="1" applyBorder="1" applyFont="1">
      <alignment horizontal="left" readingOrder="0" shrinkToFit="0" vertical="top" wrapText="1"/>
    </xf>
    <xf borderId="3" fillId="18" fontId="11" numFmtId="0" xfId="0" applyAlignment="1" applyBorder="1" applyFont="1">
      <alignment readingOrder="0" shrinkToFit="0" vertical="top" wrapText="1"/>
    </xf>
    <xf borderId="3" fillId="18" fontId="9" numFmtId="0" xfId="0" applyAlignment="1" applyBorder="1" applyFont="1">
      <alignment horizontal="left" shrinkToFit="0" vertical="top" wrapText="1"/>
    </xf>
    <xf borderId="0" fillId="25" fontId="2" numFmtId="0" xfId="0" applyAlignment="1" applyFill="1" applyFont="1">
      <alignment horizontal="left" readingOrder="0" shrinkToFit="0" vertical="top" wrapText="1"/>
    </xf>
    <xf borderId="3" fillId="9" fontId="31" numFmtId="0" xfId="0" applyAlignment="1" applyBorder="1" applyFont="1">
      <alignment shrinkToFit="0" vertical="top" wrapText="1"/>
    </xf>
    <xf borderId="3" fillId="0" fontId="31" numFmtId="0" xfId="0" applyAlignment="1" applyBorder="1" applyFont="1">
      <alignment shrinkToFit="0" vertical="top" wrapText="1"/>
    </xf>
    <xf borderId="3" fillId="0" fontId="2" numFmtId="0" xfId="0" applyAlignment="1" applyBorder="1" applyFont="1">
      <alignment shrinkToFit="0" vertical="top" wrapText="1"/>
    </xf>
    <xf borderId="3" fillId="0" fontId="2" numFmtId="49" xfId="0" applyAlignment="1" applyBorder="1" applyFont="1" applyNumberFormat="1">
      <alignment shrinkToFit="0" vertical="top" wrapText="1"/>
    </xf>
    <xf borderId="2" fillId="0" fontId="2" numFmtId="0" xfId="0" applyAlignment="1" applyBorder="1" applyFont="1">
      <alignment horizontal="left" shrinkToFit="0" vertical="top" wrapText="1"/>
    </xf>
    <xf borderId="3" fillId="20" fontId="31" numFmtId="49" xfId="0" applyAlignment="1" applyBorder="1" applyFont="1" applyNumberFormat="1">
      <alignment shrinkToFit="0" vertical="top" wrapText="1"/>
    </xf>
    <xf borderId="3" fillId="20" fontId="31" numFmtId="0" xfId="0" applyAlignment="1" applyBorder="1" applyFont="1">
      <alignment shrinkToFit="0" vertical="top" wrapText="1"/>
    </xf>
    <xf borderId="3" fillId="0" fontId="31" numFmtId="49" xfId="0" applyAlignment="1" applyBorder="1" applyFont="1" applyNumberFormat="1">
      <alignment shrinkToFit="0" vertical="top" wrapText="1"/>
    </xf>
    <xf borderId="3" fillId="14" fontId="32" numFmtId="0" xfId="0" applyAlignment="1" applyBorder="1" applyFont="1">
      <alignment shrinkToFit="0" vertical="top" wrapText="1"/>
    </xf>
    <xf borderId="3" fillId="0" fontId="32" numFmtId="0" xfId="0" applyAlignment="1" applyBorder="1" applyFont="1">
      <alignment shrinkToFit="0" vertical="top" wrapText="1"/>
    </xf>
    <xf borderId="3" fillId="20" fontId="32" numFmtId="0" xfId="0" applyAlignment="1" applyBorder="1" applyFont="1">
      <alignment shrinkToFit="0" vertical="top" wrapText="1"/>
    </xf>
    <xf borderId="3" fillId="0" fontId="32" numFmtId="49" xfId="0" applyAlignment="1" applyBorder="1" applyFont="1" applyNumberFormat="1">
      <alignment shrinkToFit="0" vertical="top" wrapText="1"/>
    </xf>
    <xf borderId="0" fillId="0" fontId="2" numFmtId="49" xfId="0" applyAlignment="1" applyFont="1" applyNumberFormat="1">
      <alignment horizontal="left" shrinkToFit="0" vertical="top" wrapText="1"/>
    </xf>
    <xf borderId="1" fillId="0" fontId="2" numFmtId="0" xfId="0" applyAlignment="1" applyBorder="1" applyFont="1">
      <alignment horizontal="left" shrinkToFit="0" vertical="top" wrapText="1"/>
    </xf>
    <xf borderId="0" fillId="0" fontId="33" numFmtId="0" xfId="0" applyAlignment="1" applyFont="1">
      <alignment readingOrder="0"/>
    </xf>
    <xf borderId="0" fillId="0" fontId="33" numFmtId="0" xfId="0" applyFont="1"/>
    <xf borderId="0" fillId="0" fontId="34" numFmtId="0" xfId="0" applyAlignment="1" applyFont="1">
      <alignment horizontal="center" readingOrder="0" shrinkToFit="0" vertical="bottom" wrapText="1"/>
    </xf>
    <xf borderId="0" fillId="0" fontId="35" numFmtId="0" xfId="0" applyAlignment="1" applyFont="1">
      <alignment horizontal="center" readingOrder="0" shrinkToFit="0" vertical="bottom" wrapText="1"/>
    </xf>
    <xf borderId="0" fillId="0" fontId="2" numFmtId="0" xfId="0" applyAlignment="1" applyFont="1">
      <alignment horizontal="center" readingOrder="0" shrinkToFit="0" vertical="top" wrapText="1"/>
    </xf>
    <xf borderId="0" fillId="0" fontId="36" numFmtId="0" xfId="0" applyAlignment="1" applyFont="1">
      <alignment horizontal="center" readingOrder="0" shrinkToFit="0" vertical="bottom" wrapText="1"/>
    </xf>
    <xf borderId="0" fillId="0" fontId="37" numFmtId="0" xfId="0" applyAlignment="1" applyFont="1">
      <alignment horizontal="center" shrinkToFit="0" vertical="bottom" wrapText="1"/>
    </xf>
    <xf borderId="2" fillId="16" fontId="38" numFmtId="0" xfId="0" applyAlignment="1" applyBorder="1" applyFont="1">
      <alignment horizontal="center" shrinkToFit="0" vertical="bottom" wrapText="1"/>
    </xf>
    <xf borderId="6" fillId="11" fontId="39" numFmtId="0" xfId="0" applyAlignment="1" applyBorder="1" applyFont="1">
      <alignment horizontal="center" readingOrder="0" shrinkToFit="0" vertical="center" wrapText="1"/>
    </xf>
    <xf borderId="3" fillId="8" fontId="40" numFmtId="0" xfId="0" applyAlignment="1" applyBorder="1" applyFont="1">
      <alignment horizontal="center" shrinkToFit="0" vertical="center" wrapText="1"/>
    </xf>
    <xf borderId="3" fillId="8" fontId="40" numFmtId="49" xfId="0" applyAlignment="1" applyBorder="1" applyFont="1" applyNumberFormat="1">
      <alignment horizontal="center" shrinkToFit="0" vertical="center" wrapText="1"/>
    </xf>
    <xf borderId="3" fillId="26" fontId="40" numFmtId="0" xfId="0" applyAlignment="1" applyBorder="1" applyFill="1" applyFont="1">
      <alignment horizontal="center" readingOrder="0" shrinkToFit="0" vertical="center" wrapText="1"/>
    </xf>
    <xf borderId="3" fillId="21" fontId="40" numFmtId="0" xfId="0" applyAlignment="1" applyBorder="1" applyFont="1">
      <alignment horizontal="center" shrinkToFit="0" vertical="center" wrapText="1"/>
    </xf>
    <xf borderId="3" fillId="10" fontId="41" numFmtId="0" xfId="0" applyAlignment="1" applyBorder="1" applyFont="1">
      <alignment horizontal="center" shrinkToFit="0" vertical="center" wrapText="1"/>
    </xf>
    <xf borderId="3" fillId="27" fontId="42" numFmtId="0" xfId="0" applyAlignment="1" applyBorder="1" applyFill="1" applyFont="1">
      <alignment horizontal="center" shrinkToFit="0" vertical="center" wrapText="1"/>
    </xf>
    <xf borderId="3" fillId="27" fontId="6" numFmtId="0" xfId="0" applyAlignment="1" applyBorder="1" applyFont="1">
      <alignment horizontal="center" shrinkToFit="0" vertical="center" wrapText="1"/>
    </xf>
    <xf borderId="3" fillId="27" fontId="31" numFmtId="0" xfId="0" applyAlignment="1" applyBorder="1" applyFont="1">
      <alignment horizontal="center" shrinkToFit="0" vertical="center" wrapText="1"/>
    </xf>
    <xf borderId="3" fillId="10" fontId="31" numFmtId="0" xfId="0" applyAlignment="1" applyBorder="1" applyFont="1">
      <alignment horizontal="center" shrinkToFit="0" vertical="center" wrapText="1"/>
    </xf>
    <xf borderId="3" fillId="9" fontId="31" numFmtId="0" xfId="0" applyAlignment="1" applyBorder="1" applyFont="1">
      <alignment horizontal="left" shrinkToFit="0" vertical="top" wrapText="1"/>
    </xf>
    <xf borderId="3" fillId="0" fontId="31" numFmtId="0" xfId="0" applyAlignment="1" applyBorder="1" applyFont="1">
      <alignment horizontal="left" shrinkToFit="0" vertical="top" wrapText="1"/>
    </xf>
    <xf borderId="3" fillId="0" fontId="43" numFmtId="0" xfId="0" applyAlignment="1" applyBorder="1" applyFont="1">
      <alignment horizontal="center" readingOrder="0" shrinkToFit="0" vertical="top" wrapText="1"/>
    </xf>
    <xf borderId="3" fillId="0" fontId="31" numFmtId="164" xfId="0" applyAlignment="1" applyBorder="1" applyFont="1" applyNumberFormat="1">
      <alignment horizontal="center" shrinkToFit="0" vertical="top" wrapText="1"/>
    </xf>
    <xf borderId="3" fillId="0" fontId="10" numFmtId="0" xfId="0" applyAlignment="1" applyBorder="1" applyFont="1">
      <alignment vertical="top"/>
    </xf>
    <xf borderId="3" fillId="0" fontId="31" numFmtId="0" xfId="0" applyAlignment="1" applyBorder="1" applyFont="1">
      <alignment horizontal="center" shrinkToFit="0" vertical="center" wrapText="1"/>
    </xf>
    <xf borderId="3" fillId="0" fontId="2" numFmtId="0" xfId="0" applyAlignment="1" applyBorder="1" applyFont="1">
      <alignment vertical="top"/>
    </xf>
    <xf borderId="3" fillId="0" fontId="31" numFmtId="0" xfId="0" applyAlignment="1" applyBorder="1" applyFont="1">
      <alignment horizontal="left" readingOrder="0" shrinkToFit="0" vertical="top" wrapText="1"/>
    </xf>
    <xf borderId="3" fillId="20" fontId="31" numFmtId="49" xfId="0" applyAlignment="1" applyBorder="1" applyFont="1" applyNumberFormat="1">
      <alignment horizontal="left" readingOrder="0" shrinkToFit="0" vertical="top" wrapText="1"/>
    </xf>
    <xf borderId="3" fillId="20" fontId="31" numFmtId="0" xfId="0" applyAlignment="1" applyBorder="1" applyFont="1">
      <alignment horizontal="left" readingOrder="0" shrinkToFit="0" vertical="top" wrapText="1"/>
    </xf>
    <xf borderId="3" fillId="0" fontId="31" numFmtId="49" xfId="0" applyAlignment="1" applyBorder="1" applyFont="1" applyNumberFormat="1">
      <alignment horizontal="left" shrinkToFit="0" vertical="top" wrapText="1"/>
    </xf>
    <xf borderId="3" fillId="16" fontId="31" numFmtId="0" xfId="0" applyAlignment="1" applyBorder="1" applyFont="1">
      <alignment horizontal="left" readingOrder="0" shrinkToFit="0" vertical="top" wrapText="1"/>
    </xf>
    <xf borderId="3" fillId="22" fontId="31" numFmtId="0" xfId="0" applyAlignment="1" applyBorder="1" applyFont="1">
      <alignment horizontal="left" shrinkToFit="0" vertical="top" wrapText="1"/>
    </xf>
    <xf borderId="3" fillId="0" fontId="43" numFmtId="164" xfId="0" applyAlignment="1" applyBorder="1" applyFont="1" applyNumberFormat="1">
      <alignment horizontal="center" shrinkToFit="0" vertical="top" wrapText="1"/>
    </xf>
    <xf quotePrefix="1" borderId="3" fillId="22" fontId="2" numFmtId="0" xfId="0" applyAlignment="1" applyBorder="1" applyFont="1">
      <alignment horizontal="center" shrinkToFit="0" vertical="top" wrapText="1"/>
    </xf>
    <xf borderId="3" fillId="0" fontId="44" numFmtId="0" xfId="0" applyAlignment="1" applyBorder="1" applyFont="1">
      <alignment horizontal="left" shrinkToFit="0" vertical="top" wrapText="1"/>
    </xf>
    <xf borderId="3" fillId="12" fontId="31" numFmtId="0" xfId="0" applyAlignment="1" applyBorder="1" applyFont="1">
      <alignment horizontal="left" readingOrder="0" shrinkToFit="0" vertical="top" wrapText="1"/>
    </xf>
    <xf borderId="3" fillId="12" fontId="31" numFmtId="49" xfId="0" applyAlignment="1" applyBorder="1" applyFont="1" applyNumberFormat="1">
      <alignment horizontal="left" shrinkToFit="0" vertical="top" wrapText="1"/>
    </xf>
    <xf borderId="3" fillId="0" fontId="45" numFmtId="0" xfId="0" applyAlignment="1" applyBorder="1" applyFont="1">
      <alignment horizontal="left" shrinkToFit="0" vertical="top" wrapText="1"/>
    </xf>
    <xf borderId="3" fillId="0" fontId="46" numFmtId="49" xfId="0" applyAlignment="1" applyBorder="1" applyFont="1" applyNumberFormat="1">
      <alignment horizontal="left" shrinkToFit="0" vertical="top" wrapText="1"/>
    </xf>
    <xf borderId="3" fillId="0" fontId="47" numFmtId="0" xfId="0" applyAlignment="1" applyBorder="1" applyFont="1">
      <alignment horizontal="left" shrinkToFit="0" vertical="top" wrapText="1"/>
    </xf>
    <xf quotePrefix="1" borderId="3" fillId="0" fontId="31" numFmtId="0" xfId="0" applyAlignment="1" applyBorder="1" applyFont="1">
      <alignment horizontal="left" shrinkToFit="0" vertical="top" wrapText="1"/>
    </xf>
    <xf borderId="3" fillId="0" fontId="48" numFmtId="0" xfId="0" applyAlignment="1" applyBorder="1" applyFont="1">
      <alignment horizontal="left" shrinkToFit="0" vertical="top" wrapText="1"/>
    </xf>
    <xf borderId="3" fillId="0" fontId="45" numFmtId="0" xfId="0" applyAlignment="1" applyBorder="1" applyFont="1">
      <alignment horizontal="center" shrinkToFit="0" vertical="center" wrapText="1"/>
    </xf>
    <xf borderId="3" fillId="0" fontId="49" numFmtId="0" xfId="0" applyAlignment="1" applyBorder="1" applyFont="1">
      <alignment horizontal="center" readingOrder="0" vertical="center"/>
    </xf>
    <xf borderId="3" fillId="14" fontId="49" numFmtId="0" xfId="0" applyAlignment="1" applyBorder="1" applyFont="1">
      <alignment horizontal="left" readingOrder="0" shrinkToFit="0" vertical="top" wrapText="1"/>
    </xf>
    <xf borderId="3" fillId="0" fontId="49" numFmtId="0" xfId="0" applyAlignment="1" applyBorder="1" applyFont="1">
      <alignment horizontal="left" readingOrder="0" shrinkToFit="0" vertical="top" wrapText="1"/>
    </xf>
    <xf borderId="3" fillId="0" fontId="49" numFmtId="164" xfId="0" applyAlignment="1" applyBorder="1" applyFont="1" applyNumberFormat="1">
      <alignment horizontal="center" readingOrder="0" shrinkToFit="0" vertical="top" wrapText="1"/>
    </xf>
    <xf borderId="3" fillId="0" fontId="49" numFmtId="0" xfId="0" applyAlignment="1" applyBorder="1" applyFont="1">
      <alignment horizontal="center" readingOrder="0" shrinkToFit="0" vertical="top" wrapText="1"/>
    </xf>
    <xf borderId="3" fillId="27" fontId="49" numFmtId="0" xfId="0" applyAlignment="1" applyBorder="1" applyFont="1">
      <alignment horizontal="center" readingOrder="0" vertical="center"/>
    </xf>
    <xf borderId="3" fillId="22" fontId="49" numFmtId="0" xfId="0" applyAlignment="1" applyBorder="1" applyFont="1">
      <alignment horizontal="left" readingOrder="0" shrinkToFit="0" vertical="top" wrapText="1"/>
    </xf>
    <xf borderId="3" fillId="0" fontId="49" numFmtId="49" xfId="0" applyAlignment="1" applyBorder="1" applyFont="1" applyNumberFormat="1">
      <alignment horizontal="left" readingOrder="0" shrinkToFit="0" vertical="top" wrapText="1"/>
    </xf>
    <xf borderId="3" fillId="0" fontId="50" numFmtId="164" xfId="0" applyAlignment="1" applyBorder="1" applyFont="1" applyNumberFormat="1">
      <alignment horizontal="center" readingOrder="0" shrinkToFit="0" vertical="top" wrapText="1"/>
    </xf>
    <xf borderId="3" fillId="18" fontId="49" numFmtId="0" xfId="0" applyAlignment="1" applyBorder="1" applyFont="1">
      <alignment horizontal="left" readingOrder="0" shrinkToFit="0" vertical="top" wrapText="1"/>
    </xf>
    <xf borderId="3" fillId="0" fontId="51" numFmtId="0" xfId="0" applyAlignment="1" applyBorder="1" applyFont="1">
      <alignment horizontal="left" readingOrder="0" shrinkToFit="0" vertical="top" wrapText="1"/>
    </xf>
    <xf borderId="3" fillId="0" fontId="49" numFmtId="49" xfId="0" applyAlignment="1" applyBorder="1" applyFont="1" applyNumberFormat="1">
      <alignment horizontal="left" shrinkToFit="0" vertical="top" wrapText="1"/>
    </xf>
    <xf borderId="3" fillId="0" fontId="52" numFmtId="0" xfId="0" applyAlignment="1" applyBorder="1" applyFont="1">
      <alignment horizontal="left" readingOrder="0" shrinkToFit="0" vertical="top" wrapText="1"/>
    </xf>
    <xf borderId="3" fillId="20" fontId="49" numFmtId="0" xfId="0" applyAlignment="1" applyBorder="1" applyFont="1">
      <alignment horizontal="left" readingOrder="0" shrinkToFit="0" vertical="top" wrapText="1"/>
    </xf>
    <xf borderId="3" fillId="0" fontId="50" numFmtId="0" xfId="0" applyAlignment="1" applyBorder="1" applyFont="1">
      <alignment horizontal="center" readingOrder="0" shrinkToFit="0" vertical="top" wrapText="1"/>
    </xf>
    <xf borderId="3" fillId="0" fontId="53" numFmtId="49" xfId="0" applyAlignment="1" applyBorder="1" applyFont="1" applyNumberFormat="1">
      <alignment horizontal="left" readingOrder="0" shrinkToFit="0" vertical="top" wrapText="1"/>
    </xf>
    <xf borderId="3" fillId="22" fontId="54" numFmtId="0" xfId="0" applyAlignment="1" applyBorder="1" applyFont="1">
      <alignment horizontal="left" readingOrder="0" shrinkToFit="0" vertical="top" wrapText="1"/>
    </xf>
    <xf borderId="3" fillId="0" fontId="54" numFmtId="49" xfId="0" applyAlignment="1" applyBorder="1" applyFont="1" applyNumberFormat="1">
      <alignment horizontal="left" readingOrder="0" shrinkToFit="0" vertical="top" wrapText="1"/>
    </xf>
    <xf borderId="3" fillId="0" fontId="54" numFmtId="0" xfId="0" applyAlignment="1" applyBorder="1" applyFont="1">
      <alignment horizontal="left" readingOrder="0" shrinkToFit="0" vertical="top" wrapText="1"/>
    </xf>
    <xf borderId="3" fillId="14" fontId="55" numFmtId="0" xfId="0" applyAlignment="1" applyBorder="1" applyFont="1">
      <alignment horizontal="left" readingOrder="0" shrinkToFit="0" vertical="top" wrapText="1"/>
    </xf>
    <xf borderId="3" fillId="22" fontId="49" numFmtId="0" xfId="0" applyAlignment="1" applyBorder="1" applyFont="1">
      <alignment horizontal="left" shrinkToFit="0" vertical="top" wrapText="1"/>
    </xf>
    <xf borderId="3" fillId="27" fontId="49" numFmtId="0" xfId="0" applyAlignment="1" applyBorder="1" applyFont="1">
      <alignment horizontal="center" readingOrder="0" shrinkToFit="0" vertical="center" wrapText="1"/>
    </xf>
    <xf borderId="3" fillId="0" fontId="49" numFmtId="0" xfId="0" applyAlignment="1" applyBorder="1" applyFont="1">
      <alignment horizontal="center" readingOrder="0" shrinkToFit="0" vertical="center" wrapText="1"/>
    </xf>
    <xf borderId="3" fillId="0" fontId="56" numFmtId="0" xfId="0" applyAlignment="1" applyBorder="1" applyFont="1">
      <alignment horizontal="left" readingOrder="0" shrinkToFit="0" vertical="top" wrapText="1"/>
    </xf>
    <xf borderId="3" fillId="0" fontId="57" numFmtId="49" xfId="0" applyAlignment="1" applyBorder="1" applyFont="1" applyNumberFormat="1">
      <alignment horizontal="left" readingOrder="0" shrinkToFit="0" vertical="top" wrapText="1"/>
    </xf>
    <xf borderId="12" fillId="0" fontId="49" numFmtId="0" xfId="0" applyAlignment="1" applyBorder="1" applyFont="1">
      <alignment horizontal="center" readingOrder="0" shrinkToFit="0" vertical="top" wrapText="1"/>
    </xf>
    <xf borderId="9" fillId="0" fontId="50" numFmtId="164" xfId="0" applyAlignment="1" applyBorder="1" applyFont="1" applyNumberFormat="1">
      <alignment horizontal="center" readingOrder="0" shrinkToFit="0" vertical="top" wrapText="1"/>
    </xf>
    <xf borderId="12" fillId="0" fontId="7" numFmtId="0" xfId="0" applyBorder="1" applyFont="1"/>
    <xf borderId="9" fillId="0" fontId="7" numFmtId="0" xfId="0" applyBorder="1" applyFont="1"/>
    <xf borderId="3" fillId="28" fontId="49" numFmtId="0" xfId="0" applyAlignment="1" applyBorder="1" applyFill="1" applyFont="1">
      <alignment horizontal="left" readingOrder="0" shrinkToFit="0" vertical="top" wrapText="1"/>
    </xf>
    <xf borderId="3" fillId="0" fontId="58" numFmtId="49" xfId="0" applyAlignment="1" applyBorder="1" applyFont="1" applyNumberFormat="1">
      <alignment horizontal="left" shrinkToFit="0" vertical="top" wrapText="1"/>
    </xf>
    <xf borderId="3" fillId="18" fontId="56" numFmtId="0" xfId="0" applyAlignment="1" applyBorder="1" applyFont="1">
      <alignment horizontal="left" readingOrder="0" shrinkToFit="0" vertical="top" wrapText="1"/>
    </xf>
    <xf borderId="3" fillId="0" fontId="9" numFmtId="0" xfId="0" applyAlignment="1" applyBorder="1" applyFont="1">
      <alignment readingOrder="0" shrinkToFit="0" vertical="top" wrapText="1"/>
    </xf>
    <xf borderId="3" fillId="0" fontId="9" numFmtId="164" xfId="0" applyAlignment="1" applyBorder="1" applyFont="1" applyNumberFormat="1">
      <alignment horizontal="center" readingOrder="0" shrinkToFit="0" vertical="top" wrapText="1"/>
    </xf>
    <xf borderId="0" fillId="18" fontId="12" numFmtId="0" xfId="0" applyAlignment="1" applyFont="1">
      <alignment horizontal="left" readingOrder="0" shrinkToFit="0" vertical="top" wrapText="1"/>
    </xf>
    <xf borderId="3" fillId="0" fontId="49" numFmtId="0" xfId="0" applyAlignment="1" applyBorder="1" applyFont="1">
      <alignment horizontal="left" shrinkToFit="0" vertical="top" wrapText="1"/>
    </xf>
    <xf borderId="0" fillId="0" fontId="9" numFmtId="0" xfId="0" applyAlignment="1" applyFont="1">
      <alignment readingOrder="0" shrinkToFit="0" vertical="top" wrapText="1"/>
    </xf>
    <xf borderId="0" fillId="0" fontId="9" numFmtId="164" xfId="0" applyAlignment="1" applyFont="1" applyNumberFormat="1">
      <alignment horizontal="center" readingOrder="0" shrinkToFit="0" vertical="top" wrapText="1"/>
    </xf>
    <xf borderId="6" fillId="0" fontId="49" numFmtId="0" xfId="0" applyAlignment="1" applyBorder="1" applyFont="1">
      <alignment horizontal="left" readingOrder="0" shrinkToFit="0" vertical="top" wrapText="1"/>
    </xf>
    <xf borderId="6" fillId="0" fontId="9" numFmtId="164" xfId="0" applyAlignment="1" applyBorder="1" applyFont="1" applyNumberFormat="1">
      <alignment horizontal="center" readingOrder="0" shrinkToFit="0" vertical="top" wrapText="1"/>
    </xf>
    <xf borderId="4" fillId="0" fontId="49" numFmtId="0" xfId="0" applyAlignment="1" applyBorder="1" applyFont="1">
      <alignment horizontal="left" readingOrder="0" shrinkToFit="0" vertical="top" wrapText="1"/>
    </xf>
    <xf borderId="4" fillId="0" fontId="9" numFmtId="164" xfId="0" applyAlignment="1" applyBorder="1" applyFont="1" applyNumberFormat="1">
      <alignment horizontal="center" readingOrder="0" shrinkToFit="0" vertical="top" wrapText="1"/>
    </xf>
    <xf borderId="3" fillId="0" fontId="9" numFmtId="0" xfId="0" applyAlignment="1" applyBorder="1" applyFont="1">
      <alignment horizontal="center" readingOrder="0" shrinkToFit="0" vertical="center" wrapText="1"/>
    </xf>
    <xf borderId="3" fillId="0" fontId="59" numFmtId="0" xfId="0" applyAlignment="1" applyBorder="1" applyFont="1">
      <alignment horizontal="left" readingOrder="0" shrinkToFit="0" vertical="top" wrapText="1"/>
    </xf>
    <xf borderId="3" fillId="0" fontId="60" numFmtId="164" xfId="0" applyAlignment="1" applyBorder="1" applyFont="1" applyNumberFormat="1">
      <alignment horizontal="center" readingOrder="0" shrinkToFit="0" vertical="top" wrapText="1"/>
    </xf>
    <xf borderId="3" fillId="0" fontId="9" numFmtId="0" xfId="0" applyAlignment="1" applyBorder="1" applyFont="1">
      <alignment shrinkToFit="0" vertical="top" wrapText="1"/>
    </xf>
    <xf borderId="3" fillId="0" fontId="61" numFmtId="0" xfId="0" applyAlignment="1" applyBorder="1" applyFont="1">
      <alignment horizontal="left" readingOrder="0" shrinkToFit="0" vertical="top" wrapText="1"/>
    </xf>
    <xf borderId="3" fillId="18" fontId="62" numFmtId="0" xfId="0" applyAlignment="1" applyBorder="1" applyFont="1">
      <alignment readingOrder="0" shrinkToFit="0" vertical="top" wrapText="1"/>
    </xf>
    <xf borderId="0" fillId="0" fontId="63" numFmtId="0" xfId="0" applyAlignment="1" applyFont="1">
      <alignment horizontal="left" readingOrder="0" shrinkToFit="0" vertical="top" wrapText="1"/>
    </xf>
    <xf borderId="3" fillId="0" fontId="64" numFmtId="0" xfId="0" applyAlignment="1" applyBorder="1" applyFont="1">
      <alignment horizontal="left" readingOrder="0" shrinkToFit="0" vertical="top" wrapText="1"/>
    </xf>
    <xf borderId="3" fillId="0" fontId="65" numFmtId="0" xfId="0" applyAlignment="1" applyBorder="1" applyFont="1">
      <alignment horizontal="center" readingOrder="0" shrinkToFit="0" vertical="top" wrapText="1"/>
    </xf>
    <xf borderId="0" fillId="0" fontId="9" numFmtId="0" xfId="0" applyAlignment="1" applyFont="1">
      <alignment horizontal="left" shrinkToFit="0" vertical="top" wrapText="1"/>
    </xf>
    <xf borderId="3" fillId="0" fontId="9" numFmtId="0" xfId="0" applyAlignment="1" applyBorder="1" applyFont="1">
      <alignment horizontal="center" readingOrder="0" shrinkToFit="0" vertical="top" wrapText="1"/>
    </xf>
    <xf borderId="0" fillId="0" fontId="60" numFmtId="0" xfId="0" applyAlignment="1" applyFont="1">
      <alignment horizontal="left" shrinkToFit="0" vertical="top" wrapText="1"/>
    </xf>
    <xf borderId="3" fillId="0" fontId="54" numFmtId="0" xfId="0" applyAlignment="1" applyBorder="1" applyFont="1">
      <alignment horizontal="center" readingOrder="0" vertical="center"/>
    </xf>
    <xf borderId="3" fillId="14" fontId="54" numFmtId="0" xfId="0" applyAlignment="1" applyBorder="1" applyFont="1">
      <alignment horizontal="left" readingOrder="0" shrinkToFit="0" vertical="top" wrapText="1"/>
    </xf>
    <xf borderId="3" fillId="0" fontId="54" numFmtId="164" xfId="0" applyAlignment="1" applyBorder="1" applyFont="1" applyNumberFormat="1">
      <alignment horizontal="center" readingOrder="0" shrinkToFit="0" vertical="top" wrapText="1"/>
    </xf>
    <xf borderId="3" fillId="0" fontId="60" numFmtId="0" xfId="0" applyAlignment="1" applyBorder="1" applyFont="1">
      <alignment horizontal="left" shrinkToFit="0" vertical="top" wrapText="1"/>
    </xf>
    <xf borderId="3" fillId="0" fontId="9" numFmtId="0" xfId="0" applyAlignment="1" applyBorder="1" applyFont="1">
      <alignment horizontal="center" readingOrder="0" vertical="center"/>
    </xf>
    <xf borderId="3" fillId="0" fontId="54" numFmtId="0" xfId="0" applyAlignment="1" applyBorder="1" applyFont="1">
      <alignment horizontal="left" shrinkToFit="0" vertical="top" wrapText="1"/>
    </xf>
    <xf borderId="3" fillId="0" fontId="60" numFmtId="0" xfId="0" applyAlignment="1" applyBorder="1" applyFont="1">
      <alignment horizontal="left" readingOrder="0" shrinkToFit="0" vertical="top" wrapText="1"/>
    </xf>
    <xf borderId="3" fillId="0" fontId="44" numFmtId="0" xfId="0" applyAlignment="1" applyBorder="1" applyFont="1">
      <alignment horizontal="left" readingOrder="0" shrinkToFit="0" vertical="top" wrapText="1"/>
    </xf>
    <xf borderId="3" fillId="0" fontId="54" numFmtId="49" xfId="0" applyAlignment="1" applyBorder="1" applyFont="1" applyNumberFormat="1">
      <alignment horizontal="lef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99.1.1.29/resources/xf/portal/table.html"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0" Type="http://schemas.openxmlformats.org/officeDocument/2006/relationships/hyperlink" Target="https://www.busan.go.kr/depart/ahpharmacy" TargetMode="External"/><Relationship Id="rId22" Type="http://schemas.openxmlformats.org/officeDocument/2006/relationships/hyperlink" Target="https://www.busan.go.kr/promophoto" TargetMode="External"/><Relationship Id="rId21" Type="http://schemas.openxmlformats.org/officeDocument/2006/relationships/hyperlink" Target="https://www.busan.go.kr/eng/e-newsletter" TargetMode="External"/><Relationship Id="rId24" Type="http://schemas.openxmlformats.org/officeDocument/2006/relationships/hyperlink" Target="https://www.busan.go.kr/depart/childtransport" TargetMode="External"/><Relationship Id="rId23" Type="http://schemas.openxmlformats.org/officeDocument/2006/relationships/hyperlink" Target="https://www.busan.go.kr/bschild/index.nm?menuCd=1" TargetMode="External"/><Relationship Id="rId1" Type="http://schemas.openxmlformats.org/officeDocument/2006/relationships/hyperlink" Target="https://www.law.go.kr/lsSc.do?section=&amp;menuId=1&amp;subMenuId=15&amp;tabMenuId=81&amp;eventGubun=060101&amp;query=%EA%B3%B5%EA%B3%B5%EA%B8%B0%EB%A1%9D%EB%AC%BC+%EA%B4%80%EB%A6%AC%EC%97%90+%EA%B4%80%ED%95%9C+%EB%B2%95%EB%A5%A0+%EC%8B%9C%ED%96%89%EB%A0%B9" TargetMode="External"/><Relationship Id="rId2" Type="http://schemas.openxmlformats.org/officeDocument/2006/relationships/hyperlink" Target="https://www.nts.go.kr/nts/cm/cntnts/cntntsView.do?mi=6457&amp;cntntsId=7893" TargetMode="External"/><Relationship Id="rId3" Type="http://schemas.openxmlformats.org/officeDocument/2006/relationships/hyperlink" Target="https://reserve.busan.go.kr/index" TargetMode="External"/><Relationship Id="rId4" Type="http://schemas.openxmlformats.org/officeDocument/2006/relationships/hyperlink" Target="https://reserve.busan.go.kr/notice/1578585?curPage=&amp;%20%20srchBeginDt=&amp;%20%20srchEndDt=&amp;%20%20srchKey=&amp;%20%20searchText=" TargetMode="External"/><Relationship Id="rId9" Type="http://schemas.openxmlformats.org/officeDocument/2006/relationships/hyperlink" Target="https://www.law.go.kr/lsSc.do?section=&amp;menuId=1&amp;subMenuId=15&amp;tabMenuId=81&amp;eventGubun=060101&amp;query=%EC%A7%80%EB%B0%A9%EC%84%B8%EB%B2%95" TargetMode="External"/><Relationship Id="rId26" Type="http://schemas.openxmlformats.org/officeDocument/2006/relationships/hyperlink" Target="https://www.busan.go.kr/gbinspec02" TargetMode="External"/><Relationship Id="rId25" Type="http://schemas.openxmlformats.org/officeDocument/2006/relationships/hyperlink" Target="https://www.busan.go.kr/opgfaq" TargetMode="External"/><Relationship Id="rId27" Type="http://schemas.openxmlformats.org/officeDocument/2006/relationships/drawing" Target="../drawings/drawing3.xml"/><Relationship Id="rId5" Type="http://schemas.openxmlformats.org/officeDocument/2006/relationships/hyperlink" Target="https://npas.mois.go.kr/nsbms/hmp/nfvnzBsisStat/nfvnzRegSituStat/asscInfoListM.do" TargetMode="External"/><Relationship Id="rId6" Type="http://schemas.openxmlformats.org/officeDocument/2006/relationships/hyperlink" Target="https://www.busan.go.kr/woman/whguideonline" TargetMode="External"/><Relationship Id="rId7" Type="http://schemas.openxmlformats.org/officeDocument/2006/relationships/hyperlink" Target="https://www.busan.go.kr/woman/whjobtrain" TargetMode="External"/><Relationship Id="rId8" Type="http://schemas.openxmlformats.org/officeDocument/2006/relationships/hyperlink" Target="https://www.airportnoise.kr/anps/reqst/SdfclInfo" TargetMode="External"/><Relationship Id="rId11" Type="http://schemas.openxmlformats.org/officeDocument/2006/relationships/hyperlink" Target="https://council.busan.go.kr/" TargetMode="External"/><Relationship Id="rId10" Type="http://schemas.openxmlformats.org/officeDocument/2006/relationships/hyperlink" Target="https://opinion.lawmaking.go.kr/" TargetMode="External"/><Relationship Id="rId13" Type="http://schemas.openxmlformats.org/officeDocument/2006/relationships/hyperlink" Target="https://gongu.copyright.or.kr/" TargetMode="External"/><Relationship Id="rId12" Type="http://schemas.openxmlformats.org/officeDocument/2006/relationships/hyperlink" Target="https://openhwp.azurewebsites.net/" TargetMode="External"/><Relationship Id="rId15" Type="http://schemas.openxmlformats.org/officeDocument/2006/relationships/hyperlink" Target="https://www.busan.go.kr/depart/abnotice/1701658?curPage=&amp;srchBeginDt=2024-10-21&amp;srchEndDt=2025-10-21&amp;srchKey=&amp;srchText=" TargetMode="External"/><Relationship Id="rId14" Type="http://schemas.openxmlformats.org/officeDocument/2006/relationships/hyperlink" Target="https://www.wetax.go.kr/tcp/wtg/J040104M01.do" TargetMode="External"/><Relationship Id="rId17" Type="http://schemas.openxmlformats.org/officeDocument/2006/relationships/hyperlink" Target="https://www.busan.go.kr/bhvisit" TargetMode="External"/><Relationship Id="rId16" Type="http://schemas.openxmlformats.org/officeDocument/2006/relationships/hyperlink" Target="https://www.busan.go.kr/depart/health02" TargetMode="External"/><Relationship Id="rId19" Type="http://schemas.openxmlformats.org/officeDocument/2006/relationships/hyperlink" Target="https://www.busan.go.kr/water/hdocoverview" TargetMode="External"/><Relationship Id="rId18" Type="http://schemas.openxmlformats.org/officeDocument/2006/relationships/hyperlink" Target="https://119.busan.go.kr/safeapt/safeapt01"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3.0" topLeftCell="A4" activePane="bottomLeft" state="frozen"/>
      <selection activeCell="B5" sqref="B5" pane="bottomLeft"/>
    </sheetView>
  </sheetViews>
  <sheetFormatPr customHeight="1" defaultColWidth="14.43" defaultRowHeight="15.0"/>
  <cols>
    <col customWidth="1" min="1" max="1" width="5.0"/>
    <col customWidth="1" min="2" max="2" width="30.71"/>
    <col customWidth="1" hidden="1" min="3" max="4" width="30.71"/>
    <col customWidth="1" hidden="1" min="5" max="5" width="20.71"/>
    <col customWidth="1" hidden="1" min="6" max="6" width="50.71"/>
    <col customWidth="1" min="7" max="7" width="50.71"/>
    <col customWidth="1" min="8" max="8" width="15.86"/>
    <col customWidth="1" min="9" max="9" width="12.71"/>
    <col customWidth="1" min="10" max="10" width="30.71"/>
    <col customWidth="1" min="11" max="11" width="10.71"/>
    <col customWidth="1" min="12" max="12" width="50.71"/>
    <col customWidth="1" min="13" max="13" width="14.86"/>
    <col customWidth="1" min="14" max="14" width="48.71"/>
    <col customWidth="1" min="15" max="15" width="29.14"/>
    <col customWidth="1" hidden="1" min="16" max="20" width="40.71"/>
    <col customWidth="1" min="21" max="21" width="15.71"/>
    <col customWidth="1" min="22" max="29" width="8.71"/>
  </cols>
  <sheetData>
    <row r="1" ht="30.0" customHeight="1">
      <c r="A1" s="1" t="s">
        <v>0</v>
      </c>
      <c r="G1" s="1"/>
      <c r="H1" s="2" t="s">
        <v>1</v>
      </c>
      <c r="I1" s="3">
        <f>COUNTIF(I4:I381,"참조문서확정")</f>
        <v>239</v>
      </c>
      <c r="J1" s="4" t="s">
        <v>2</v>
      </c>
      <c r="K1" s="5" t="s">
        <v>3</v>
      </c>
      <c r="L1" s="6" t="s">
        <v>4</v>
      </c>
      <c r="M1" s="7" t="s">
        <v>5</v>
      </c>
      <c r="N1" s="8">
        <f>COUNTIF(M4:M380, TRUE)</f>
        <v>213</v>
      </c>
      <c r="O1" s="9"/>
      <c r="P1" s="10"/>
      <c r="Q1" s="10"/>
      <c r="R1" s="11"/>
      <c r="S1" s="12"/>
      <c r="T1" s="12"/>
      <c r="U1" s="13"/>
      <c r="V1" s="13"/>
      <c r="W1" s="13"/>
      <c r="X1" s="13"/>
      <c r="Y1" s="13"/>
      <c r="Z1" s="13"/>
      <c r="AA1" s="13"/>
      <c r="AB1" s="13"/>
      <c r="AC1" s="13"/>
    </row>
    <row r="2" ht="19.5" customHeight="1">
      <c r="A2" s="14"/>
      <c r="B2" s="15"/>
      <c r="C2" s="14"/>
      <c r="D2" s="16" t="s">
        <v>6</v>
      </c>
      <c r="E2" s="17"/>
      <c r="F2" s="18" t="s">
        <v>7</v>
      </c>
      <c r="G2" s="17"/>
      <c r="H2" s="19" t="s">
        <v>8</v>
      </c>
      <c r="I2" s="17"/>
      <c r="J2" s="20" t="s">
        <v>9</v>
      </c>
      <c r="K2" s="21"/>
      <c r="L2" s="17"/>
      <c r="M2" s="22" t="s">
        <v>10</v>
      </c>
      <c r="N2" s="21"/>
      <c r="O2" s="17"/>
      <c r="P2" s="23" t="s">
        <v>11</v>
      </c>
      <c r="Q2" s="21"/>
      <c r="R2" s="21"/>
      <c r="S2" s="21"/>
      <c r="T2" s="17"/>
      <c r="U2" s="13"/>
      <c r="V2" s="13"/>
      <c r="W2" s="13"/>
      <c r="X2" s="13"/>
      <c r="Y2" s="13"/>
      <c r="Z2" s="13"/>
      <c r="AA2" s="13"/>
      <c r="AB2" s="13"/>
      <c r="AC2" s="13"/>
    </row>
    <row r="3" ht="19.5" customHeight="1">
      <c r="A3" s="24" t="s">
        <v>12</v>
      </c>
      <c r="B3" s="24" t="s">
        <v>13</v>
      </c>
      <c r="C3" s="24" t="s">
        <v>14</v>
      </c>
      <c r="D3" s="24" t="s">
        <v>15</v>
      </c>
      <c r="E3" s="24" t="s">
        <v>16</v>
      </c>
      <c r="F3" s="25" t="s">
        <v>17</v>
      </c>
      <c r="G3" s="26" t="s">
        <v>18</v>
      </c>
      <c r="H3" s="27" t="s">
        <v>19</v>
      </c>
      <c r="I3" s="27" t="s">
        <v>20</v>
      </c>
      <c r="J3" s="28" t="s">
        <v>21</v>
      </c>
      <c r="K3" s="29" t="s">
        <v>22</v>
      </c>
      <c r="L3" s="28" t="s">
        <v>23</v>
      </c>
      <c r="M3" s="30" t="s">
        <v>24</v>
      </c>
      <c r="N3" s="31" t="s">
        <v>25</v>
      </c>
      <c r="O3" s="32" t="s">
        <v>26</v>
      </c>
      <c r="P3" s="33" t="s">
        <v>27</v>
      </c>
      <c r="Q3" s="34" t="s">
        <v>28</v>
      </c>
      <c r="R3" s="34" t="s">
        <v>29</v>
      </c>
      <c r="S3" s="34" t="s">
        <v>30</v>
      </c>
      <c r="T3" s="34" t="s">
        <v>31</v>
      </c>
      <c r="U3" s="10"/>
      <c r="V3" s="10"/>
      <c r="W3" s="10"/>
      <c r="X3" s="10"/>
      <c r="Y3" s="10"/>
      <c r="Z3" s="10"/>
      <c r="AA3" s="10"/>
      <c r="AB3" s="10"/>
      <c r="AC3" s="10"/>
    </row>
    <row r="4" ht="16.5" customHeight="1">
      <c r="A4" s="35">
        <v>1.0</v>
      </c>
      <c r="B4" s="36" t="s">
        <v>32</v>
      </c>
      <c r="C4" s="37" t="s">
        <v>33</v>
      </c>
      <c r="D4" s="38" t="s">
        <v>34</v>
      </c>
      <c r="E4" s="38" t="s">
        <v>35</v>
      </c>
      <c r="F4" s="38" t="s">
        <v>36</v>
      </c>
      <c r="G4" s="39" t="s">
        <v>37</v>
      </c>
      <c r="H4" s="40" t="s">
        <v>38</v>
      </c>
      <c r="I4" s="39" t="s">
        <v>39</v>
      </c>
      <c r="J4" s="39" t="s">
        <v>40</v>
      </c>
      <c r="K4" s="41" t="s">
        <v>41</v>
      </c>
      <c r="L4" s="42" t="s">
        <v>42</v>
      </c>
      <c r="M4" s="43" t="b">
        <v>0</v>
      </c>
      <c r="N4" s="44"/>
      <c r="O4" s="45"/>
      <c r="P4" s="46"/>
      <c r="Q4" s="47"/>
      <c r="R4" s="47"/>
      <c r="S4" s="46"/>
      <c r="T4" s="46"/>
      <c r="U4" s="13"/>
      <c r="V4" s="13"/>
      <c r="W4" s="13"/>
      <c r="X4" s="13"/>
      <c r="Y4" s="13"/>
      <c r="Z4" s="13"/>
      <c r="AA4" s="13"/>
      <c r="AB4" s="13"/>
      <c r="AC4" s="13"/>
    </row>
    <row r="5" ht="16.5" customHeight="1">
      <c r="A5" s="35">
        <v>2.0</v>
      </c>
      <c r="B5" s="36" t="s">
        <v>43</v>
      </c>
      <c r="C5" s="37" t="s">
        <v>44</v>
      </c>
      <c r="D5" s="38" t="s">
        <v>45</v>
      </c>
      <c r="E5" s="38" t="s">
        <v>46</v>
      </c>
      <c r="F5" s="38" t="s">
        <v>47</v>
      </c>
      <c r="G5" s="48" t="s">
        <v>48</v>
      </c>
      <c r="H5" s="49" t="s">
        <v>49</v>
      </c>
      <c r="I5" s="39" t="s">
        <v>39</v>
      </c>
      <c r="J5" s="39" t="s">
        <v>50</v>
      </c>
      <c r="K5" s="41" t="s">
        <v>51</v>
      </c>
      <c r="L5" s="50" t="s">
        <v>52</v>
      </c>
      <c r="M5" s="51" t="b">
        <v>1</v>
      </c>
      <c r="N5" s="52" t="s">
        <v>53</v>
      </c>
      <c r="O5" s="46"/>
      <c r="P5" s="47" t="s">
        <v>54</v>
      </c>
      <c r="Q5" s="46" t="s">
        <v>55</v>
      </c>
      <c r="R5" s="47" t="s">
        <v>56</v>
      </c>
      <c r="S5" s="46"/>
      <c r="T5" s="53"/>
      <c r="U5" s="54"/>
      <c r="V5" s="13"/>
      <c r="W5" s="13"/>
      <c r="X5" s="13"/>
      <c r="Y5" s="13"/>
      <c r="Z5" s="13"/>
      <c r="AA5" s="13"/>
      <c r="AB5" s="13"/>
      <c r="AC5" s="13"/>
    </row>
    <row r="6" ht="16.5" hidden="1" customHeight="1">
      <c r="A6" s="35">
        <v>3.0</v>
      </c>
      <c r="B6" s="36" t="s">
        <v>57</v>
      </c>
      <c r="C6" s="37" t="s">
        <v>58</v>
      </c>
      <c r="D6" s="38" t="s">
        <v>59</v>
      </c>
      <c r="E6" s="38"/>
      <c r="F6" s="38" t="s">
        <v>60</v>
      </c>
      <c r="G6" s="39" t="s">
        <v>61</v>
      </c>
      <c r="H6" s="49" t="s">
        <v>62</v>
      </c>
      <c r="I6" s="39" t="s">
        <v>63</v>
      </c>
      <c r="J6" s="55"/>
      <c r="K6" s="56"/>
      <c r="L6" s="55"/>
      <c r="M6" s="51" t="b">
        <v>0</v>
      </c>
      <c r="N6" s="46"/>
      <c r="O6" s="46"/>
      <c r="P6" s="46" t="s">
        <v>64</v>
      </c>
      <c r="Q6" s="46" t="s">
        <v>65</v>
      </c>
      <c r="R6" s="47"/>
      <c r="S6" s="46"/>
      <c r="T6" s="46"/>
      <c r="U6" s="13"/>
      <c r="V6" s="13"/>
      <c r="W6" s="13"/>
      <c r="X6" s="13"/>
      <c r="Y6" s="13"/>
      <c r="Z6" s="13"/>
      <c r="AA6" s="13"/>
      <c r="AB6" s="13"/>
      <c r="AC6" s="13"/>
    </row>
    <row r="7" ht="16.5" hidden="1" customHeight="1">
      <c r="A7" s="35">
        <v>4.0</v>
      </c>
      <c r="B7" s="36" t="s">
        <v>66</v>
      </c>
      <c r="C7" s="37" t="s">
        <v>67</v>
      </c>
      <c r="D7" s="38" t="s">
        <v>68</v>
      </c>
      <c r="E7" s="38" t="s">
        <v>69</v>
      </c>
      <c r="F7" s="38" t="s">
        <v>70</v>
      </c>
      <c r="G7" s="39" t="s">
        <v>71</v>
      </c>
      <c r="H7" s="49" t="s">
        <v>62</v>
      </c>
      <c r="I7" s="39" t="s">
        <v>63</v>
      </c>
      <c r="J7" s="55"/>
      <c r="K7" s="56"/>
      <c r="L7" s="55"/>
      <c r="M7" s="51" t="b">
        <v>0</v>
      </c>
      <c r="N7" s="46"/>
      <c r="O7" s="46"/>
      <c r="P7" s="46" t="s">
        <v>72</v>
      </c>
      <c r="Q7" s="47" t="s">
        <v>73</v>
      </c>
      <c r="R7" s="47" t="s">
        <v>74</v>
      </c>
      <c r="S7" s="35" t="s">
        <v>75</v>
      </c>
      <c r="T7" s="46"/>
      <c r="U7" s="13"/>
      <c r="V7" s="13"/>
      <c r="W7" s="13"/>
      <c r="X7" s="13"/>
      <c r="Y7" s="13"/>
      <c r="Z7" s="13"/>
      <c r="AA7" s="13"/>
      <c r="AB7" s="13"/>
      <c r="AC7" s="13"/>
    </row>
    <row r="8" ht="16.5" customHeight="1">
      <c r="A8" s="35">
        <v>5.0</v>
      </c>
      <c r="B8" s="36" t="s">
        <v>76</v>
      </c>
      <c r="C8" s="37" t="s">
        <v>77</v>
      </c>
      <c r="D8" s="38" t="s">
        <v>78</v>
      </c>
      <c r="E8" s="38" t="s">
        <v>79</v>
      </c>
      <c r="F8" s="38" t="s">
        <v>80</v>
      </c>
      <c r="G8" s="39" t="s">
        <v>81</v>
      </c>
      <c r="H8" s="49" t="s">
        <v>49</v>
      </c>
      <c r="I8" s="39" t="s">
        <v>39</v>
      </c>
      <c r="J8" s="39" t="s">
        <v>82</v>
      </c>
      <c r="K8" s="41" t="s">
        <v>83</v>
      </c>
      <c r="L8" s="39" t="s">
        <v>84</v>
      </c>
      <c r="M8" s="51" t="b">
        <v>1</v>
      </c>
      <c r="N8" s="57" t="s">
        <v>85</v>
      </c>
      <c r="O8" s="46"/>
      <c r="P8" s="46" t="s">
        <v>86</v>
      </c>
      <c r="Q8" s="47"/>
      <c r="R8" s="46"/>
      <c r="S8" s="46"/>
      <c r="T8" s="46"/>
      <c r="U8" s="13"/>
      <c r="V8" s="13"/>
      <c r="W8" s="13"/>
      <c r="X8" s="13"/>
      <c r="Y8" s="13"/>
      <c r="Z8" s="13"/>
      <c r="AA8" s="13"/>
      <c r="AB8" s="13"/>
      <c r="AC8" s="13"/>
    </row>
    <row r="9" ht="16.5" customHeight="1">
      <c r="A9" s="35">
        <v>6.0</v>
      </c>
      <c r="B9" s="36" t="s">
        <v>87</v>
      </c>
      <c r="C9" s="37" t="s">
        <v>88</v>
      </c>
      <c r="D9" s="38" t="s">
        <v>89</v>
      </c>
      <c r="E9" s="38"/>
      <c r="F9" s="38" t="s">
        <v>90</v>
      </c>
      <c r="G9" s="39" t="s">
        <v>91</v>
      </c>
      <c r="H9" s="49" t="s">
        <v>49</v>
      </c>
      <c r="I9" s="39" t="s">
        <v>39</v>
      </c>
      <c r="J9" s="39" t="s">
        <v>92</v>
      </c>
      <c r="K9" s="41" t="s">
        <v>93</v>
      </c>
      <c r="L9" s="55"/>
      <c r="M9" s="51" t="b">
        <v>1</v>
      </c>
      <c r="N9" s="57" t="s">
        <v>94</v>
      </c>
      <c r="O9" s="45" t="s">
        <v>95</v>
      </c>
      <c r="P9" s="57" t="s">
        <v>96</v>
      </c>
      <c r="Q9" s="47"/>
      <c r="R9" s="47"/>
      <c r="S9" s="46"/>
      <c r="T9" s="46"/>
      <c r="U9" s="13"/>
      <c r="V9" s="13"/>
      <c r="W9" s="13"/>
      <c r="X9" s="13"/>
      <c r="Y9" s="13"/>
      <c r="Z9" s="13"/>
      <c r="AA9" s="13"/>
      <c r="AB9" s="13"/>
      <c r="AC9" s="13"/>
    </row>
    <row r="10" ht="16.5" customHeight="1">
      <c r="A10" s="35">
        <v>7.0</v>
      </c>
      <c r="B10" s="36" t="s">
        <v>97</v>
      </c>
      <c r="C10" s="37" t="s">
        <v>98</v>
      </c>
      <c r="D10" s="38" t="s">
        <v>99</v>
      </c>
      <c r="E10" s="38" t="s">
        <v>100</v>
      </c>
      <c r="F10" s="38" t="s">
        <v>101</v>
      </c>
      <c r="G10" s="39" t="s">
        <v>102</v>
      </c>
      <c r="H10" s="49" t="s">
        <v>38</v>
      </c>
      <c r="I10" s="58" t="s">
        <v>39</v>
      </c>
      <c r="J10" s="59" t="s">
        <v>103</v>
      </c>
      <c r="K10" s="41" t="s">
        <v>104</v>
      </c>
      <c r="L10" s="60" t="s">
        <v>105</v>
      </c>
      <c r="M10" s="43" t="b">
        <v>1</v>
      </c>
      <c r="N10" s="61" t="s">
        <v>106</v>
      </c>
      <c r="O10" s="62"/>
      <c r="P10" s="46"/>
      <c r="Q10" s="47"/>
      <c r="R10" s="47"/>
      <c r="S10" s="46"/>
      <c r="T10" s="46"/>
      <c r="U10" s="13"/>
      <c r="V10" s="13"/>
      <c r="W10" s="13"/>
      <c r="X10" s="13"/>
      <c r="Y10" s="13"/>
      <c r="Z10" s="13"/>
      <c r="AA10" s="13"/>
      <c r="AB10" s="13"/>
      <c r="AC10" s="13"/>
    </row>
    <row r="11" ht="16.5" customHeight="1">
      <c r="A11" s="35">
        <v>8.0</v>
      </c>
      <c r="B11" s="36" t="s">
        <v>107</v>
      </c>
      <c r="C11" s="37" t="s">
        <v>108</v>
      </c>
      <c r="D11" s="38" t="s">
        <v>109</v>
      </c>
      <c r="E11" s="38" t="s">
        <v>110</v>
      </c>
      <c r="F11" s="38" t="s">
        <v>111</v>
      </c>
      <c r="G11" s="39" t="s">
        <v>112</v>
      </c>
      <c r="H11" s="49" t="s">
        <v>38</v>
      </c>
      <c r="I11" s="58" t="s">
        <v>39</v>
      </c>
      <c r="J11" s="59" t="s">
        <v>103</v>
      </c>
      <c r="K11" s="41" t="s">
        <v>104</v>
      </c>
      <c r="L11" s="60" t="s">
        <v>105</v>
      </c>
      <c r="M11" s="43" t="b">
        <v>1</v>
      </c>
      <c r="N11" s="61" t="s">
        <v>106</v>
      </c>
      <c r="O11" s="62"/>
      <c r="P11" s="63" t="s">
        <v>113</v>
      </c>
      <c r="Q11" s="63" t="s">
        <v>114</v>
      </c>
      <c r="R11" s="47"/>
      <c r="S11" s="46"/>
      <c r="T11" s="46"/>
      <c r="U11" s="13"/>
      <c r="V11" s="13"/>
      <c r="W11" s="13"/>
      <c r="X11" s="13"/>
      <c r="Y11" s="13"/>
      <c r="Z11" s="13"/>
      <c r="AA11" s="13"/>
      <c r="AB11" s="13"/>
      <c r="AC11" s="13"/>
    </row>
    <row r="12" ht="16.5" customHeight="1">
      <c r="A12" s="35">
        <v>9.0</v>
      </c>
      <c r="B12" s="36" t="s">
        <v>115</v>
      </c>
      <c r="C12" s="37" t="s">
        <v>116</v>
      </c>
      <c r="D12" s="38" t="s">
        <v>117</v>
      </c>
      <c r="E12" s="38" t="s">
        <v>118</v>
      </c>
      <c r="F12" s="38" t="s">
        <v>119</v>
      </c>
      <c r="G12" s="39" t="s">
        <v>120</v>
      </c>
      <c r="H12" s="49" t="s">
        <v>49</v>
      </c>
      <c r="I12" s="39" t="s">
        <v>39</v>
      </c>
      <c r="J12" s="39" t="s">
        <v>121</v>
      </c>
      <c r="K12" s="41" t="s">
        <v>122</v>
      </c>
      <c r="L12" s="39" t="s">
        <v>123</v>
      </c>
      <c r="M12" s="51" t="b">
        <v>1</v>
      </c>
      <c r="N12" s="57" t="s">
        <v>124</v>
      </c>
      <c r="O12" s="46"/>
      <c r="P12" s="46" t="s">
        <v>125</v>
      </c>
      <c r="Q12" s="46" t="s">
        <v>126</v>
      </c>
      <c r="R12" s="46"/>
      <c r="S12" s="46"/>
      <c r="T12" s="46"/>
      <c r="U12" s="13"/>
      <c r="V12" s="13"/>
      <c r="W12" s="13"/>
      <c r="X12" s="13"/>
      <c r="Y12" s="13"/>
      <c r="Z12" s="13"/>
      <c r="AA12" s="13"/>
      <c r="AB12" s="13"/>
      <c r="AC12" s="13"/>
    </row>
    <row r="13" ht="16.5" customHeight="1">
      <c r="A13" s="35">
        <v>10.0</v>
      </c>
      <c r="B13" s="36" t="s">
        <v>127</v>
      </c>
      <c r="C13" s="37" t="s">
        <v>128</v>
      </c>
      <c r="D13" s="38" t="s">
        <v>129</v>
      </c>
      <c r="E13" s="38" t="s">
        <v>130</v>
      </c>
      <c r="F13" s="38" t="s">
        <v>131</v>
      </c>
      <c r="G13" s="39" t="s">
        <v>132</v>
      </c>
      <c r="H13" s="49" t="s">
        <v>49</v>
      </c>
      <c r="I13" s="39" t="s">
        <v>39</v>
      </c>
      <c r="J13" s="39" t="s">
        <v>121</v>
      </c>
      <c r="K13" s="41" t="s">
        <v>122</v>
      </c>
      <c r="L13" s="39" t="s">
        <v>123</v>
      </c>
      <c r="M13" s="51" t="b">
        <v>1</v>
      </c>
      <c r="N13" s="64" t="s">
        <v>124</v>
      </c>
      <c r="O13" s="35"/>
      <c r="P13" s="63" t="s">
        <v>133</v>
      </c>
      <c r="Q13" s="63" t="s">
        <v>134</v>
      </c>
      <c r="R13" s="47"/>
      <c r="S13" s="46"/>
      <c r="T13" s="46"/>
      <c r="U13" s="13"/>
      <c r="V13" s="13"/>
      <c r="W13" s="13"/>
      <c r="X13" s="13"/>
      <c r="Y13" s="13"/>
      <c r="Z13" s="13"/>
      <c r="AA13" s="13"/>
      <c r="AB13" s="13"/>
      <c r="AC13" s="13"/>
    </row>
    <row r="14" ht="16.5" customHeight="1">
      <c r="A14" s="35">
        <v>11.0</v>
      </c>
      <c r="B14" s="36" t="s">
        <v>135</v>
      </c>
      <c r="C14" s="37" t="s">
        <v>136</v>
      </c>
      <c r="D14" s="38" t="s">
        <v>137</v>
      </c>
      <c r="E14" s="38"/>
      <c r="F14" s="38" t="s">
        <v>90</v>
      </c>
      <c r="G14" s="39" t="s">
        <v>91</v>
      </c>
      <c r="H14" s="49" t="s">
        <v>49</v>
      </c>
      <c r="I14" s="39" t="s">
        <v>39</v>
      </c>
      <c r="J14" s="39" t="s">
        <v>92</v>
      </c>
      <c r="K14" s="41" t="s">
        <v>93</v>
      </c>
      <c r="L14" s="65"/>
      <c r="M14" s="51" t="b">
        <v>1</v>
      </c>
      <c r="N14" s="57" t="s">
        <v>94</v>
      </c>
      <c r="O14" s="45" t="s">
        <v>95</v>
      </c>
      <c r="P14" s="46" t="s">
        <v>138</v>
      </c>
      <c r="Q14" s="47"/>
      <c r="R14" s="47"/>
      <c r="S14" s="46"/>
      <c r="T14" s="46"/>
      <c r="U14" s="13"/>
      <c r="V14" s="13"/>
      <c r="W14" s="13"/>
      <c r="X14" s="13"/>
      <c r="Y14" s="13"/>
      <c r="Z14" s="13"/>
      <c r="AA14" s="13"/>
      <c r="AB14" s="13"/>
      <c r="AC14" s="13"/>
    </row>
    <row r="15" ht="16.5" hidden="1" customHeight="1">
      <c r="A15" s="35">
        <v>12.0</v>
      </c>
      <c r="B15" s="36" t="s">
        <v>139</v>
      </c>
      <c r="C15" s="37" t="s">
        <v>140</v>
      </c>
      <c r="D15" s="38" t="s">
        <v>141</v>
      </c>
      <c r="E15" s="38" t="s">
        <v>142</v>
      </c>
      <c r="F15" s="38" t="s">
        <v>143</v>
      </c>
      <c r="G15" s="39" t="s">
        <v>144</v>
      </c>
      <c r="H15" s="49" t="s">
        <v>62</v>
      </c>
      <c r="I15" s="39" t="s">
        <v>63</v>
      </c>
      <c r="J15" s="55"/>
      <c r="K15" s="56"/>
      <c r="L15" s="55"/>
      <c r="M15" s="51" t="b">
        <v>0</v>
      </c>
      <c r="N15" s="63"/>
      <c r="O15" s="63"/>
      <c r="P15" s="63" t="s">
        <v>145</v>
      </c>
      <c r="Q15" s="47"/>
      <c r="R15" s="47"/>
      <c r="S15" s="46"/>
      <c r="T15" s="46"/>
      <c r="U15" s="13"/>
      <c r="V15" s="13"/>
      <c r="W15" s="13"/>
      <c r="X15" s="13"/>
      <c r="Y15" s="13"/>
      <c r="Z15" s="13"/>
      <c r="AA15" s="13"/>
      <c r="AB15" s="13"/>
      <c r="AC15" s="13"/>
    </row>
    <row r="16" ht="16.5" customHeight="1">
      <c r="A16" s="35">
        <v>13.0</v>
      </c>
      <c r="B16" s="36" t="s">
        <v>146</v>
      </c>
      <c r="C16" s="37" t="s">
        <v>147</v>
      </c>
      <c r="D16" s="38" t="s">
        <v>148</v>
      </c>
      <c r="E16" s="38"/>
      <c r="F16" s="38" t="s">
        <v>149</v>
      </c>
      <c r="G16" s="39" t="s">
        <v>150</v>
      </c>
      <c r="H16" s="49" t="s">
        <v>38</v>
      </c>
      <c r="I16" s="39" t="s">
        <v>39</v>
      </c>
      <c r="J16" s="66" t="s">
        <v>151</v>
      </c>
      <c r="K16" s="67" t="s">
        <v>152</v>
      </c>
      <c r="L16" s="39" t="s">
        <v>153</v>
      </c>
      <c r="M16" s="51" t="b">
        <v>1</v>
      </c>
      <c r="N16" s="68" t="s">
        <v>154</v>
      </c>
      <c r="O16" s="69"/>
      <c r="P16" s="46"/>
      <c r="Q16" s="47"/>
      <c r="R16" s="47"/>
      <c r="S16" s="46"/>
      <c r="T16" s="46"/>
      <c r="U16" s="13"/>
      <c r="V16" s="13"/>
      <c r="W16" s="13"/>
      <c r="X16" s="13"/>
      <c r="Y16" s="13"/>
      <c r="Z16" s="13"/>
      <c r="AA16" s="13"/>
      <c r="AB16" s="13"/>
      <c r="AC16" s="13"/>
    </row>
    <row r="17" ht="16.5" customHeight="1">
      <c r="A17" s="35">
        <v>14.0</v>
      </c>
      <c r="B17" s="36" t="s">
        <v>155</v>
      </c>
      <c r="C17" s="37" t="s">
        <v>156</v>
      </c>
      <c r="D17" s="38" t="s">
        <v>157</v>
      </c>
      <c r="E17" s="38" t="s">
        <v>158</v>
      </c>
      <c r="F17" s="38" t="s">
        <v>159</v>
      </c>
      <c r="G17" s="48" t="s">
        <v>160</v>
      </c>
      <c r="H17" s="49" t="s">
        <v>38</v>
      </c>
      <c r="I17" s="58" t="s">
        <v>39</v>
      </c>
      <c r="J17" s="39" t="s">
        <v>161</v>
      </c>
      <c r="K17" s="41" t="s">
        <v>162</v>
      </c>
      <c r="L17" s="39" t="s">
        <v>163</v>
      </c>
      <c r="M17" s="51" t="b">
        <v>1</v>
      </c>
      <c r="N17" s="70" t="s">
        <v>164</v>
      </c>
      <c r="O17" s="35"/>
      <c r="P17" s="63" t="s">
        <v>165</v>
      </c>
      <c r="Q17" s="71" t="s">
        <v>166</v>
      </c>
      <c r="R17" s="47"/>
      <c r="S17" s="46"/>
      <c r="T17" s="46"/>
      <c r="U17" s="13"/>
      <c r="V17" s="13"/>
      <c r="W17" s="13"/>
      <c r="X17" s="13"/>
      <c r="Y17" s="13"/>
      <c r="Z17" s="13"/>
      <c r="AA17" s="13"/>
      <c r="AB17" s="13"/>
      <c r="AC17" s="13"/>
    </row>
    <row r="18" ht="16.5" customHeight="1">
      <c r="A18" s="35">
        <v>15.0</v>
      </c>
      <c r="B18" s="36" t="s">
        <v>167</v>
      </c>
      <c r="C18" s="37" t="s">
        <v>168</v>
      </c>
      <c r="D18" s="38" t="s">
        <v>169</v>
      </c>
      <c r="E18" s="38"/>
      <c r="F18" s="38" t="s">
        <v>170</v>
      </c>
      <c r="G18" s="39" t="s">
        <v>171</v>
      </c>
      <c r="H18" s="49" t="s">
        <v>49</v>
      </c>
      <c r="I18" s="39" t="s">
        <v>39</v>
      </c>
      <c r="J18" s="39" t="s">
        <v>172</v>
      </c>
      <c r="K18" s="41" t="s">
        <v>173</v>
      </c>
      <c r="L18" s="39" t="s">
        <v>174</v>
      </c>
      <c r="M18" s="51" t="b">
        <v>1</v>
      </c>
      <c r="N18" s="57" t="s">
        <v>175</v>
      </c>
      <c r="O18" s="45" t="s">
        <v>176</v>
      </c>
      <c r="P18" s="46" t="s">
        <v>177</v>
      </c>
      <c r="Q18" s="47"/>
      <c r="R18" s="47"/>
      <c r="S18" s="46"/>
      <c r="T18" s="46"/>
      <c r="U18" s="13"/>
      <c r="V18" s="13"/>
      <c r="W18" s="13"/>
      <c r="X18" s="13"/>
      <c r="Y18" s="13"/>
      <c r="Z18" s="13"/>
      <c r="AA18" s="13"/>
      <c r="AB18" s="13"/>
      <c r="AC18" s="13"/>
    </row>
    <row r="19" ht="16.5" customHeight="1">
      <c r="A19" s="35">
        <v>16.0</v>
      </c>
      <c r="B19" s="36" t="s">
        <v>178</v>
      </c>
      <c r="C19" s="37" t="s">
        <v>179</v>
      </c>
      <c r="D19" s="38" t="s">
        <v>180</v>
      </c>
      <c r="E19" s="38"/>
      <c r="F19" s="38" t="s">
        <v>181</v>
      </c>
      <c r="G19" s="48" t="s">
        <v>182</v>
      </c>
      <c r="H19" s="49" t="s">
        <v>49</v>
      </c>
      <c r="I19" s="39" t="s">
        <v>39</v>
      </c>
      <c r="J19" s="39" t="s">
        <v>172</v>
      </c>
      <c r="K19" s="41" t="s">
        <v>173</v>
      </c>
      <c r="L19" s="39" t="s">
        <v>183</v>
      </c>
      <c r="M19" s="51" t="b">
        <v>1</v>
      </c>
      <c r="N19" s="72" t="s">
        <v>175</v>
      </c>
      <c r="O19" s="73"/>
      <c r="P19" s="47"/>
      <c r="Q19" s="47"/>
      <c r="R19" s="47"/>
      <c r="S19" s="46"/>
      <c r="T19" s="46"/>
      <c r="U19" s="13"/>
      <c r="V19" s="13"/>
      <c r="W19" s="13"/>
      <c r="X19" s="13"/>
      <c r="Y19" s="13"/>
      <c r="Z19" s="13"/>
      <c r="AA19" s="13"/>
      <c r="AB19" s="13"/>
      <c r="AC19" s="13"/>
    </row>
    <row r="20" ht="16.5" customHeight="1">
      <c r="A20" s="35">
        <v>17.0</v>
      </c>
      <c r="B20" s="36" t="s">
        <v>184</v>
      </c>
      <c r="C20" s="37" t="s">
        <v>185</v>
      </c>
      <c r="D20" s="38" t="s">
        <v>186</v>
      </c>
      <c r="E20" s="38"/>
      <c r="F20" s="38" t="s">
        <v>187</v>
      </c>
      <c r="G20" s="39" t="s">
        <v>188</v>
      </c>
      <c r="H20" s="49" t="s">
        <v>38</v>
      </c>
      <c r="I20" s="39" t="s">
        <v>39</v>
      </c>
      <c r="J20" s="66" t="s">
        <v>151</v>
      </c>
      <c r="K20" s="41" t="s">
        <v>173</v>
      </c>
      <c r="L20" s="39" t="s">
        <v>189</v>
      </c>
      <c r="M20" s="51" t="b">
        <v>1</v>
      </c>
      <c r="N20" s="68" t="s">
        <v>190</v>
      </c>
      <c r="O20" s="45" t="s">
        <v>191</v>
      </c>
      <c r="P20" s="46"/>
      <c r="Q20" s="47"/>
      <c r="R20" s="47"/>
      <c r="S20" s="46"/>
      <c r="T20" s="46"/>
      <c r="U20" s="13"/>
      <c r="V20" s="13"/>
      <c r="W20" s="13"/>
      <c r="X20" s="13"/>
      <c r="Y20" s="13"/>
      <c r="Z20" s="13"/>
      <c r="AA20" s="13"/>
      <c r="AB20" s="13"/>
      <c r="AC20" s="13"/>
    </row>
    <row r="21" ht="16.5" customHeight="1">
      <c r="A21" s="35">
        <v>18.0</v>
      </c>
      <c r="B21" s="36" t="s">
        <v>192</v>
      </c>
      <c r="C21" s="37" t="s">
        <v>193</v>
      </c>
      <c r="D21" s="38" t="s">
        <v>194</v>
      </c>
      <c r="E21" s="38" t="s">
        <v>195</v>
      </c>
      <c r="F21" s="38" t="s">
        <v>196</v>
      </c>
      <c r="G21" s="48" t="s">
        <v>197</v>
      </c>
      <c r="H21" s="49" t="s">
        <v>49</v>
      </c>
      <c r="I21" s="39" t="s">
        <v>39</v>
      </c>
      <c r="J21" s="39" t="s">
        <v>198</v>
      </c>
      <c r="K21" s="41" t="s">
        <v>173</v>
      </c>
      <c r="L21" s="39" t="s">
        <v>199</v>
      </c>
      <c r="M21" s="51" t="b">
        <v>1</v>
      </c>
      <c r="N21" s="57" t="s">
        <v>200</v>
      </c>
      <c r="O21" s="45"/>
      <c r="P21" s="46" t="s">
        <v>201</v>
      </c>
      <c r="Q21" s="47"/>
      <c r="R21" s="47"/>
      <c r="S21" s="46"/>
      <c r="T21" s="46"/>
      <c r="U21" s="13"/>
      <c r="V21" s="13"/>
      <c r="W21" s="13"/>
      <c r="X21" s="13"/>
      <c r="Y21" s="13"/>
      <c r="Z21" s="13"/>
      <c r="AA21" s="13"/>
      <c r="AB21" s="13"/>
      <c r="AC21" s="13"/>
    </row>
    <row r="22" ht="16.5" customHeight="1">
      <c r="A22" s="35">
        <v>19.0</v>
      </c>
      <c r="B22" s="74" t="s">
        <v>184</v>
      </c>
      <c r="C22" s="37" t="s">
        <v>202</v>
      </c>
      <c r="D22" s="38" t="s">
        <v>203</v>
      </c>
      <c r="E22" s="38"/>
      <c r="F22" s="38" t="s">
        <v>204</v>
      </c>
      <c r="G22" s="39" t="s">
        <v>205</v>
      </c>
      <c r="H22" s="49" t="s">
        <v>38</v>
      </c>
      <c r="I22" s="39" t="s">
        <v>39</v>
      </c>
      <c r="J22" s="66" t="s">
        <v>151</v>
      </c>
      <c r="K22" s="41" t="s">
        <v>173</v>
      </c>
      <c r="L22" s="39" t="s">
        <v>206</v>
      </c>
      <c r="M22" s="51" t="b">
        <v>1</v>
      </c>
      <c r="N22" s="68" t="s">
        <v>190</v>
      </c>
      <c r="O22" s="45" t="s">
        <v>191</v>
      </c>
      <c r="P22" s="46" t="s">
        <v>207</v>
      </c>
      <c r="Q22" s="47"/>
      <c r="R22" s="47"/>
      <c r="S22" s="46"/>
      <c r="T22" s="46"/>
      <c r="U22" s="13"/>
      <c r="V22" s="13"/>
      <c r="W22" s="13"/>
      <c r="X22" s="13"/>
      <c r="Y22" s="13"/>
      <c r="Z22" s="13"/>
      <c r="AA22" s="13"/>
      <c r="AB22" s="13"/>
      <c r="AC22" s="13"/>
    </row>
    <row r="23" ht="16.5" customHeight="1">
      <c r="A23" s="35">
        <v>20.0</v>
      </c>
      <c r="B23" s="36" t="s">
        <v>208</v>
      </c>
      <c r="C23" s="37" t="s">
        <v>209</v>
      </c>
      <c r="D23" s="38" t="s">
        <v>210</v>
      </c>
      <c r="E23" s="38" t="s">
        <v>211</v>
      </c>
      <c r="F23" s="38" t="s">
        <v>196</v>
      </c>
      <c r="G23" s="48" t="s">
        <v>212</v>
      </c>
      <c r="H23" s="49" t="s">
        <v>49</v>
      </c>
      <c r="I23" s="39" t="s">
        <v>39</v>
      </c>
      <c r="J23" s="39" t="s">
        <v>213</v>
      </c>
      <c r="K23" s="41" t="s">
        <v>214</v>
      </c>
      <c r="L23" s="39" t="s">
        <v>215</v>
      </c>
      <c r="M23" s="51" t="b">
        <v>1</v>
      </c>
      <c r="N23" s="57" t="s">
        <v>216</v>
      </c>
      <c r="O23" s="45"/>
      <c r="P23" s="46" t="s">
        <v>217</v>
      </c>
      <c r="Q23" s="47"/>
      <c r="R23" s="47"/>
      <c r="S23" s="46"/>
      <c r="T23" s="46"/>
      <c r="U23" s="13"/>
      <c r="V23" s="13"/>
      <c r="W23" s="13"/>
      <c r="X23" s="13"/>
      <c r="Y23" s="13"/>
      <c r="Z23" s="13"/>
      <c r="AA23" s="13"/>
      <c r="AB23" s="13"/>
      <c r="AC23" s="13"/>
    </row>
    <row r="24" ht="16.5" hidden="1" customHeight="1">
      <c r="A24" s="35">
        <v>21.0</v>
      </c>
      <c r="B24" s="36" t="s">
        <v>218</v>
      </c>
      <c r="C24" s="37" t="s">
        <v>219</v>
      </c>
      <c r="D24" s="38" t="s">
        <v>220</v>
      </c>
      <c r="E24" s="38" t="s">
        <v>221</v>
      </c>
      <c r="F24" s="38" t="s">
        <v>222</v>
      </c>
      <c r="G24" s="39" t="s">
        <v>223</v>
      </c>
      <c r="H24" s="49" t="s">
        <v>62</v>
      </c>
      <c r="I24" s="58" t="s">
        <v>63</v>
      </c>
      <c r="J24" s="55"/>
      <c r="K24" s="56"/>
      <c r="L24" s="55"/>
      <c r="M24" s="51" t="b">
        <v>0</v>
      </c>
      <c r="N24" s="46"/>
      <c r="O24" s="46"/>
      <c r="P24" s="46"/>
      <c r="Q24" s="47"/>
      <c r="R24" s="47"/>
      <c r="S24" s="46"/>
      <c r="T24" s="46"/>
      <c r="U24" s="13"/>
      <c r="V24" s="13"/>
      <c r="W24" s="13"/>
      <c r="X24" s="13"/>
      <c r="Y24" s="13"/>
      <c r="Z24" s="13"/>
      <c r="AA24" s="13"/>
      <c r="AB24" s="13"/>
      <c r="AC24" s="13"/>
    </row>
    <row r="25" ht="16.5" customHeight="1">
      <c r="A25" s="35">
        <v>22.0</v>
      </c>
      <c r="B25" s="36" t="s">
        <v>224</v>
      </c>
      <c r="C25" s="37" t="s">
        <v>185</v>
      </c>
      <c r="D25" s="38" t="s">
        <v>225</v>
      </c>
      <c r="E25" s="38"/>
      <c r="F25" s="38" t="s">
        <v>226</v>
      </c>
      <c r="G25" s="39" t="s">
        <v>188</v>
      </c>
      <c r="H25" s="49" t="s">
        <v>38</v>
      </c>
      <c r="I25" s="39" t="s">
        <v>39</v>
      </c>
      <c r="J25" s="66" t="s">
        <v>151</v>
      </c>
      <c r="K25" s="41" t="s">
        <v>173</v>
      </c>
      <c r="L25" s="39" t="s">
        <v>189</v>
      </c>
      <c r="M25" s="51" t="b">
        <v>1</v>
      </c>
      <c r="N25" s="68" t="s">
        <v>190</v>
      </c>
      <c r="O25" s="45" t="s">
        <v>191</v>
      </c>
      <c r="P25" s="46"/>
      <c r="Q25" s="47"/>
      <c r="R25" s="47"/>
      <c r="S25" s="46"/>
      <c r="T25" s="46"/>
      <c r="U25" s="13"/>
      <c r="V25" s="13"/>
      <c r="W25" s="13"/>
      <c r="X25" s="13"/>
      <c r="Y25" s="13"/>
      <c r="Z25" s="13"/>
      <c r="AA25" s="13"/>
      <c r="AB25" s="13"/>
      <c r="AC25" s="13"/>
    </row>
    <row r="26" ht="16.5" hidden="1" customHeight="1">
      <c r="A26" s="35">
        <v>23.0</v>
      </c>
      <c r="B26" s="36" t="s">
        <v>227</v>
      </c>
      <c r="C26" s="37" t="s">
        <v>228</v>
      </c>
      <c r="D26" s="38" t="s">
        <v>229</v>
      </c>
      <c r="E26" s="38"/>
      <c r="F26" s="38" t="s">
        <v>230</v>
      </c>
      <c r="G26" s="39" t="s">
        <v>231</v>
      </c>
      <c r="H26" s="49" t="s">
        <v>62</v>
      </c>
      <c r="I26" s="39" t="s">
        <v>63</v>
      </c>
      <c r="J26" s="55"/>
      <c r="K26" s="56"/>
      <c r="L26" s="55"/>
      <c r="M26" s="51" t="b">
        <v>0</v>
      </c>
      <c r="N26" s="46"/>
      <c r="O26" s="46"/>
      <c r="P26" s="46"/>
      <c r="Q26" s="47"/>
      <c r="R26" s="47"/>
      <c r="S26" s="46"/>
      <c r="T26" s="46"/>
      <c r="U26" s="13"/>
      <c r="V26" s="13"/>
      <c r="W26" s="13"/>
      <c r="X26" s="13"/>
      <c r="Y26" s="13"/>
      <c r="Z26" s="13"/>
      <c r="AA26" s="13"/>
      <c r="AB26" s="13"/>
      <c r="AC26" s="13"/>
    </row>
    <row r="27" ht="16.5" customHeight="1">
      <c r="A27" s="35">
        <v>24.0</v>
      </c>
      <c r="B27" s="36" t="s">
        <v>232</v>
      </c>
      <c r="C27" s="37" t="s">
        <v>233</v>
      </c>
      <c r="D27" s="38" t="s">
        <v>234</v>
      </c>
      <c r="E27" s="38"/>
      <c r="F27" s="38" t="s">
        <v>235</v>
      </c>
      <c r="G27" s="48" t="s">
        <v>236</v>
      </c>
      <c r="H27" s="49" t="s">
        <v>49</v>
      </c>
      <c r="I27" s="39" t="s">
        <v>39</v>
      </c>
      <c r="J27" s="39" t="s">
        <v>237</v>
      </c>
      <c r="K27" s="41" t="s">
        <v>238</v>
      </c>
      <c r="L27" s="39" t="s">
        <v>239</v>
      </c>
      <c r="M27" s="51" t="b">
        <v>1</v>
      </c>
      <c r="N27" s="68" t="s">
        <v>240</v>
      </c>
      <c r="O27" s="45"/>
      <c r="P27" s="46" t="s">
        <v>241</v>
      </c>
      <c r="Q27" s="47" t="s">
        <v>242</v>
      </c>
      <c r="R27" s="47" t="s">
        <v>243</v>
      </c>
      <c r="S27" s="46"/>
      <c r="T27" s="46"/>
      <c r="U27" s="13"/>
      <c r="V27" s="13"/>
      <c r="W27" s="13"/>
      <c r="X27" s="13"/>
      <c r="Y27" s="13"/>
      <c r="Z27" s="13"/>
      <c r="AA27" s="13"/>
      <c r="AB27" s="13"/>
      <c r="AC27" s="13"/>
    </row>
    <row r="28" ht="16.5" hidden="1" customHeight="1">
      <c r="A28" s="35">
        <v>25.0</v>
      </c>
      <c r="B28" s="36" t="s">
        <v>244</v>
      </c>
      <c r="C28" s="37" t="s">
        <v>245</v>
      </c>
      <c r="D28" s="38" t="s">
        <v>246</v>
      </c>
      <c r="E28" s="38" t="s">
        <v>247</v>
      </c>
      <c r="F28" s="38" t="s">
        <v>248</v>
      </c>
      <c r="G28" s="39" t="s">
        <v>249</v>
      </c>
      <c r="H28" s="49" t="s">
        <v>62</v>
      </c>
      <c r="I28" s="58" t="s">
        <v>63</v>
      </c>
      <c r="J28" s="55"/>
      <c r="K28" s="56"/>
      <c r="L28" s="55"/>
      <c r="M28" s="51" t="b">
        <v>0</v>
      </c>
      <c r="N28" s="63"/>
      <c r="O28" s="63"/>
      <c r="P28" s="63" t="s">
        <v>250</v>
      </c>
      <c r="Q28" s="75" t="s">
        <v>251</v>
      </c>
      <c r="R28" s="47"/>
      <c r="S28" s="46"/>
      <c r="T28" s="46"/>
      <c r="U28" s="13"/>
      <c r="V28" s="13"/>
      <c r="W28" s="13"/>
      <c r="X28" s="13"/>
      <c r="Y28" s="13"/>
      <c r="Z28" s="13"/>
      <c r="AA28" s="13"/>
      <c r="AB28" s="13"/>
      <c r="AC28" s="13"/>
    </row>
    <row r="29" ht="16.5" hidden="1" customHeight="1">
      <c r="A29" s="35">
        <v>26.0</v>
      </c>
      <c r="B29" s="36" t="s">
        <v>252</v>
      </c>
      <c r="C29" s="37" t="s">
        <v>253</v>
      </c>
      <c r="D29" s="38" t="s">
        <v>254</v>
      </c>
      <c r="E29" s="38"/>
      <c r="F29" s="38" t="s">
        <v>255</v>
      </c>
      <c r="G29" s="39" t="s">
        <v>231</v>
      </c>
      <c r="H29" s="49" t="s">
        <v>62</v>
      </c>
      <c r="I29" s="39" t="s">
        <v>63</v>
      </c>
      <c r="J29" s="55"/>
      <c r="K29" s="56"/>
      <c r="L29" s="55"/>
      <c r="M29" s="51" t="b">
        <v>0</v>
      </c>
      <c r="N29" s="46"/>
      <c r="O29" s="46"/>
      <c r="P29" s="46"/>
      <c r="Q29" s="47"/>
      <c r="R29" s="46"/>
      <c r="S29" s="46"/>
      <c r="T29" s="46"/>
      <c r="U29" s="13"/>
      <c r="V29" s="13"/>
      <c r="W29" s="13"/>
      <c r="X29" s="13"/>
      <c r="Y29" s="13"/>
      <c r="Z29" s="13"/>
      <c r="AA29" s="13"/>
      <c r="AB29" s="13"/>
      <c r="AC29" s="13"/>
    </row>
    <row r="30" ht="16.5" hidden="1" customHeight="1">
      <c r="A30" s="35">
        <v>27.0</v>
      </c>
      <c r="B30" s="36" t="s">
        <v>256</v>
      </c>
      <c r="C30" s="37" t="s">
        <v>257</v>
      </c>
      <c r="D30" s="38" t="s">
        <v>258</v>
      </c>
      <c r="E30" s="38" t="s">
        <v>259</v>
      </c>
      <c r="F30" s="38" t="s">
        <v>260</v>
      </c>
      <c r="G30" s="39" t="s">
        <v>231</v>
      </c>
      <c r="H30" s="49" t="s">
        <v>62</v>
      </c>
      <c r="I30" s="39" t="s">
        <v>63</v>
      </c>
      <c r="J30" s="55"/>
      <c r="K30" s="56"/>
      <c r="L30" s="55"/>
      <c r="M30" s="51" t="b">
        <v>0</v>
      </c>
      <c r="N30" s="46"/>
      <c r="O30" s="46"/>
      <c r="P30" s="46"/>
      <c r="Q30" s="47"/>
      <c r="R30" s="47"/>
      <c r="S30" s="46"/>
      <c r="T30" s="46"/>
      <c r="U30" s="13"/>
      <c r="V30" s="13"/>
      <c r="W30" s="13"/>
      <c r="X30" s="13"/>
      <c r="Y30" s="13"/>
      <c r="Z30" s="13"/>
      <c r="AA30" s="13"/>
      <c r="AB30" s="13"/>
      <c r="AC30" s="13"/>
    </row>
    <row r="31" ht="16.5" hidden="1" customHeight="1">
      <c r="A31" s="35">
        <v>28.0</v>
      </c>
      <c r="B31" s="36" t="s">
        <v>261</v>
      </c>
      <c r="C31" s="37" t="s">
        <v>262</v>
      </c>
      <c r="D31" s="38" t="s">
        <v>263</v>
      </c>
      <c r="E31" s="38"/>
      <c r="F31" s="38" t="s">
        <v>264</v>
      </c>
      <c r="G31" s="39" t="s">
        <v>231</v>
      </c>
      <c r="H31" s="49" t="s">
        <v>62</v>
      </c>
      <c r="I31" s="39" t="s">
        <v>63</v>
      </c>
      <c r="J31" s="55"/>
      <c r="K31" s="56"/>
      <c r="L31" s="55"/>
      <c r="M31" s="51" t="b">
        <v>0</v>
      </c>
      <c r="N31" s="46"/>
      <c r="O31" s="46"/>
      <c r="P31" s="46"/>
      <c r="Q31" s="47"/>
      <c r="R31" s="47"/>
      <c r="S31" s="46"/>
      <c r="T31" s="46"/>
      <c r="U31" s="13"/>
      <c r="V31" s="13"/>
      <c r="W31" s="13"/>
      <c r="X31" s="13"/>
      <c r="Y31" s="13"/>
      <c r="Z31" s="13"/>
      <c r="AA31" s="13"/>
      <c r="AB31" s="13"/>
      <c r="AC31" s="13"/>
    </row>
    <row r="32" ht="16.5" hidden="1" customHeight="1">
      <c r="A32" s="35">
        <v>29.0</v>
      </c>
      <c r="B32" s="36" t="s">
        <v>265</v>
      </c>
      <c r="C32" s="37" t="s">
        <v>266</v>
      </c>
      <c r="D32" s="38" t="s">
        <v>267</v>
      </c>
      <c r="E32" s="38" t="s">
        <v>268</v>
      </c>
      <c r="F32" s="38" t="s">
        <v>269</v>
      </c>
      <c r="G32" s="39" t="s">
        <v>231</v>
      </c>
      <c r="H32" s="49" t="s">
        <v>62</v>
      </c>
      <c r="I32" s="58" t="s">
        <v>63</v>
      </c>
      <c r="J32" s="55"/>
      <c r="K32" s="56"/>
      <c r="L32" s="55"/>
      <c r="M32" s="51" t="b">
        <v>0</v>
      </c>
      <c r="N32" s="46"/>
      <c r="O32" s="46"/>
      <c r="P32" s="46"/>
      <c r="Q32" s="47"/>
      <c r="R32" s="47"/>
      <c r="S32" s="46"/>
      <c r="T32" s="46"/>
      <c r="U32" s="13"/>
      <c r="V32" s="13"/>
      <c r="W32" s="13"/>
      <c r="X32" s="13"/>
      <c r="Y32" s="13"/>
      <c r="Z32" s="13"/>
      <c r="AA32" s="13"/>
      <c r="AB32" s="13"/>
      <c r="AC32" s="13"/>
    </row>
    <row r="33" ht="264.0" hidden="1" customHeight="1">
      <c r="A33" s="35">
        <v>30.0</v>
      </c>
      <c r="B33" s="36" t="s">
        <v>270</v>
      </c>
      <c r="C33" s="37" t="s">
        <v>271</v>
      </c>
      <c r="D33" s="38" t="s">
        <v>272</v>
      </c>
      <c r="E33" s="38" t="s">
        <v>273</v>
      </c>
      <c r="F33" s="38" t="s">
        <v>222</v>
      </c>
      <c r="G33" s="39" t="s">
        <v>274</v>
      </c>
      <c r="H33" s="49" t="s">
        <v>62</v>
      </c>
      <c r="I33" s="58" t="s">
        <v>63</v>
      </c>
      <c r="J33" s="55"/>
      <c r="K33" s="56"/>
      <c r="L33" s="55"/>
      <c r="M33" s="51" t="b">
        <v>0</v>
      </c>
      <c r="N33" s="46"/>
      <c r="O33" s="46"/>
      <c r="P33" s="46" t="s">
        <v>275</v>
      </c>
      <c r="Q33" s="75" t="s">
        <v>276</v>
      </c>
      <c r="R33" s="75" t="s">
        <v>277</v>
      </c>
      <c r="S33" s="46"/>
      <c r="T33" s="46"/>
      <c r="U33" s="13"/>
      <c r="V33" s="13"/>
      <c r="W33" s="13"/>
      <c r="X33" s="13"/>
      <c r="Y33" s="13"/>
      <c r="Z33" s="13"/>
      <c r="AA33" s="13"/>
      <c r="AB33" s="13"/>
      <c r="AC33" s="13"/>
    </row>
    <row r="34" ht="16.5" hidden="1" customHeight="1">
      <c r="A34" s="35">
        <v>31.0</v>
      </c>
      <c r="B34" s="36" t="s">
        <v>278</v>
      </c>
      <c r="C34" s="37" t="s">
        <v>279</v>
      </c>
      <c r="D34" s="38" t="s">
        <v>280</v>
      </c>
      <c r="E34" s="38" t="s">
        <v>281</v>
      </c>
      <c r="F34" s="38" t="s">
        <v>222</v>
      </c>
      <c r="G34" s="39" t="s">
        <v>274</v>
      </c>
      <c r="H34" s="49" t="s">
        <v>62</v>
      </c>
      <c r="I34" s="58" t="s">
        <v>63</v>
      </c>
      <c r="J34" s="55"/>
      <c r="K34" s="56"/>
      <c r="L34" s="55"/>
      <c r="M34" s="51" t="b">
        <v>0</v>
      </c>
      <c r="N34" s="46"/>
      <c r="O34" s="46"/>
      <c r="P34" s="46" t="s">
        <v>282</v>
      </c>
      <c r="Q34" s="47" t="s">
        <v>283</v>
      </c>
      <c r="R34" s="47"/>
      <c r="S34" s="46"/>
      <c r="T34" s="46"/>
      <c r="U34" s="13"/>
      <c r="V34" s="13"/>
      <c r="W34" s="13"/>
      <c r="X34" s="13"/>
      <c r="Y34" s="13"/>
      <c r="Z34" s="13"/>
      <c r="AA34" s="13"/>
      <c r="AB34" s="13"/>
      <c r="AC34" s="13"/>
    </row>
    <row r="35" ht="16.5" customHeight="1">
      <c r="A35" s="35">
        <v>32.0</v>
      </c>
      <c r="B35" s="36" t="s">
        <v>284</v>
      </c>
      <c r="C35" s="37" t="s">
        <v>285</v>
      </c>
      <c r="D35" s="38" t="s">
        <v>286</v>
      </c>
      <c r="E35" s="38"/>
      <c r="F35" s="38" t="s">
        <v>287</v>
      </c>
      <c r="G35" s="39" t="s">
        <v>288</v>
      </c>
      <c r="H35" s="49" t="s">
        <v>49</v>
      </c>
      <c r="I35" s="39" t="s">
        <v>39</v>
      </c>
      <c r="J35" s="59" t="s">
        <v>289</v>
      </c>
      <c r="K35" s="41" t="s">
        <v>290</v>
      </c>
      <c r="L35" s="76" t="s">
        <v>291</v>
      </c>
      <c r="M35" s="51" t="b">
        <v>1</v>
      </c>
      <c r="N35" s="77" t="s">
        <v>292</v>
      </c>
      <c r="O35" s="78"/>
      <c r="P35" s="46" t="s">
        <v>293</v>
      </c>
      <c r="Q35" s="47"/>
      <c r="R35" s="47"/>
      <c r="S35" s="46"/>
      <c r="T35" s="46"/>
      <c r="U35" s="13"/>
      <c r="V35" s="13"/>
      <c r="W35" s="13"/>
      <c r="X35" s="13"/>
      <c r="Y35" s="13"/>
      <c r="Z35" s="13"/>
      <c r="AA35" s="13"/>
      <c r="AB35" s="13"/>
      <c r="AC35" s="13"/>
    </row>
    <row r="36" ht="16.5" customHeight="1">
      <c r="A36" s="35">
        <v>33.0</v>
      </c>
      <c r="B36" s="36" t="s">
        <v>294</v>
      </c>
      <c r="C36" s="37" t="s">
        <v>295</v>
      </c>
      <c r="D36" s="38" t="s">
        <v>296</v>
      </c>
      <c r="E36" s="38"/>
      <c r="F36" s="38" t="s">
        <v>297</v>
      </c>
      <c r="G36" s="39" t="s">
        <v>298</v>
      </c>
      <c r="H36" s="49" t="s">
        <v>49</v>
      </c>
      <c r="I36" s="39" t="s">
        <v>39</v>
      </c>
      <c r="J36" s="59" t="s">
        <v>289</v>
      </c>
      <c r="K36" s="41" t="s">
        <v>299</v>
      </c>
      <c r="L36" s="39" t="s">
        <v>300</v>
      </c>
      <c r="M36" s="51" t="b">
        <v>1</v>
      </c>
      <c r="N36" s="57" t="s">
        <v>301</v>
      </c>
      <c r="O36" s="46"/>
      <c r="P36" s="46" t="s">
        <v>302</v>
      </c>
      <c r="Q36" s="47" t="s">
        <v>303</v>
      </c>
      <c r="R36" s="47" t="s">
        <v>304</v>
      </c>
      <c r="S36" s="46" t="s">
        <v>305</v>
      </c>
      <c r="T36" s="46" t="s">
        <v>306</v>
      </c>
      <c r="U36" s="13"/>
      <c r="V36" s="13"/>
      <c r="W36" s="13"/>
      <c r="X36" s="13"/>
      <c r="Y36" s="13"/>
      <c r="Z36" s="13"/>
      <c r="AA36" s="13"/>
      <c r="AB36" s="13"/>
      <c r="AC36" s="13"/>
    </row>
    <row r="37" ht="16.5" customHeight="1">
      <c r="A37" s="35">
        <v>34.0</v>
      </c>
      <c r="B37" s="74" t="s">
        <v>307</v>
      </c>
      <c r="C37" s="37" t="s">
        <v>308</v>
      </c>
      <c r="D37" s="38" t="s">
        <v>309</v>
      </c>
      <c r="E37" s="38"/>
      <c r="F37" s="38" t="s">
        <v>310</v>
      </c>
      <c r="G37" s="39" t="s">
        <v>311</v>
      </c>
      <c r="H37" s="49" t="s">
        <v>49</v>
      </c>
      <c r="I37" s="39" t="s">
        <v>39</v>
      </c>
      <c r="J37" s="39" t="s">
        <v>312</v>
      </c>
      <c r="K37" s="41" t="s">
        <v>173</v>
      </c>
      <c r="L37" s="39" t="s">
        <v>313</v>
      </c>
      <c r="M37" s="51" t="b">
        <v>1</v>
      </c>
      <c r="N37" s="79" t="s">
        <v>314</v>
      </c>
      <c r="O37" s="80"/>
      <c r="P37" s="81" t="s">
        <v>315</v>
      </c>
      <c r="Q37" s="47" t="s">
        <v>316</v>
      </c>
      <c r="R37" s="47" t="s">
        <v>317</v>
      </c>
      <c r="S37" s="46" t="s">
        <v>318</v>
      </c>
      <c r="T37" s="46"/>
      <c r="U37" s="13"/>
      <c r="V37" s="13"/>
      <c r="W37" s="13"/>
      <c r="X37" s="13"/>
      <c r="Y37" s="13"/>
      <c r="Z37" s="13"/>
      <c r="AA37" s="13"/>
      <c r="AB37" s="13"/>
      <c r="AC37" s="13"/>
    </row>
    <row r="38" ht="16.5" customHeight="1">
      <c r="A38" s="35">
        <v>35.0</v>
      </c>
      <c r="B38" s="36" t="s">
        <v>319</v>
      </c>
      <c r="C38" s="37" t="s">
        <v>320</v>
      </c>
      <c r="D38" s="38" t="s">
        <v>321</v>
      </c>
      <c r="E38" s="38"/>
      <c r="F38" s="38" t="s">
        <v>322</v>
      </c>
      <c r="G38" s="39" t="s">
        <v>323</v>
      </c>
      <c r="H38" s="49" t="s">
        <v>49</v>
      </c>
      <c r="I38" s="39" t="s">
        <v>39</v>
      </c>
      <c r="J38" s="39" t="s">
        <v>324</v>
      </c>
      <c r="K38" s="41" t="s">
        <v>325</v>
      </c>
      <c r="L38" s="39" t="s">
        <v>326</v>
      </c>
      <c r="M38" s="51" t="b">
        <v>1</v>
      </c>
      <c r="N38" s="64" t="s">
        <v>327</v>
      </c>
      <c r="O38" s="82"/>
      <c r="P38" s="63" t="s">
        <v>328</v>
      </c>
      <c r="Q38" s="47" t="s">
        <v>329</v>
      </c>
      <c r="R38" s="47" t="s">
        <v>330</v>
      </c>
      <c r="S38" s="47" t="s">
        <v>331</v>
      </c>
      <c r="T38" s="46"/>
      <c r="U38" s="13"/>
      <c r="V38" s="13"/>
      <c r="W38" s="13"/>
      <c r="X38" s="13"/>
      <c r="Y38" s="13"/>
      <c r="Z38" s="13"/>
      <c r="AA38" s="13"/>
      <c r="AB38" s="13"/>
      <c r="AC38" s="13"/>
    </row>
    <row r="39" ht="16.5" customHeight="1">
      <c r="A39" s="35">
        <v>36.0</v>
      </c>
      <c r="B39" s="36" t="s">
        <v>332</v>
      </c>
      <c r="C39" s="37" t="s">
        <v>333</v>
      </c>
      <c r="D39" s="38" t="s">
        <v>334</v>
      </c>
      <c r="E39" s="38"/>
      <c r="F39" s="38" t="s">
        <v>335</v>
      </c>
      <c r="G39" s="39" t="s">
        <v>336</v>
      </c>
      <c r="H39" s="49" t="s">
        <v>49</v>
      </c>
      <c r="I39" s="39" t="s">
        <v>39</v>
      </c>
      <c r="J39" s="39" t="s">
        <v>324</v>
      </c>
      <c r="K39" s="41" t="s">
        <v>337</v>
      </c>
      <c r="L39" s="39" t="s">
        <v>338</v>
      </c>
      <c r="M39" s="51" t="b">
        <v>1</v>
      </c>
      <c r="N39" s="57" t="s">
        <v>339</v>
      </c>
      <c r="O39" s="46"/>
      <c r="P39" s="46" t="s">
        <v>340</v>
      </c>
      <c r="Q39" s="47" t="s">
        <v>341</v>
      </c>
      <c r="R39" s="47" t="s">
        <v>342</v>
      </c>
      <c r="S39" s="46"/>
      <c r="T39" s="46"/>
      <c r="U39" s="13"/>
      <c r="V39" s="13"/>
      <c r="W39" s="13"/>
      <c r="X39" s="13"/>
      <c r="Y39" s="13"/>
      <c r="Z39" s="13"/>
      <c r="AA39" s="13"/>
      <c r="AB39" s="13"/>
      <c r="AC39" s="13"/>
    </row>
    <row r="40" ht="16.5" customHeight="1">
      <c r="A40" s="35">
        <v>37.0</v>
      </c>
      <c r="B40" s="36" t="s">
        <v>343</v>
      </c>
      <c r="C40" s="37" t="s">
        <v>344</v>
      </c>
      <c r="D40" s="38" t="s">
        <v>345</v>
      </c>
      <c r="E40" s="38"/>
      <c r="F40" s="38" t="s">
        <v>346</v>
      </c>
      <c r="G40" s="39" t="s">
        <v>347</v>
      </c>
      <c r="H40" s="49" t="s">
        <v>49</v>
      </c>
      <c r="I40" s="39" t="s">
        <v>39</v>
      </c>
      <c r="J40" s="39" t="s">
        <v>324</v>
      </c>
      <c r="K40" s="41" t="s">
        <v>348</v>
      </c>
      <c r="L40" s="39" t="s">
        <v>349</v>
      </c>
      <c r="M40" s="51" t="b">
        <v>1</v>
      </c>
      <c r="N40" s="79" t="s">
        <v>106</v>
      </c>
      <c r="O40" s="80"/>
      <c r="P40" s="46" t="s">
        <v>350</v>
      </c>
      <c r="Q40" s="47" t="s">
        <v>351</v>
      </c>
      <c r="R40" s="47" t="s">
        <v>352</v>
      </c>
      <c r="S40" s="47" t="s">
        <v>353</v>
      </c>
      <c r="T40" s="47" t="s">
        <v>354</v>
      </c>
      <c r="U40" s="13"/>
      <c r="V40" s="13"/>
      <c r="W40" s="13"/>
      <c r="X40" s="13"/>
      <c r="Y40" s="13"/>
      <c r="Z40" s="13"/>
      <c r="AA40" s="13"/>
      <c r="AB40" s="13"/>
      <c r="AC40" s="13"/>
    </row>
    <row r="41" ht="16.5" customHeight="1">
      <c r="A41" s="35">
        <v>38.0</v>
      </c>
      <c r="B41" s="83" t="s">
        <v>355</v>
      </c>
      <c r="C41" s="37" t="s">
        <v>356</v>
      </c>
      <c r="D41" s="84" t="s">
        <v>357</v>
      </c>
      <c r="E41" s="84"/>
      <c r="F41" s="85" t="s">
        <v>358</v>
      </c>
      <c r="G41" s="86" t="s">
        <v>359</v>
      </c>
      <c r="H41" s="49" t="s">
        <v>49</v>
      </c>
      <c r="I41" s="39" t="s">
        <v>39</v>
      </c>
      <c r="J41" s="39" t="s">
        <v>360</v>
      </c>
      <c r="K41" s="41" t="s">
        <v>162</v>
      </c>
      <c r="L41" s="39" t="s">
        <v>361</v>
      </c>
      <c r="M41" s="51" t="b">
        <v>1</v>
      </c>
      <c r="N41" s="87" t="s">
        <v>314</v>
      </c>
      <c r="O41" s="46"/>
      <c r="P41" s="46" t="s">
        <v>362</v>
      </c>
      <c r="Q41" s="46" t="s">
        <v>363</v>
      </c>
      <c r="R41" s="46" t="s">
        <v>364</v>
      </c>
      <c r="S41" s="46"/>
      <c r="T41" s="46"/>
      <c r="U41" s="13"/>
      <c r="V41" s="13"/>
      <c r="W41" s="13"/>
      <c r="X41" s="13"/>
      <c r="Y41" s="13"/>
      <c r="Z41" s="13"/>
      <c r="AA41" s="13"/>
      <c r="AB41" s="13"/>
      <c r="AC41" s="13"/>
    </row>
    <row r="42" ht="16.5" customHeight="1">
      <c r="A42" s="35">
        <v>39.0</v>
      </c>
      <c r="B42" s="83" t="s">
        <v>365</v>
      </c>
      <c r="C42" s="37" t="s">
        <v>366</v>
      </c>
      <c r="D42" s="85" t="s">
        <v>367</v>
      </c>
      <c r="E42" s="85"/>
      <c r="F42" s="85" t="s">
        <v>368</v>
      </c>
      <c r="G42" s="86" t="s">
        <v>369</v>
      </c>
      <c r="H42" s="49" t="s">
        <v>49</v>
      </c>
      <c r="I42" s="39" t="s">
        <v>39</v>
      </c>
      <c r="J42" s="39" t="s">
        <v>360</v>
      </c>
      <c r="K42" s="41" t="s">
        <v>162</v>
      </c>
      <c r="L42" s="39" t="s">
        <v>361</v>
      </c>
      <c r="M42" s="51" t="b">
        <v>1</v>
      </c>
      <c r="N42" s="87" t="s">
        <v>292</v>
      </c>
      <c r="O42" s="46"/>
      <c r="P42" s="46" t="s">
        <v>370</v>
      </c>
      <c r="Q42" s="46" t="s">
        <v>371</v>
      </c>
      <c r="R42" s="46" t="s">
        <v>372</v>
      </c>
      <c r="S42" s="46"/>
      <c r="T42" s="46"/>
      <c r="U42" s="13"/>
      <c r="V42" s="13"/>
      <c r="W42" s="13"/>
      <c r="X42" s="13"/>
      <c r="Y42" s="13"/>
      <c r="Z42" s="13"/>
      <c r="AA42" s="13"/>
      <c r="AB42" s="13"/>
      <c r="AC42" s="13"/>
    </row>
    <row r="43" ht="16.5" customHeight="1">
      <c r="A43" s="35">
        <v>40.0</v>
      </c>
      <c r="B43" s="88" t="s">
        <v>373</v>
      </c>
      <c r="C43" s="37" t="s">
        <v>374</v>
      </c>
      <c r="D43" s="85" t="s">
        <v>375</v>
      </c>
      <c r="E43" s="85"/>
      <c r="F43" s="85" t="s">
        <v>376</v>
      </c>
      <c r="G43" s="86" t="s">
        <v>377</v>
      </c>
      <c r="H43" s="49" t="s">
        <v>49</v>
      </c>
      <c r="I43" s="39" t="s">
        <v>39</v>
      </c>
      <c r="J43" s="39" t="s">
        <v>360</v>
      </c>
      <c r="K43" s="89" t="s">
        <v>290</v>
      </c>
      <c r="L43" s="58" t="s">
        <v>378</v>
      </c>
      <c r="M43" s="51" t="b">
        <v>1</v>
      </c>
      <c r="N43" s="57" t="s">
        <v>379</v>
      </c>
      <c r="O43" s="46"/>
      <c r="P43" s="46" t="s">
        <v>380</v>
      </c>
      <c r="Q43" s="46" t="s">
        <v>381</v>
      </c>
      <c r="R43" s="46"/>
      <c r="S43" s="46"/>
      <c r="T43" s="46"/>
      <c r="U43" s="13"/>
      <c r="V43" s="13"/>
      <c r="W43" s="13"/>
      <c r="X43" s="13"/>
      <c r="Y43" s="13"/>
      <c r="Z43" s="13"/>
      <c r="AA43" s="13"/>
      <c r="AB43" s="13"/>
      <c r="AC43" s="13"/>
    </row>
    <row r="44" ht="16.5" customHeight="1">
      <c r="A44" s="35">
        <v>41.0</v>
      </c>
      <c r="B44" s="83" t="s">
        <v>382</v>
      </c>
      <c r="C44" s="37" t="s">
        <v>383</v>
      </c>
      <c r="D44" s="85" t="s">
        <v>384</v>
      </c>
      <c r="E44" s="85"/>
      <c r="F44" s="85" t="s">
        <v>385</v>
      </c>
      <c r="G44" s="86" t="s">
        <v>386</v>
      </c>
      <c r="H44" s="49" t="s">
        <v>49</v>
      </c>
      <c r="I44" s="39" t="s">
        <v>39</v>
      </c>
      <c r="J44" s="39" t="s">
        <v>360</v>
      </c>
      <c r="K44" s="89" t="s">
        <v>387</v>
      </c>
      <c r="L44" s="90" t="s">
        <v>388</v>
      </c>
      <c r="M44" s="51" t="b">
        <v>1</v>
      </c>
      <c r="N44" s="68" t="s">
        <v>389</v>
      </c>
      <c r="O44" s="46"/>
      <c r="P44" s="46" t="s">
        <v>390</v>
      </c>
      <c r="Q44" s="46" t="s">
        <v>391</v>
      </c>
      <c r="R44" s="46" t="s">
        <v>392</v>
      </c>
      <c r="S44" s="46"/>
      <c r="T44" s="46"/>
      <c r="U44" s="13"/>
      <c r="V44" s="13"/>
      <c r="W44" s="13"/>
      <c r="X44" s="13"/>
      <c r="Y44" s="13"/>
      <c r="Z44" s="13"/>
      <c r="AA44" s="13"/>
      <c r="AB44" s="13"/>
      <c r="AC44" s="13"/>
    </row>
    <row r="45" ht="16.5" customHeight="1">
      <c r="A45" s="35">
        <v>42.0</v>
      </c>
      <c r="B45" s="36" t="s">
        <v>393</v>
      </c>
      <c r="C45" s="37" t="s">
        <v>394</v>
      </c>
      <c r="D45" s="38" t="s">
        <v>395</v>
      </c>
      <c r="E45" s="38" t="s">
        <v>396</v>
      </c>
      <c r="F45" s="38" t="s">
        <v>397</v>
      </c>
      <c r="G45" s="39" t="s">
        <v>398</v>
      </c>
      <c r="H45" s="49" t="s">
        <v>49</v>
      </c>
      <c r="I45" s="39" t="s">
        <v>39</v>
      </c>
      <c r="J45" s="39" t="s">
        <v>399</v>
      </c>
      <c r="K45" s="41" t="s">
        <v>400</v>
      </c>
      <c r="L45" s="39" t="s">
        <v>401</v>
      </c>
      <c r="M45" s="51" t="b">
        <v>1</v>
      </c>
      <c r="N45" s="57" t="s">
        <v>402</v>
      </c>
      <c r="O45" s="46"/>
      <c r="P45" s="46"/>
      <c r="Q45" s="46"/>
      <c r="R45" s="46"/>
      <c r="S45" s="46"/>
      <c r="T45" s="46"/>
      <c r="U45" s="13"/>
      <c r="V45" s="13"/>
      <c r="W45" s="13"/>
      <c r="X45" s="13"/>
      <c r="Y45" s="13"/>
      <c r="Z45" s="13"/>
      <c r="AA45" s="13"/>
      <c r="AB45" s="13"/>
      <c r="AC45" s="13"/>
    </row>
    <row r="46" ht="16.5" customHeight="1">
      <c r="A46" s="35">
        <v>43.0</v>
      </c>
      <c r="B46" s="36" t="s">
        <v>403</v>
      </c>
      <c r="C46" s="37" t="s">
        <v>404</v>
      </c>
      <c r="D46" s="38" t="s">
        <v>405</v>
      </c>
      <c r="E46" s="38" t="s">
        <v>406</v>
      </c>
      <c r="F46" s="38" t="s">
        <v>407</v>
      </c>
      <c r="G46" s="39" t="s">
        <v>408</v>
      </c>
      <c r="H46" s="49" t="s">
        <v>38</v>
      </c>
      <c r="I46" s="58" t="s">
        <v>39</v>
      </c>
      <c r="J46" s="66" t="s">
        <v>151</v>
      </c>
      <c r="K46" s="67" t="s">
        <v>409</v>
      </c>
      <c r="L46" s="59" t="s">
        <v>410</v>
      </c>
      <c r="M46" s="51" t="b">
        <v>1</v>
      </c>
      <c r="N46" s="68" t="s">
        <v>411</v>
      </c>
      <c r="O46" s="46"/>
      <c r="P46" s="46"/>
      <c r="Q46" s="47"/>
      <c r="R46" s="47"/>
      <c r="S46" s="46"/>
      <c r="T46" s="46"/>
      <c r="U46" s="13"/>
      <c r="V46" s="13"/>
      <c r="W46" s="13"/>
      <c r="X46" s="13"/>
      <c r="Y46" s="13"/>
      <c r="Z46" s="13"/>
      <c r="AA46" s="13"/>
      <c r="AB46" s="13"/>
      <c r="AC46" s="13"/>
    </row>
    <row r="47" ht="16.5" hidden="1" customHeight="1">
      <c r="A47" s="35">
        <v>44.0</v>
      </c>
      <c r="B47" s="36" t="s">
        <v>412</v>
      </c>
      <c r="C47" s="37" t="s">
        <v>413</v>
      </c>
      <c r="D47" s="38" t="s">
        <v>414</v>
      </c>
      <c r="E47" s="38"/>
      <c r="F47" s="38" t="s">
        <v>415</v>
      </c>
      <c r="G47" s="39" t="s">
        <v>231</v>
      </c>
      <c r="H47" s="49" t="s">
        <v>62</v>
      </c>
      <c r="I47" s="39" t="s">
        <v>63</v>
      </c>
      <c r="J47" s="55"/>
      <c r="K47" s="56"/>
      <c r="L47" s="55"/>
      <c r="M47" s="51" t="b">
        <v>0</v>
      </c>
      <c r="N47" s="46"/>
      <c r="O47" s="46"/>
      <c r="P47" s="46"/>
      <c r="Q47" s="47"/>
      <c r="R47" s="47"/>
      <c r="S47" s="46"/>
      <c r="T47" s="46"/>
      <c r="U47" s="13"/>
      <c r="V47" s="13"/>
      <c r="W47" s="13"/>
      <c r="X47" s="13"/>
      <c r="Y47" s="13"/>
      <c r="Z47" s="13"/>
      <c r="AA47" s="13"/>
      <c r="AB47" s="13"/>
      <c r="AC47" s="13"/>
    </row>
    <row r="48" ht="16.5" customHeight="1">
      <c r="A48" s="35">
        <v>45.0</v>
      </c>
      <c r="B48" s="36" t="s">
        <v>416</v>
      </c>
      <c r="C48" s="37" t="s">
        <v>417</v>
      </c>
      <c r="D48" s="38" t="s">
        <v>418</v>
      </c>
      <c r="E48" s="38" t="s">
        <v>419</v>
      </c>
      <c r="F48" s="38" t="s">
        <v>420</v>
      </c>
      <c r="G48" s="48" t="s">
        <v>421</v>
      </c>
      <c r="H48" s="49" t="s">
        <v>49</v>
      </c>
      <c r="I48" s="39" t="s">
        <v>39</v>
      </c>
      <c r="J48" s="39" t="s">
        <v>422</v>
      </c>
      <c r="K48" s="41" t="s">
        <v>423</v>
      </c>
      <c r="L48" s="39" t="s">
        <v>424</v>
      </c>
      <c r="M48" s="51" t="b">
        <v>1</v>
      </c>
      <c r="N48" s="57" t="s">
        <v>416</v>
      </c>
      <c r="O48" s="46"/>
      <c r="P48" s="46" t="s">
        <v>425</v>
      </c>
      <c r="Q48" s="47" t="s">
        <v>426</v>
      </c>
      <c r="R48" s="47" t="s">
        <v>427</v>
      </c>
      <c r="S48" s="46"/>
      <c r="T48" s="46"/>
      <c r="U48" s="13"/>
      <c r="V48" s="13"/>
      <c r="W48" s="13"/>
      <c r="X48" s="13"/>
      <c r="Y48" s="13"/>
      <c r="Z48" s="13"/>
      <c r="AA48" s="13"/>
      <c r="AB48" s="13"/>
      <c r="AC48" s="13"/>
    </row>
    <row r="49" ht="16.5" customHeight="1">
      <c r="A49" s="35">
        <v>46.0</v>
      </c>
      <c r="B49" s="36" t="s">
        <v>428</v>
      </c>
      <c r="C49" s="37" t="s">
        <v>429</v>
      </c>
      <c r="D49" s="38" t="s">
        <v>430</v>
      </c>
      <c r="E49" s="38" t="s">
        <v>431</v>
      </c>
      <c r="F49" s="38" t="s">
        <v>432</v>
      </c>
      <c r="G49" s="39" t="s">
        <v>433</v>
      </c>
      <c r="H49" s="49" t="s">
        <v>38</v>
      </c>
      <c r="I49" s="58" t="s">
        <v>39</v>
      </c>
      <c r="J49" s="39" t="s">
        <v>434</v>
      </c>
      <c r="K49" s="67" t="s">
        <v>173</v>
      </c>
      <c r="L49" s="59" t="s">
        <v>435</v>
      </c>
      <c r="M49" s="51" t="b">
        <v>1</v>
      </c>
      <c r="N49" s="57" t="s">
        <v>436</v>
      </c>
      <c r="O49" s="46"/>
      <c r="P49" s="46" t="s">
        <v>437</v>
      </c>
      <c r="Q49" s="47" t="s">
        <v>438</v>
      </c>
      <c r="R49" s="47"/>
      <c r="S49" s="46"/>
      <c r="T49" s="46"/>
      <c r="U49" s="13"/>
      <c r="V49" s="13"/>
      <c r="W49" s="13"/>
      <c r="X49" s="13"/>
      <c r="Y49" s="13"/>
      <c r="Z49" s="13"/>
      <c r="AA49" s="13"/>
      <c r="AB49" s="13"/>
      <c r="AC49" s="13"/>
    </row>
    <row r="50" ht="16.5" hidden="1" customHeight="1">
      <c r="A50" s="35">
        <v>47.0</v>
      </c>
      <c r="B50" s="36" t="s">
        <v>439</v>
      </c>
      <c r="C50" s="37" t="s">
        <v>440</v>
      </c>
      <c r="D50" s="38" t="s">
        <v>441</v>
      </c>
      <c r="E50" s="38"/>
      <c r="F50" s="38" t="s">
        <v>442</v>
      </c>
      <c r="G50" s="39" t="s">
        <v>231</v>
      </c>
      <c r="H50" s="49" t="s">
        <v>62</v>
      </c>
      <c r="I50" s="39" t="s">
        <v>63</v>
      </c>
      <c r="J50" s="55"/>
      <c r="K50" s="56"/>
      <c r="L50" s="55"/>
      <c r="M50" s="51" t="b">
        <v>0</v>
      </c>
      <c r="N50" s="46"/>
      <c r="O50" s="46"/>
      <c r="P50" s="46"/>
      <c r="Q50" s="47"/>
      <c r="R50" s="47"/>
      <c r="S50" s="46"/>
      <c r="T50" s="46"/>
      <c r="U50" s="13"/>
      <c r="V50" s="13"/>
      <c r="W50" s="13"/>
      <c r="X50" s="13"/>
      <c r="Y50" s="13"/>
      <c r="Z50" s="13"/>
      <c r="AA50" s="13"/>
      <c r="AB50" s="13"/>
      <c r="AC50" s="13"/>
    </row>
    <row r="51" ht="16.5" hidden="1" customHeight="1">
      <c r="A51" s="35">
        <v>48.0</v>
      </c>
      <c r="B51" s="36" t="s">
        <v>443</v>
      </c>
      <c r="C51" s="37" t="s">
        <v>444</v>
      </c>
      <c r="D51" s="38" t="s">
        <v>445</v>
      </c>
      <c r="E51" s="38"/>
      <c r="F51" s="38" t="s">
        <v>446</v>
      </c>
      <c r="G51" s="39" t="s">
        <v>447</v>
      </c>
      <c r="H51" s="49" t="s">
        <v>62</v>
      </c>
      <c r="I51" s="39" t="s">
        <v>63</v>
      </c>
      <c r="J51" s="55"/>
      <c r="K51" s="56"/>
      <c r="L51" s="55"/>
      <c r="M51" s="51" t="b">
        <v>0</v>
      </c>
      <c r="N51" s="46"/>
      <c r="O51" s="46"/>
      <c r="P51" s="46"/>
      <c r="Q51" s="47"/>
      <c r="R51" s="47"/>
      <c r="S51" s="46"/>
      <c r="T51" s="46"/>
      <c r="U51" s="13"/>
      <c r="V51" s="13"/>
      <c r="W51" s="13"/>
      <c r="X51" s="13"/>
      <c r="Y51" s="13"/>
      <c r="Z51" s="13"/>
      <c r="AA51" s="13"/>
      <c r="AB51" s="13"/>
      <c r="AC51" s="13"/>
    </row>
    <row r="52" ht="16.5" customHeight="1">
      <c r="A52" s="35">
        <v>49.0</v>
      </c>
      <c r="B52" s="36" t="s">
        <v>448</v>
      </c>
      <c r="C52" s="37" t="s">
        <v>449</v>
      </c>
      <c r="D52" s="38" t="s">
        <v>450</v>
      </c>
      <c r="E52" s="38"/>
      <c r="F52" s="38" t="s">
        <v>451</v>
      </c>
      <c r="G52" s="48" t="s">
        <v>452</v>
      </c>
      <c r="H52" s="49" t="s">
        <v>38</v>
      </c>
      <c r="I52" s="39" t="s">
        <v>39</v>
      </c>
      <c r="J52" s="39" t="s">
        <v>82</v>
      </c>
      <c r="K52" s="41" t="s">
        <v>453</v>
      </c>
      <c r="L52" s="39" t="s">
        <v>454</v>
      </c>
      <c r="M52" s="51" t="b">
        <v>1</v>
      </c>
      <c r="N52" s="57" t="s">
        <v>455</v>
      </c>
      <c r="O52" s="46"/>
      <c r="P52" s="46" t="s">
        <v>456</v>
      </c>
      <c r="Q52" s="47" t="s">
        <v>457</v>
      </c>
      <c r="R52" s="47"/>
      <c r="S52" s="46"/>
      <c r="T52" s="46"/>
      <c r="U52" s="13"/>
      <c r="V52" s="13"/>
      <c r="W52" s="13"/>
      <c r="X52" s="13"/>
      <c r="Y52" s="13"/>
      <c r="Z52" s="13"/>
      <c r="AA52" s="13"/>
      <c r="AB52" s="13"/>
      <c r="AC52" s="13"/>
    </row>
    <row r="53" ht="16.5" customHeight="1">
      <c r="A53" s="35">
        <v>50.0</v>
      </c>
      <c r="B53" s="36" t="s">
        <v>458</v>
      </c>
      <c r="C53" s="37" t="s">
        <v>459</v>
      </c>
      <c r="D53" s="38" t="s">
        <v>460</v>
      </c>
      <c r="E53" s="38"/>
      <c r="F53" s="38" t="s">
        <v>461</v>
      </c>
      <c r="G53" s="39" t="s">
        <v>398</v>
      </c>
      <c r="H53" s="49" t="s">
        <v>49</v>
      </c>
      <c r="I53" s="39" t="s">
        <v>39</v>
      </c>
      <c r="J53" s="91" t="s">
        <v>462</v>
      </c>
      <c r="K53" s="92" t="s">
        <v>463</v>
      </c>
      <c r="L53" s="93" t="s">
        <v>464</v>
      </c>
      <c r="M53" s="51" t="b">
        <v>1</v>
      </c>
      <c r="N53" s="57" t="s">
        <v>465</v>
      </c>
      <c r="O53" s="69"/>
      <c r="P53" s="46"/>
      <c r="Q53" s="47"/>
      <c r="R53" s="47"/>
      <c r="S53" s="46"/>
      <c r="T53" s="46"/>
      <c r="U53" s="13"/>
      <c r="V53" s="13"/>
      <c r="W53" s="13"/>
      <c r="X53" s="13"/>
      <c r="Y53" s="13"/>
      <c r="Z53" s="13"/>
      <c r="AA53" s="13"/>
      <c r="AB53" s="13"/>
      <c r="AC53" s="13"/>
    </row>
    <row r="54" ht="16.5" customHeight="1">
      <c r="A54" s="35">
        <v>51.0</v>
      </c>
      <c r="B54" s="36" t="s">
        <v>466</v>
      </c>
      <c r="C54" s="37" t="s">
        <v>467</v>
      </c>
      <c r="D54" s="38" t="s">
        <v>468</v>
      </c>
      <c r="E54" s="38" t="s">
        <v>469</v>
      </c>
      <c r="F54" s="38" t="s">
        <v>196</v>
      </c>
      <c r="G54" s="39" t="s">
        <v>470</v>
      </c>
      <c r="H54" s="49" t="s">
        <v>49</v>
      </c>
      <c r="I54" s="39" t="s">
        <v>39</v>
      </c>
      <c r="J54" s="39" t="s">
        <v>471</v>
      </c>
      <c r="K54" s="41" t="s">
        <v>472</v>
      </c>
      <c r="L54" s="39" t="s">
        <v>473</v>
      </c>
      <c r="M54" s="51" t="b">
        <v>1</v>
      </c>
      <c r="N54" s="57" t="s">
        <v>474</v>
      </c>
      <c r="O54" s="69"/>
      <c r="P54" s="46" t="s">
        <v>475</v>
      </c>
      <c r="Q54" s="47"/>
      <c r="R54" s="47"/>
      <c r="S54" s="46"/>
      <c r="T54" s="46"/>
      <c r="U54" s="13"/>
      <c r="V54" s="13"/>
      <c r="W54" s="13"/>
      <c r="X54" s="13"/>
      <c r="Y54" s="13"/>
      <c r="Z54" s="13"/>
      <c r="AA54" s="13"/>
      <c r="AB54" s="13"/>
      <c r="AC54" s="13"/>
    </row>
    <row r="55" ht="16.5" hidden="1" customHeight="1">
      <c r="A55" s="35">
        <v>52.0</v>
      </c>
      <c r="B55" s="36" t="s">
        <v>476</v>
      </c>
      <c r="C55" s="37" t="s">
        <v>477</v>
      </c>
      <c r="D55" s="38" t="s">
        <v>478</v>
      </c>
      <c r="E55" s="38"/>
      <c r="F55" s="38" t="s">
        <v>479</v>
      </c>
      <c r="G55" s="39" t="s">
        <v>231</v>
      </c>
      <c r="H55" s="49" t="s">
        <v>62</v>
      </c>
      <c r="I55" s="39" t="s">
        <v>63</v>
      </c>
      <c r="J55" s="55"/>
      <c r="K55" s="56"/>
      <c r="L55" s="55"/>
      <c r="M55" s="51" t="b">
        <v>0</v>
      </c>
      <c r="N55" s="46"/>
      <c r="O55" s="46"/>
      <c r="P55" s="46"/>
      <c r="Q55" s="47"/>
      <c r="R55" s="47"/>
      <c r="S55" s="46"/>
      <c r="T55" s="46"/>
      <c r="U55" s="13"/>
      <c r="V55" s="13"/>
      <c r="W55" s="13"/>
      <c r="X55" s="13"/>
      <c r="Y55" s="13"/>
      <c r="Z55" s="13"/>
      <c r="AA55" s="13"/>
      <c r="AB55" s="13"/>
      <c r="AC55" s="13"/>
    </row>
    <row r="56" ht="16.5" customHeight="1">
      <c r="A56" s="35">
        <v>53.0</v>
      </c>
      <c r="B56" s="36" t="s">
        <v>480</v>
      </c>
      <c r="C56" s="37" t="s">
        <v>481</v>
      </c>
      <c r="D56" s="38" t="s">
        <v>482</v>
      </c>
      <c r="E56" s="38"/>
      <c r="F56" s="38" t="s">
        <v>483</v>
      </c>
      <c r="G56" s="39" t="s">
        <v>205</v>
      </c>
      <c r="H56" s="49" t="s">
        <v>38</v>
      </c>
      <c r="I56" s="39" t="s">
        <v>39</v>
      </c>
      <c r="J56" s="66" t="s">
        <v>151</v>
      </c>
      <c r="K56" s="67" t="s">
        <v>214</v>
      </c>
      <c r="L56" s="39" t="s">
        <v>206</v>
      </c>
      <c r="M56" s="51" t="b">
        <v>1</v>
      </c>
      <c r="N56" s="68" t="s">
        <v>484</v>
      </c>
      <c r="O56" s="45" t="s">
        <v>485</v>
      </c>
      <c r="P56" s="46"/>
      <c r="Q56" s="47"/>
      <c r="R56" s="47"/>
      <c r="S56" s="46"/>
      <c r="T56" s="46"/>
      <c r="U56" s="13"/>
      <c r="V56" s="13"/>
      <c r="W56" s="13"/>
      <c r="X56" s="13"/>
      <c r="Y56" s="13"/>
      <c r="Z56" s="13"/>
      <c r="AA56" s="13"/>
      <c r="AB56" s="13"/>
      <c r="AC56" s="13"/>
    </row>
    <row r="57" ht="16.5" customHeight="1">
      <c r="A57" s="35">
        <v>54.0</v>
      </c>
      <c r="B57" s="36" t="s">
        <v>486</v>
      </c>
      <c r="C57" s="37" t="s">
        <v>487</v>
      </c>
      <c r="D57" s="38" t="s">
        <v>488</v>
      </c>
      <c r="E57" s="38" t="s">
        <v>489</v>
      </c>
      <c r="F57" s="38" t="s">
        <v>490</v>
      </c>
      <c r="G57" s="48" t="s">
        <v>491</v>
      </c>
      <c r="H57" s="49" t="s">
        <v>49</v>
      </c>
      <c r="I57" s="94" t="s">
        <v>39</v>
      </c>
      <c r="J57" s="39" t="s">
        <v>492</v>
      </c>
      <c r="K57" s="41" t="s">
        <v>409</v>
      </c>
      <c r="L57" s="39" t="s">
        <v>493</v>
      </c>
      <c r="M57" s="51" t="b">
        <v>1</v>
      </c>
      <c r="N57" s="68" t="s">
        <v>494</v>
      </c>
      <c r="O57" s="45" t="s">
        <v>495</v>
      </c>
      <c r="P57" s="46"/>
      <c r="Q57" s="47"/>
      <c r="R57" s="47"/>
      <c r="S57" s="46"/>
      <c r="T57" s="46"/>
      <c r="U57" s="13"/>
      <c r="V57" s="13"/>
      <c r="W57" s="13"/>
      <c r="X57" s="13"/>
      <c r="Y57" s="13"/>
      <c r="Z57" s="13"/>
      <c r="AA57" s="13"/>
      <c r="AB57" s="13"/>
      <c r="AC57" s="13"/>
    </row>
    <row r="58" ht="16.5" customHeight="1">
      <c r="A58" s="35">
        <v>55.0</v>
      </c>
      <c r="B58" s="36" t="s">
        <v>496</v>
      </c>
      <c r="C58" s="37" t="s">
        <v>497</v>
      </c>
      <c r="D58" s="38" t="s">
        <v>498</v>
      </c>
      <c r="E58" s="38"/>
      <c r="F58" s="38" t="s">
        <v>499</v>
      </c>
      <c r="G58" s="39" t="s">
        <v>500</v>
      </c>
      <c r="H58" s="49" t="s">
        <v>38</v>
      </c>
      <c r="I58" s="39" t="s">
        <v>39</v>
      </c>
      <c r="J58" s="66" t="s">
        <v>151</v>
      </c>
      <c r="K58" s="67" t="s">
        <v>122</v>
      </c>
      <c r="L58" s="59" t="s">
        <v>501</v>
      </c>
      <c r="M58" s="51" t="b">
        <v>1</v>
      </c>
      <c r="N58" s="68" t="s">
        <v>502</v>
      </c>
      <c r="O58" s="69"/>
      <c r="P58" s="46"/>
      <c r="Q58" s="47"/>
      <c r="R58" s="47"/>
      <c r="S58" s="46"/>
      <c r="T58" s="46"/>
      <c r="U58" s="13"/>
      <c r="V58" s="13"/>
      <c r="W58" s="13"/>
      <c r="X58" s="13"/>
      <c r="Y58" s="13"/>
      <c r="Z58" s="13"/>
      <c r="AA58" s="13"/>
      <c r="AB58" s="13"/>
      <c r="AC58" s="13"/>
    </row>
    <row r="59" ht="16.5" customHeight="1">
      <c r="A59" s="35">
        <v>56.0</v>
      </c>
      <c r="B59" s="36" t="s">
        <v>503</v>
      </c>
      <c r="C59" s="37" t="s">
        <v>504</v>
      </c>
      <c r="D59" s="38" t="s">
        <v>505</v>
      </c>
      <c r="E59" s="38" t="s">
        <v>506</v>
      </c>
      <c r="F59" s="38" t="s">
        <v>196</v>
      </c>
      <c r="G59" s="48" t="s">
        <v>507</v>
      </c>
      <c r="H59" s="49" t="s">
        <v>49</v>
      </c>
      <c r="I59" s="39" t="s">
        <v>39</v>
      </c>
      <c r="J59" s="39" t="s">
        <v>508</v>
      </c>
      <c r="K59" s="41" t="s">
        <v>173</v>
      </c>
      <c r="L59" s="39" t="s">
        <v>509</v>
      </c>
      <c r="M59" s="51" t="b">
        <v>1</v>
      </c>
      <c r="N59" s="57" t="s">
        <v>510</v>
      </c>
      <c r="O59" s="69"/>
      <c r="P59" s="46"/>
      <c r="Q59" s="47"/>
      <c r="R59" s="47"/>
      <c r="S59" s="46"/>
      <c r="T59" s="46"/>
      <c r="U59" s="13"/>
      <c r="V59" s="13"/>
      <c r="W59" s="13"/>
      <c r="X59" s="13"/>
      <c r="Y59" s="13"/>
      <c r="Z59" s="13"/>
      <c r="AA59" s="13"/>
      <c r="AB59" s="13"/>
      <c r="AC59" s="13"/>
    </row>
    <row r="60" ht="16.5" customHeight="1">
      <c r="A60" s="35">
        <v>57.0</v>
      </c>
      <c r="B60" s="36" t="s">
        <v>511</v>
      </c>
      <c r="C60" s="37" t="s">
        <v>512</v>
      </c>
      <c r="D60" s="38" t="s">
        <v>513</v>
      </c>
      <c r="E60" s="38" t="s">
        <v>514</v>
      </c>
      <c r="F60" s="38" t="s">
        <v>515</v>
      </c>
      <c r="G60" s="39" t="s">
        <v>433</v>
      </c>
      <c r="H60" s="49" t="s">
        <v>38</v>
      </c>
      <c r="I60" s="58" t="s">
        <v>39</v>
      </c>
      <c r="J60" s="39" t="s">
        <v>434</v>
      </c>
      <c r="K60" s="67" t="s">
        <v>173</v>
      </c>
      <c r="L60" s="59" t="s">
        <v>516</v>
      </c>
      <c r="M60" s="51" t="b">
        <v>1</v>
      </c>
      <c r="N60" s="57" t="s">
        <v>436</v>
      </c>
      <c r="O60" s="46"/>
      <c r="P60" s="46" t="s">
        <v>517</v>
      </c>
      <c r="Q60" s="46" t="s">
        <v>518</v>
      </c>
      <c r="R60" s="47" t="s">
        <v>519</v>
      </c>
      <c r="S60" s="46" t="s">
        <v>520</v>
      </c>
      <c r="T60" s="46"/>
      <c r="U60" s="13"/>
      <c r="V60" s="13"/>
      <c r="W60" s="13"/>
      <c r="X60" s="13"/>
      <c r="Y60" s="13"/>
      <c r="Z60" s="13"/>
      <c r="AA60" s="13"/>
      <c r="AB60" s="13"/>
      <c r="AC60" s="13"/>
    </row>
    <row r="61" ht="16.5" hidden="1" customHeight="1">
      <c r="A61" s="35">
        <v>58.0</v>
      </c>
      <c r="B61" s="36" t="s">
        <v>521</v>
      </c>
      <c r="C61" s="37" t="s">
        <v>522</v>
      </c>
      <c r="D61" s="38" t="s">
        <v>523</v>
      </c>
      <c r="E61" s="38"/>
      <c r="F61" s="38" t="s">
        <v>524</v>
      </c>
      <c r="G61" s="39" t="s">
        <v>231</v>
      </c>
      <c r="H61" s="49" t="s">
        <v>62</v>
      </c>
      <c r="I61" s="39" t="s">
        <v>63</v>
      </c>
      <c r="J61" s="55"/>
      <c r="K61" s="56"/>
      <c r="L61" s="55"/>
      <c r="M61" s="51" t="b">
        <v>0</v>
      </c>
      <c r="N61" s="46"/>
      <c r="O61" s="46"/>
      <c r="P61" s="46"/>
      <c r="Q61" s="47"/>
      <c r="R61" s="47"/>
      <c r="S61" s="46"/>
      <c r="T61" s="46"/>
      <c r="U61" s="13"/>
      <c r="V61" s="13"/>
      <c r="W61" s="13"/>
      <c r="X61" s="13"/>
      <c r="Y61" s="13"/>
      <c r="Z61" s="13"/>
      <c r="AA61" s="13"/>
      <c r="AB61" s="13"/>
      <c r="AC61" s="13"/>
    </row>
    <row r="62" ht="16.5" hidden="1" customHeight="1">
      <c r="A62" s="35">
        <v>59.0</v>
      </c>
      <c r="B62" s="36" t="s">
        <v>525</v>
      </c>
      <c r="C62" s="37" t="s">
        <v>526</v>
      </c>
      <c r="D62" s="38" t="s">
        <v>527</v>
      </c>
      <c r="E62" s="38"/>
      <c r="F62" s="38" t="s">
        <v>528</v>
      </c>
      <c r="G62" s="39" t="s">
        <v>231</v>
      </c>
      <c r="H62" s="49" t="s">
        <v>62</v>
      </c>
      <c r="I62" s="39" t="s">
        <v>63</v>
      </c>
      <c r="J62" s="55"/>
      <c r="K62" s="56"/>
      <c r="L62" s="55"/>
      <c r="M62" s="51" t="b">
        <v>0</v>
      </c>
      <c r="N62" s="46"/>
      <c r="O62" s="46"/>
      <c r="P62" s="46"/>
      <c r="Q62" s="47"/>
      <c r="R62" s="47"/>
      <c r="S62" s="46"/>
      <c r="T62" s="46"/>
      <c r="U62" s="13"/>
      <c r="V62" s="13"/>
      <c r="W62" s="13"/>
      <c r="X62" s="13"/>
      <c r="Y62" s="13"/>
      <c r="Z62" s="13"/>
      <c r="AA62" s="13"/>
      <c r="AB62" s="13"/>
      <c r="AC62" s="13"/>
    </row>
    <row r="63" ht="16.5" customHeight="1">
      <c r="A63" s="35">
        <v>60.0</v>
      </c>
      <c r="B63" s="36" t="s">
        <v>529</v>
      </c>
      <c r="C63" s="37" t="s">
        <v>530</v>
      </c>
      <c r="D63" s="38" t="s">
        <v>531</v>
      </c>
      <c r="E63" s="38" t="s">
        <v>532</v>
      </c>
      <c r="F63" s="38" t="s">
        <v>196</v>
      </c>
      <c r="G63" s="48" t="s">
        <v>533</v>
      </c>
      <c r="H63" s="49" t="s">
        <v>49</v>
      </c>
      <c r="I63" s="39" t="s">
        <v>39</v>
      </c>
      <c r="J63" s="39" t="s">
        <v>534</v>
      </c>
      <c r="K63" s="41" t="s">
        <v>535</v>
      </c>
      <c r="L63" s="39" t="s">
        <v>536</v>
      </c>
      <c r="M63" s="51" t="b">
        <v>1</v>
      </c>
      <c r="N63" s="57" t="s">
        <v>537</v>
      </c>
      <c r="O63" s="46"/>
      <c r="P63" s="46" t="s">
        <v>538</v>
      </c>
      <c r="Q63" s="47" t="s">
        <v>539</v>
      </c>
      <c r="R63" s="47" t="s">
        <v>540</v>
      </c>
      <c r="S63" s="46"/>
      <c r="T63" s="46"/>
      <c r="U63" s="13"/>
      <c r="V63" s="13"/>
      <c r="W63" s="13"/>
      <c r="X63" s="13"/>
      <c r="Y63" s="13"/>
      <c r="Z63" s="13"/>
      <c r="AA63" s="13"/>
      <c r="AB63" s="13"/>
      <c r="AC63" s="13"/>
    </row>
    <row r="64" ht="16.5" hidden="1" customHeight="1">
      <c r="A64" s="35">
        <v>61.0</v>
      </c>
      <c r="B64" s="36" t="s">
        <v>541</v>
      </c>
      <c r="C64" s="37" t="s">
        <v>542</v>
      </c>
      <c r="D64" s="38" t="s">
        <v>543</v>
      </c>
      <c r="E64" s="38"/>
      <c r="F64" s="38" t="s">
        <v>544</v>
      </c>
      <c r="G64" s="39" t="s">
        <v>231</v>
      </c>
      <c r="H64" s="49" t="s">
        <v>62</v>
      </c>
      <c r="I64" s="39" t="s">
        <v>63</v>
      </c>
      <c r="J64" s="55"/>
      <c r="K64" s="56"/>
      <c r="L64" s="55"/>
      <c r="M64" s="51" t="b">
        <v>0</v>
      </c>
      <c r="N64" s="46"/>
      <c r="O64" s="46"/>
      <c r="P64" s="46"/>
      <c r="Q64" s="47"/>
      <c r="R64" s="47"/>
      <c r="S64" s="46"/>
      <c r="T64" s="46"/>
      <c r="U64" s="13"/>
      <c r="V64" s="13"/>
      <c r="W64" s="13"/>
      <c r="X64" s="13"/>
      <c r="Y64" s="13"/>
      <c r="Z64" s="13"/>
      <c r="AA64" s="13"/>
      <c r="AB64" s="13"/>
      <c r="AC64" s="13"/>
    </row>
    <row r="65" ht="16.5" customHeight="1">
      <c r="A65" s="35">
        <v>62.0</v>
      </c>
      <c r="B65" s="36" t="s">
        <v>545</v>
      </c>
      <c r="C65" s="37" t="s">
        <v>546</v>
      </c>
      <c r="D65" s="38" t="s">
        <v>547</v>
      </c>
      <c r="E65" s="38" t="s">
        <v>548</v>
      </c>
      <c r="F65" s="38" t="s">
        <v>549</v>
      </c>
      <c r="G65" s="48" t="s">
        <v>550</v>
      </c>
      <c r="H65" s="49" t="s">
        <v>49</v>
      </c>
      <c r="I65" s="58" t="s">
        <v>39</v>
      </c>
      <c r="J65" s="39" t="s">
        <v>551</v>
      </c>
      <c r="K65" s="41" t="s">
        <v>152</v>
      </c>
      <c r="L65" s="39" t="s">
        <v>552</v>
      </c>
      <c r="M65" s="51" t="b">
        <v>1</v>
      </c>
      <c r="N65" s="57" t="s">
        <v>553</v>
      </c>
      <c r="O65" s="46"/>
      <c r="P65" s="46"/>
      <c r="Q65" s="47"/>
      <c r="R65" s="47"/>
      <c r="S65" s="46"/>
      <c r="T65" s="46"/>
      <c r="U65" s="13"/>
      <c r="V65" s="13"/>
      <c r="W65" s="13"/>
      <c r="X65" s="13"/>
      <c r="Y65" s="13"/>
      <c r="Z65" s="13"/>
      <c r="AA65" s="13"/>
      <c r="AB65" s="13"/>
      <c r="AC65" s="13"/>
    </row>
    <row r="66" ht="16.5" hidden="1" customHeight="1">
      <c r="A66" s="35">
        <v>63.0</v>
      </c>
      <c r="B66" s="36" t="s">
        <v>554</v>
      </c>
      <c r="C66" s="37" t="s">
        <v>555</v>
      </c>
      <c r="D66" s="38" t="s">
        <v>556</v>
      </c>
      <c r="E66" s="38"/>
      <c r="F66" s="38" t="s">
        <v>557</v>
      </c>
      <c r="G66" s="39" t="s">
        <v>231</v>
      </c>
      <c r="H66" s="49" t="s">
        <v>62</v>
      </c>
      <c r="I66" s="39" t="s">
        <v>63</v>
      </c>
      <c r="J66" s="55"/>
      <c r="K66" s="56"/>
      <c r="L66" s="55"/>
      <c r="M66" s="51" t="b">
        <v>0</v>
      </c>
      <c r="N66" s="46"/>
      <c r="O66" s="46"/>
      <c r="P66" s="46" t="s">
        <v>558</v>
      </c>
      <c r="Q66" s="47"/>
      <c r="R66" s="47"/>
      <c r="S66" s="46"/>
      <c r="T66" s="46"/>
      <c r="U66" s="13"/>
      <c r="V66" s="13"/>
      <c r="W66" s="13"/>
      <c r="X66" s="13"/>
      <c r="Y66" s="13"/>
      <c r="Z66" s="13"/>
      <c r="AA66" s="13"/>
      <c r="AB66" s="13"/>
      <c r="AC66" s="13"/>
    </row>
    <row r="67" ht="16.5" customHeight="1">
      <c r="A67" s="35">
        <v>64.0</v>
      </c>
      <c r="B67" s="36" t="s">
        <v>559</v>
      </c>
      <c r="C67" s="37" t="s">
        <v>560</v>
      </c>
      <c r="D67" s="38" t="s">
        <v>561</v>
      </c>
      <c r="E67" s="38" t="s">
        <v>562</v>
      </c>
      <c r="F67" s="38" t="s">
        <v>563</v>
      </c>
      <c r="G67" s="39" t="s">
        <v>564</v>
      </c>
      <c r="H67" s="49" t="s">
        <v>49</v>
      </c>
      <c r="I67" s="58" t="s">
        <v>39</v>
      </c>
      <c r="J67" s="39" t="s">
        <v>565</v>
      </c>
      <c r="K67" s="41" t="s">
        <v>566</v>
      </c>
      <c r="L67" s="39" t="s">
        <v>567</v>
      </c>
      <c r="M67" s="51" t="b">
        <v>1</v>
      </c>
      <c r="N67" s="57" t="s">
        <v>568</v>
      </c>
      <c r="O67" s="46"/>
      <c r="P67" s="46"/>
      <c r="Q67" s="47"/>
      <c r="R67" s="47"/>
      <c r="S67" s="46"/>
      <c r="T67" s="46"/>
      <c r="U67" s="13"/>
      <c r="V67" s="13"/>
      <c r="W67" s="13"/>
      <c r="X67" s="13"/>
      <c r="Y67" s="13"/>
      <c r="Z67" s="13"/>
      <c r="AA67" s="13"/>
      <c r="AB67" s="13"/>
      <c r="AC67" s="13"/>
    </row>
    <row r="68" ht="16.5" customHeight="1">
      <c r="A68" s="35">
        <v>65.0</v>
      </c>
      <c r="B68" s="36" t="s">
        <v>569</v>
      </c>
      <c r="C68" s="37" t="s">
        <v>570</v>
      </c>
      <c r="D68" s="38" t="s">
        <v>571</v>
      </c>
      <c r="E68" s="38"/>
      <c r="F68" s="38" t="s">
        <v>572</v>
      </c>
      <c r="G68" s="39" t="s">
        <v>573</v>
      </c>
      <c r="H68" s="49" t="s">
        <v>49</v>
      </c>
      <c r="I68" s="94" t="s">
        <v>39</v>
      </c>
      <c r="J68" s="39" t="s">
        <v>574</v>
      </c>
      <c r="K68" s="95" t="s">
        <v>575</v>
      </c>
      <c r="L68" s="94" t="s">
        <v>576</v>
      </c>
      <c r="M68" s="51" t="b">
        <v>1</v>
      </c>
      <c r="N68" s="57" t="s">
        <v>569</v>
      </c>
      <c r="O68" s="57" t="s">
        <v>577</v>
      </c>
      <c r="P68" s="46"/>
      <c r="Q68" s="47"/>
      <c r="R68" s="47"/>
      <c r="S68" s="46"/>
      <c r="T68" s="46"/>
      <c r="U68" s="13"/>
      <c r="V68" s="13"/>
      <c r="W68" s="13"/>
      <c r="X68" s="13"/>
      <c r="Y68" s="13"/>
      <c r="Z68" s="13"/>
      <c r="AA68" s="13"/>
      <c r="AB68" s="13"/>
      <c r="AC68" s="13"/>
    </row>
    <row r="69" ht="16.5" hidden="1" customHeight="1">
      <c r="A69" s="35">
        <v>66.0</v>
      </c>
      <c r="B69" s="36" t="s">
        <v>578</v>
      </c>
      <c r="C69" s="37" t="s">
        <v>579</v>
      </c>
      <c r="D69" s="38" t="s">
        <v>580</v>
      </c>
      <c r="E69" s="38"/>
      <c r="F69" s="38" t="s">
        <v>581</v>
      </c>
      <c r="G69" s="39" t="s">
        <v>231</v>
      </c>
      <c r="H69" s="49" t="s">
        <v>62</v>
      </c>
      <c r="I69" s="39" t="s">
        <v>63</v>
      </c>
      <c r="J69" s="55"/>
      <c r="K69" s="56"/>
      <c r="L69" s="55"/>
      <c r="M69" s="51" t="b">
        <v>0</v>
      </c>
      <c r="N69" s="46"/>
      <c r="O69" s="46"/>
      <c r="P69" s="46"/>
      <c r="Q69" s="47"/>
      <c r="R69" s="47"/>
      <c r="S69" s="46"/>
      <c r="T69" s="46"/>
      <c r="U69" s="13"/>
      <c r="V69" s="13"/>
      <c r="W69" s="13"/>
      <c r="X69" s="13"/>
      <c r="Y69" s="13"/>
      <c r="Z69" s="13"/>
      <c r="AA69" s="13"/>
      <c r="AB69" s="13"/>
      <c r="AC69" s="13"/>
    </row>
    <row r="70" ht="16.5" customHeight="1">
      <c r="A70" s="35">
        <v>67.0</v>
      </c>
      <c r="B70" s="36" t="s">
        <v>582</v>
      </c>
      <c r="C70" s="37" t="s">
        <v>583</v>
      </c>
      <c r="D70" s="38" t="s">
        <v>584</v>
      </c>
      <c r="E70" s="38" t="s">
        <v>585</v>
      </c>
      <c r="F70" s="38" t="s">
        <v>586</v>
      </c>
      <c r="G70" s="48" t="s">
        <v>587</v>
      </c>
      <c r="H70" s="49" t="s">
        <v>49</v>
      </c>
      <c r="I70" s="39" t="s">
        <v>39</v>
      </c>
      <c r="J70" s="39" t="s">
        <v>588</v>
      </c>
      <c r="K70" s="41" t="s">
        <v>173</v>
      </c>
      <c r="L70" s="39" t="s">
        <v>589</v>
      </c>
      <c r="M70" s="51" t="b">
        <v>0</v>
      </c>
      <c r="N70" s="44" t="s">
        <v>590</v>
      </c>
      <c r="O70" s="96" t="s">
        <v>591</v>
      </c>
      <c r="P70" s="97" t="s">
        <v>592</v>
      </c>
      <c r="Q70" s="47"/>
      <c r="R70" s="47"/>
      <c r="S70" s="46"/>
      <c r="T70" s="46"/>
      <c r="U70" s="98"/>
      <c r="V70" s="13"/>
      <c r="W70" s="13"/>
      <c r="X70" s="13"/>
      <c r="Y70" s="13"/>
      <c r="Z70" s="13"/>
      <c r="AA70" s="13"/>
      <c r="AB70" s="13"/>
      <c r="AC70" s="13"/>
    </row>
    <row r="71" ht="16.5" hidden="1" customHeight="1">
      <c r="A71" s="35">
        <v>68.0</v>
      </c>
      <c r="B71" s="36" t="s">
        <v>593</v>
      </c>
      <c r="C71" s="37" t="s">
        <v>594</v>
      </c>
      <c r="D71" s="38" t="s">
        <v>595</v>
      </c>
      <c r="E71" s="38"/>
      <c r="F71" s="38" t="s">
        <v>596</v>
      </c>
      <c r="G71" s="39" t="s">
        <v>231</v>
      </c>
      <c r="H71" s="49" t="s">
        <v>62</v>
      </c>
      <c r="I71" s="39" t="s">
        <v>63</v>
      </c>
      <c r="J71" s="55"/>
      <c r="K71" s="56"/>
      <c r="L71" s="55"/>
      <c r="M71" s="51" t="b">
        <v>0</v>
      </c>
      <c r="N71" s="46"/>
      <c r="O71" s="46"/>
      <c r="P71" s="46"/>
      <c r="Q71" s="47"/>
      <c r="R71" s="47"/>
      <c r="S71" s="46"/>
      <c r="T71" s="46"/>
      <c r="U71" s="13"/>
      <c r="V71" s="13"/>
      <c r="W71" s="13"/>
      <c r="X71" s="13"/>
      <c r="Y71" s="13"/>
      <c r="Z71" s="13"/>
      <c r="AA71" s="13"/>
      <c r="AB71" s="13"/>
      <c r="AC71" s="13"/>
    </row>
    <row r="72" ht="16.5" hidden="1" customHeight="1">
      <c r="A72" s="35">
        <v>69.0</v>
      </c>
      <c r="B72" s="36" t="s">
        <v>597</v>
      </c>
      <c r="C72" s="37" t="s">
        <v>598</v>
      </c>
      <c r="D72" s="38" t="s">
        <v>599</v>
      </c>
      <c r="E72" s="38"/>
      <c r="F72" s="38" t="s">
        <v>600</v>
      </c>
      <c r="G72" s="39" t="s">
        <v>231</v>
      </c>
      <c r="H72" s="49" t="s">
        <v>62</v>
      </c>
      <c r="I72" s="39" t="s">
        <v>63</v>
      </c>
      <c r="J72" s="55"/>
      <c r="K72" s="56"/>
      <c r="L72" s="55"/>
      <c r="M72" s="51" t="b">
        <v>0</v>
      </c>
      <c r="N72" s="46"/>
      <c r="O72" s="46"/>
      <c r="P72" s="46"/>
      <c r="Q72" s="47"/>
      <c r="R72" s="47"/>
      <c r="S72" s="46"/>
      <c r="T72" s="46"/>
      <c r="U72" s="13"/>
      <c r="V72" s="13"/>
      <c r="W72" s="13"/>
      <c r="X72" s="13"/>
      <c r="Y72" s="13"/>
      <c r="Z72" s="13"/>
      <c r="AA72" s="13"/>
      <c r="AB72" s="13"/>
      <c r="AC72" s="13"/>
    </row>
    <row r="73" ht="16.5" hidden="1" customHeight="1">
      <c r="A73" s="35">
        <v>70.0</v>
      </c>
      <c r="B73" s="36" t="s">
        <v>601</v>
      </c>
      <c r="C73" s="37" t="s">
        <v>602</v>
      </c>
      <c r="D73" s="38" t="s">
        <v>603</v>
      </c>
      <c r="E73" s="38"/>
      <c r="F73" s="38" t="s">
        <v>604</v>
      </c>
      <c r="G73" s="39" t="s">
        <v>231</v>
      </c>
      <c r="H73" s="49" t="s">
        <v>62</v>
      </c>
      <c r="I73" s="39" t="s">
        <v>63</v>
      </c>
      <c r="J73" s="55"/>
      <c r="K73" s="56"/>
      <c r="L73" s="55"/>
      <c r="M73" s="51" t="b">
        <v>0</v>
      </c>
      <c r="N73" s="46"/>
      <c r="O73" s="46"/>
      <c r="P73" s="46"/>
      <c r="Q73" s="47"/>
      <c r="R73" s="47"/>
      <c r="S73" s="46"/>
      <c r="T73" s="46"/>
      <c r="U73" s="13"/>
      <c r="V73" s="13"/>
      <c r="W73" s="13"/>
      <c r="X73" s="13"/>
      <c r="Y73" s="13"/>
      <c r="Z73" s="13"/>
      <c r="AA73" s="13"/>
      <c r="AB73" s="13"/>
      <c r="AC73" s="13"/>
    </row>
    <row r="74" ht="16.5" customHeight="1">
      <c r="A74" s="35">
        <v>71.0</v>
      </c>
      <c r="B74" s="36" t="s">
        <v>605</v>
      </c>
      <c r="C74" s="37" t="s">
        <v>606</v>
      </c>
      <c r="D74" s="38" t="s">
        <v>607</v>
      </c>
      <c r="E74" s="38"/>
      <c r="F74" s="38" t="s">
        <v>608</v>
      </c>
      <c r="G74" s="48" t="s">
        <v>609</v>
      </c>
      <c r="H74" s="49" t="s">
        <v>49</v>
      </c>
      <c r="I74" s="39" t="s">
        <v>39</v>
      </c>
      <c r="J74" s="39" t="s">
        <v>610</v>
      </c>
      <c r="K74" s="41" t="s">
        <v>611</v>
      </c>
      <c r="L74" s="39" t="s">
        <v>612</v>
      </c>
      <c r="M74" s="51" t="b">
        <v>1</v>
      </c>
      <c r="N74" s="57" t="s">
        <v>613</v>
      </c>
      <c r="O74" s="69"/>
      <c r="P74" s="46"/>
      <c r="Q74" s="47"/>
      <c r="R74" s="47"/>
      <c r="S74" s="46"/>
      <c r="T74" s="46"/>
      <c r="U74" s="13"/>
      <c r="V74" s="13"/>
      <c r="W74" s="13"/>
      <c r="X74" s="13"/>
      <c r="Y74" s="13"/>
      <c r="Z74" s="13"/>
      <c r="AA74" s="13"/>
      <c r="AB74" s="13"/>
      <c r="AC74" s="13"/>
    </row>
    <row r="75" ht="16.5" customHeight="1">
      <c r="A75" s="35">
        <v>72.0</v>
      </c>
      <c r="B75" s="36" t="s">
        <v>614</v>
      </c>
      <c r="C75" s="37" t="s">
        <v>615</v>
      </c>
      <c r="D75" s="38" t="s">
        <v>616</v>
      </c>
      <c r="E75" s="38" t="s">
        <v>617</v>
      </c>
      <c r="F75" s="38" t="s">
        <v>618</v>
      </c>
      <c r="G75" s="39" t="s">
        <v>619</v>
      </c>
      <c r="H75" s="49" t="s">
        <v>49</v>
      </c>
      <c r="I75" s="39" t="s">
        <v>39</v>
      </c>
      <c r="J75" s="39" t="s">
        <v>620</v>
      </c>
      <c r="K75" s="41" t="s">
        <v>621</v>
      </c>
      <c r="L75" s="39" t="s">
        <v>622</v>
      </c>
      <c r="M75" s="51" t="b">
        <v>1</v>
      </c>
      <c r="N75" s="68" t="s">
        <v>623</v>
      </c>
      <c r="O75" s="99"/>
      <c r="P75" s="97" t="s">
        <v>624</v>
      </c>
      <c r="Q75" s="47"/>
      <c r="R75" s="47"/>
      <c r="S75" s="46"/>
      <c r="T75" s="46"/>
      <c r="U75" s="13"/>
      <c r="V75" s="13"/>
      <c r="W75" s="13"/>
      <c r="X75" s="13"/>
      <c r="Y75" s="13"/>
      <c r="Z75" s="13"/>
      <c r="AA75" s="13"/>
      <c r="AB75" s="13"/>
      <c r="AC75" s="13"/>
    </row>
    <row r="76" ht="16.5" hidden="1" customHeight="1">
      <c r="A76" s="35">
        <v>73.0</v>
      </c>
      <c r="B76" s="36" t="s">
        <v>625</v>
      </c>
      <c r="C76" s="37" t="s">
        <v>626</v>
      </c>
      <c r="D76" s="38" t="s">
        <v>627</v>
      </c>
      <c r="E76" s="38" t="s">
        <v>628</v>
      </c>
      <c r="F76" s="38" t="s">
        <v>629</v>
      </c>
      <c r="G76" s="39" t="s">
        <v>231</v>
      </c>
      <c r="H76" s="49" t="s">
        <v>49</v>
      </c>
      <c r="I76" s="58" t="s">
        <v>63</v>
      </c>
      <c r="J76" s="55"/>
      <c r="K76" s="56"/>
      <c r="L76" s="55"/>
      <c r="M76" s="51" t="b">
        <v>0</v>
      </c>
      <c r="N76" s="46"/>
      <c r="O76" s="46"/>
      <c r="P76" s="46"/>
      <c r="Q76" s="47"/>
      <c r="R76" s="47"/>
      <c r="S76" s="46"/>
      <c r="T76" s="46"/>
      <c r="U76" s="13"/>
      <c r="V76" s="13"/>
      <c r="W76" s="13"/>
      <c r="X76" s="13"/>
      <c r="Y76" s="13"/>
      <c r="Z76" s="13"/>
      <c r="AA76" s="13"/>
      <c r="AB76" s="13"/>
      <c r="AC76" s="13"/>
    </row>
    <row r="77" ht="16.5" hidden="1" customHeight="1">
      <c r="A77" s="35">
        <v>74.0</v>
      </c>
      <c r="B77" s="36" t="s">
        <v>630</v>
      </c>
      <c r="C77" s="37" t="s">
        <v>631</v>
      </c>
      <c r="D77" s="38" t="s">
        <v>632</v>
      </c>
      <c r="E77" s="38" t="s">
        <v>633</v>
      </c>
      <c r="F77" s="38" t="s">
        <v>634</v>
      </c>
      <c r="G77" s="39" t="s">
        <v>231</v>
      </c>
      <c r="H77" s="49" t="s">
        <v>49</v>
      </c>
      <c r="I77" s="58" t="s">
        <v>63</v>
      </c>
      <c r="J77" s="55"/>
      <c r="K77" s="56"/>
      <c r="L77" s="55"/>
      <c r="M77" s="51" t="b">
        <v>0</v>
      </c>
      <c r="N77" s="46"/>
      <c r="O77" s="46"/>
      <c r="P77" s="46"/>
      <c r="Q77" s="47"/>
      <c r="R77" s="47"/>
      <c r="S77" s="46"/>
      <c r="T77" s="46"/>
      <c r="U77" s="13"/>
      <c r="V77" s="13"/>
      <c r="W77" s="13"/>
      <c r="X77" s="13"/>
      <c r="Y77" s="13"/>
      <c r="Z77" s="13"/>
      <c r="AA77" s="13"/>
      <c r="AB77" s="13"/>
      <c r="AC77" s="13"/>
    </row>
    <row r="78" ht="16.5" customHeight="1">
      <c r="A78" s="35">
        <v>75.0</v>
      </c>
      <c r="B78" s="36" t="s">
        <v>635</v>
      </c>
      <c r="C78" s="37" t="s">
        <v>636</v>
      </c>
      <c r="D78" s="38" t="s">
        <v>637</v>
      </c>
      <c r="E78" s="38" t="s">
        <v>638</v>
      </c>
      <c r="F78" s="38" t="s">
        <v>639</v>
      </c>
      <c r="G78" s="39" t="s">
        <v>640</v>
      </c>
      <c r="H78" s="49" t="s">
        <v>49</v>
      </c>
      <c r="I78" s="39" t="s">
        <v>39</v>
      </c>
      <c r="J78" s="39" t="s">
        <v>82</v>
      </c>
      <c r="K78" s="41" t="s">
        <v>641</v>
      </c>
      <c r="L78" s="39" t="s">
        <v>642</v>
      </c>
      <c r="M78" s="51" t="b">
        <v>1</v>
      </c>
      <c r="N78" s="100" t="s">
        <v>106</v>
      </c>
      <c r="O78" s="69"/>
      <c r="P78" s="46"/>
      <c r="Q78" s="47"/>
      <c r="R78" s="47"/>
      <c r="S78" s="46"/>
      <c r="T78" s="46"/>
      <c r="U78" s="13"/>
      <c r="V78" s="13"/>
      <c r="W78" s="13"/>
      <c r="X78" s="13"/>
      <c r="Y78" s="13"/>
      <c r="Z78" s="13"/>
      <c r="AA78" s="13"/>
      <c r="AB78" s="13"/>
      <c r="AC78" s="13"/>
    </row>
    <row r="79" ht="16.5" customHeight="1">
      <c r="A79" s="35">
        <v>76.0</v>
      </c>
      <c r="B79" s="36" t="s">
        <v>643</v>
      </c>
      <c r="C79" s="37" t="s">
        <v>644</v>
      </c>
      <c r="D79" s="38" t="s">
        <v>645</v>
      </c>
      <c r="E79" s="38"/>
      <c r="F79" s="38" t="s">
        <v>646</v>
      </c>
      <c r="G79" s="39" t="s">
        <v>647</v>
      </c>
      <c r="H79" s="49" t="s">
        <v>49</v>
      </c>
      <c r="I79" s="39" t="s">
        <v>39</v>
      </c>
      <c r="J79" s="39" t="s">
        <v>648</v>
      </c>
      <c r="K79" s="41" t="s">
        <v>649</v>
      </c>
      <c r="L79" s="39" t="s">
        <v>650</v>
      </c>
      <c r="M79" s="51" t="b">
        <v>1</v>
      </c>
      <c r="N79" s="57" t="s">
        <v>651</v>
      </c>
      <c r="O79" s="69"/>
      <c r="P79" s="46"/>
      <c r="Q79" s="47"/>
      <c r="R79" s="47"/>
      <c r="S79" s="46"/>
      <c r="T79" s="46"/>
      <c r="U79" s="13"/>
      <c r="V79" s="13"/>
      <c r="W79" s="13"/>
      <c r="X79" s="13"/>
      <c r="Y79" s="13"/>
      <c r="Z79" s="13"/>
      <c r="AA79" s="13"/>
      <c r="AB79" s="13"/>
      <c r="AC79" s="13"/>
    </row>
    <row r="80" ht="16.5" customHeight="1">
      <c r="A80" s="35">
        <v>77.0</v>
      </c>
      <c r="B80" s="36" t="s">
        <v>652</v>
      </c>
      <c r="C80" s="37" t="s">
        <v>653</v>
      </c>
      <c r="D80" s="38" t="s">
        <v>654</v>
      </c>
      <c r="E80" s="38" t="s">
        <v>655</v>
      </c>
      <c r="F80" s="38" t="s">
        <v>196</v>
      </c>
      <c r="G80" s="48" t="s">
        <v>656</v>
      </c>
      <c r="H80" s="49" t="s">
        <v>49</v>
      </c>
      <c r="I80" s="39" t="s">
        <v>39</v>
      </c>
      <c r="J80" s="39" t="s">
        <v>657</v>
      </c>
      <c r="K80" s="41" t="s">
        <v>658</v>
      </c>
      <c r="L80" s="39" t="s">
        <v>659</v>
      </c>
      <c r="M80" s="51" t="b">
        <v>1</v>
      </c>
      <c r="N80" s="100" t="s">
        <v>660</v>
      </c>
      <c r="O80" s="69"/>
      <c r="P80" s="46"/>
      <c r="Q80" s="47"/>
      <c r="R80" s="47"/>
      <c r="S80" s="46"/>
      <c r="T80" s="46"/>
      <c r="U80" s="13"/>
      <c r="V80" s="13"/>
      <c r="W80" s="13"/>
      <c r="X80" s="13"/>
      <c r="Y80" s="13"/>
      <c r="Z80" s="13"/>
      <c r="AA80" s="13"/>
      <c r="AB80" s="13"/>
      <c r="AC80" s="13"/>
    </row>
    <row r="81" ht="16.5" customHeight="1">
      <c r="A81" s="35">
        <v>78.0</v>
      </c>
      <c r="B81" s="36" t="s">
        <v>661</v>
      </c>
      <c r="C81" s="37" t="s">
        <v>662</v>
      </c>
      <c r="D81" s="38" t="s">
        <v>663</v>
      </c>
      <c r="E81" s="38" t="s">
        <v>664</v>
      </c>
      <c r="F81" s="38" t="s">
        <v>665</v>
      </c>
      <c r="G81" s="39" t="s">
        <v>666</v>
      </c>
      <c r="H81" s="49" t="s">
        <v>49</v>
      </c>
      <c r="I81" s="39" t="s">
        <v>39</v>
      </c>
      <c r="J81" s="39" t="s">
        <v>82</v>
      </c>
      <c r="K81" s="41" t="s">
        <v>667</v>
      </c>
      <c r="L81" s="39" t="s">
        <v>668</v>
      </c>
      <c r="M81" s="51" t="b">
        <v>1</v>
      </c>
      <c r="N81" s="87" t="s">
        <v>669</v>
      </c>
      <c r="O81" s="99"/>
      <c r="P81" s="97" t="s">
        <v>670</v>
      </c>
      <c r="Q81" s="47"/>
      <c r="R81" s="47"/>
      <c r="S81" s="46"/>
      <c r="T81" s="46"/>
      <c r="U81" s="13"/>
      <c r="V81" s="13"/>
      <c r="W81" s="13"/>
      <c r="X81" s="13"/>
      <c r="Y81" s="13"/>
      <c r="Z81" s="13"/>
      <c r="AA81" s="13"/>
      <c r="AB81" s="13"/>
      <c r="AC81" s="13"/>
    </row>
    <row r="82" ht="16.5" customHeight="1">
      <c r="A82" s="35">
        <v>79.0</v>
      </c>
      <c r="B82" s="36" t="s">
        <v>671</v>
      </c>
      <c r="C82" s="37" t="s">
        <v>672</v>
      </c>
      <c r="D82" s="38" t="s">
        <v>673</v>
      </c>
      <c r="E82" s="38"/>
      <c r="F82" s="38" t="s">
        <v>674</v>
      </c>
      <c r="G82" s="39" t="s">
        <v>675</v>
      </c>
      <c r="H82" s="49" t="s">
        <v>49</v>
      </c>
      <c r="I82" s="39" t="s">
        <v>39</v>
      </c>
      <c r="J82" s="39" t="s">
        <v>676</v>
      </c>
      <c r="K82" s="41" t="s">
        <v>641</v>
      </c>
      <c r="L82" s="39" t="s">
        <v>677</v>
      </c>
      <c r="M82" s="51" t="b">
        <v>1</v>
      </c>
      <c r="N82" s="57" t="s">
        <v>678</v>
      </c>
      <c r="O82" s="69"/>
      <c r="P82" s="46" t="s">
        <v>679</v>
      </c>
      <c r="Q82" s="47"/>
      <c r="R82" s="47"/>
      <c r="S82" s="46"/>
      <c r="T82" s="46"/>
      <c r="U82" s="13"/>
      <c r="V82" s="13"/>
      <c r="W82" s="13"/>
      <c r="X82" s="13"/>
      <c r="Y82" s="13"/>
      <c r="Z82" s="13"/>
      <c r="AA82" s="13"/>
      <c r="AB82" s="13"/>
      <c r="AC82" s="13"/>
    </row>
    <row r="83" ht="16.5" customHeight="1">
      <c r="A83" s="35">
        <v>80.0</v>
      </c>
      <c r="B83" s="36" t="s">
        <v>680</v>
      </c>
      <c r="C83" s="37" t="s">
        <v>681</v>
      </c>
      <c r="D83" s="38" t="s">
        <v>682</v>
      </c>
      <c r="E83" s="38" t="s">
        <v>683</v>
      </c>
      <c r="F83" s="38" t="s">
        <v>684</v>
      </c>
      <c r="G83" s="39" t="s">
        <v>685</v>
      </c>
      <c r="H83" s="49" t="s">
        <v>49</v>
      </c>
      <c r="I83" s="86" t="s">
        <v>39</v>
      </c>
      <c r="J83" s="39" t="s">
        <v>551</v>
      </c>
      <c r="K83" s="95" t="s">
        <v>575</v>
      </c>
      <c r="L83" s="94" t="s">
        <v>686</v>
      </c>
      <c r="M83" s="51" t="b">
        <v>1</v>
      </c>
      <c r="N83" s="57" t="s">
        <v>687</v>
      </c>
      <c r="O83" s="45" t="s">
        <v>688</v>
      </c>
      <c r="P83" s="46"/>
      <c r="Q83" s="47"/>
      <c r="R83" s="47"/>
      <c r="S83" s="46"/>
      <c r="T83" s="46"/>
      <c r="U83" s="13"/>
      <c r="V83" s="13"/>
      <c r="W83" s="13"/>
      <c r="X83" s="13"/>
      <c r="Y83" s="13"/>
      <c r="Z83" s="13"/>
      <c r="AA83" s="13"/>
      <c r="AB83" s="13"/>
      <c r="AC83" s="13"/>
    </row>
    <row r="84" ht="16.5" customHeight="1">
      <c r="A84" s="35">
        <v>81.0</v>
      </c>
      <c r="B84" s="36" t="s">
        <v>689</v>
      </c>
      <c r="C84" s="37" t="s">
        <v>690</v>
      </c>
      <c r="D84" s="38" t="s">
        <v>691</v>
      </c>
      <c r="E84" s="38"/>
      <c r="F84" s="38" t="s">
        <v>692</v>
      </c>
      <c r="G84" s="39" t="s">
        <v>693</v>
      </c>
      <c r="H84" s="49" t="s">
        <v>38</v>
      </c>
      <c r="I84" s="58" t="s">
        <v>39</v>
      </c>
      <c r="J84" s="59" t="s">
        <v>694</v>
      </c>
      <c r="K84" s="67" t="s">
        <v>695</v>
      </c>
      <c r="L84" s="59" t="s">
        <v>696</v>
      </c>
      <c r="M84" s="51" t="b">
        <v>1</v>
      </c>
      <c r="N84" s="68" t="s">
        <v>697</v>
      </c>
      <c r="O84" s="57" t="s">
        <v>698</v>
      </c>
      <c r="P84" s="46"/>
      <c r="Q84" s="47"/>
      <c r="R84" s="47"/>
      <c r="S84" s="46"/>
      <c r="T84" s="46"/>
      <c r="U84" s="13"/>
      <c r="V84" s="13"/>
      <c r="W84" s="13"/>
      <c r="X84" s="13"/>
      <c r="Y84" s="13"/>
      <c r="Z84" s="13"/>
      <c r="AA84" s="13"/>
      <c r="AB84" s="13"/>
      <c r="AC84" s="13"/>
    </row>
    <row r="85" ht="16.5" customHeight="1">
      <c r="A85" s="35">
        <v>82.0</v>
      </c>
      <c r="B85" s="36" t="s">
        <v>699</v>
      </c>
      <c r="C85" s="37" t="s">
        <v>700</v>
      </c>
      <c r="D85" s="38" t="s">
        <v>701</v>
      </c>
      <c r="E85" s="38" t="s">
        <v>702</v>
      </c>
      <c r="F85" s="38" t="s">
        <v>703</v>
      </c>
      <c r="G85" s="39" t="s">
        <v>704</v>
      </c>
      <c r="H85" s="49" t="s">
        <v>38</v>
      </c>
      <c r="I85" s="39" t="s">
        <v>39</v>
      </c>
      <c r="J85" s="66" t="s">
        <v>151</v>
      </c>
      <c r="K85" s="67" t="s">
        <v>122</v>
      </c>
      <c r="L85" s="59" t="s">
        <v>705</v>
      </c>
      <c r="M85" s="51" t="b">
        <v>1</v>
      </c>
      <c r="N85" s="68" t="s">
        <v>502</v>
      </c>
      <c r="O85" s="69"/>
      <c r="P85" s="46"/>
      <c r="Q85" s="47"/>
      <c r="R85" s="47"/>
      <c r="S85" s="46"/>
      <c r="T85" s="46"/>
      <c r="U85" s="13"/>
      <c r="V85" s="13"/>
      <c r="W85" s="13"/>
      <c r="X85" s="13"/>
      <c r="Y85" s="13"/>
      <c r="Z85" s="13"/>
      <c r="AA85" s="13"/>
      <c r="AB85" s="13"/>
      <c r="AC85" s="13"/>
    </row>
    <row r="86" ht="16.5" hidden="1" customHeight="1">
      <c r="A86" s="35">
        <v>83.0</v>
      </c>
      <c r="B86" s="36" t="s">
        <v>706</v>
      </c>
      <c r="C86" s="37" t="s">
        <v>707</v>
      </c>
      <c r="D86" s="38" t="s">
        <v>708</v>
      </c>
      <c r="E86" s="38"/>
      <c r="F86" s="38" t="s">
        <v>709</v>
      </c>
      <c r="G86" s="39" t="s">
        <v>231</v>
      </c>
      <c r="H86" s="49" t="s">
        <v>62</v>
      </c>
      <c r="I86" s="39" t="s">
        <v>63</v>
      </c>
      <c r="J86" s="55"/>
      <c r="K86" s="56"/>
      <c r="L86" s="55"/>
      <c r="M86" s="51" t="b">
        <v>0</v>
      </c>
      <c r="N86" s="46"/>
      <c r="O86" s="46"/>
      <c r="P86" s="46"/>
      <c r="Q86" s="47"/>
      <c r="R86" s="47"/>
      <c r="S86" s="46"/>
      <c r="T86" s="46"/>
      <c r="U86" s="13"/>
      <c r="V86" s="13"/>
      <c r="W86" s="13"/>
      <c r="X86" s="13"/>
      <c r="Y86" s="13"/>
      <c r="Z86" s="13"/>
      <c r="AA86" s="13"/>
      <c r="AB86" s="13"/>
      <c r="AC86" s="13"/>
    </row>
    <row r="87" ht="16.5" hidden="1" customHeight="1">
      <c r="A87" s="35">
        <v>84.0</v>
      </c>
      <c r="B87" s="36" t="s">
        <v>710</v>
      </c>
      <c r="C87" s="37" t="s">
        <v>711</v>
      </c>
      <c r="D87" s="38" t="s">
        <v>712</v>
      </c>
      <c r="E87" s="38"/>
      <c r="F87" s="38" t="s">
        <v>713</v>
      </c>
      <c r="G87" s="39" t="s">
        <v>231</v>
      </c>
      <c r="H87" s="49" t="s">
        <v>62</v>
      </c>
      <c r="I87" s="39" t="s">
        <v>63</v>
      </c>
      <c r="J87" s="55"/>
      <c r="K87" s="56"/>
      <c r="L87" s="55"/>
      <c r="M87" s="51" t="b">
        <v>0</v>
      </c>
      <c r="N87" s="46"/>
      <c r="O87" s="46"/>
      <c r="P87" s="46"/>
      <c r="Q87" s="47"/>
      <c r="R87" s="47"/>
      <c r="S87" s="46"/>
      <c r="T87" s="46"/>
      <c r="U87" s="13"/>
      <c r="V87" s="13"/>
      <c r="W87" s="13"/>
      <c r="X87" s="13"/>
      <c r="Y87" s="13"/>
      <c r="Z87" s="13"/>
      <c r="AA87" s="13"/>
      <c r="AB87" s="13"/>
      <c r="AC87" s="13"/>
    </row>
    <row r="88" ht="16.5" customHeight="1">
      <c r="A88" s="35">
        <v>85.0</v>
      </c>
      <c r="B88" s="36" t="s">
        <v>714</v>
      </c>
      <c r="C88" s="37" t="s">
        <v>715</v>
      </c>
      <c r="D88" s="38" t="s">
        <v>716</v>
      </c>
      <c r="E88" s="38" t="s">
        <v>717</v>
      </c>
      <c r="F88" s="38" t="s">
        <v>718</v>
      </c>
      <c r="G88" s="48" t="s">
        <v>719</v>
      </c>
      <c r="H88" s="49" t="s">
        <v>49</v>
      </c>
      <c r="I88" s="39" t="s">
        <v>39</v>
      </c>
      <c r="J88" s="39" t="s">
        <v>720</v>
      </c>
      <c r="K88" s="41" t="s">
        <v>721</v>
      </c>
      <c r="L88" s="39" t="s">
        <v>722</v>
      </c>
      <c r="M88" s="51" t="b">
        <v>1</v>
      </c>
      <c r="N88" s="68" t="s">
        <v>723</v>
      </c>
      <c r="O88" s="99"/>
      <c r="P88" s="97" t="s">
        <v>724</v>
      </c>
      <c r="Q88" s="47"/>
      <c r="R88" s="47"/>
      <c r="S88" s="46"/>
      <c r="T88" s="46"/>
      <c r="U88" s="13"/>
      <c r="V88" s="13"/>
      <c r="W88" s="13"/>
      <c r="X88" s="13"/>
      <c r="Y88" s="13"/>
      <c r="Z88" s="13"/>
      <c r="AA88" s="13"/>
      <c r="AB88" s="13"/>
      <c r="AC88" s="13"/>
    </row>
    <row r="89" ht="16.5" hidden="1" customHeight="1">
      <c r="A89" s="35">
        <v>86.0</v>
      </c>
      <c r="B89" s="36" t="s">
        <v>725</v>
      </c>
      <c r="C89" s="37" t="s">
        <v>726</v>
      </c>
      <c r="D89" s="38" t="s">
        <v>727</v>
      </c>
      <c r="E89" s="38"/>
      <c r="F89" s="38" t="s">
        <v>728</v>
      </c>
      <c r="G89" s="39" t="s">
        <v>231</v>
      </c>
      <c r="H89" s="49" t="s">
        <v>62</v>
      </c>
      <c r="I89" s="39" t="s">
        <v>63</v>
      </c>
      <c r="J89" s="55"/>
      <c r="K89" s="56"/>
      <c r="L89" s="55"/>
      <c r="M89" s="51" t="b">
        <v>0</v>
      </c>
      <c r="N89" s="46"/>
      <c r="O89" s="46"/>
      <c r="P89" s="46"/>
      <c r="Q89" s="47"/>
      <c r="R89" s="47"/>
      <c r="S89" s="46"/>
      <c r="T89" s="46"/>
      <c r="U89" s="13"/>
      <c r="V89" s="13"/>
      <c r="W89" s="13"/>
      <c r="X89" s="13"/>
      <c r="Y89" s="13"/>
      <c r="Z89" s="13"/>
      <c r="AA89" s="13"/>
      <c r="AB89" s="13"/>
      <c r="AC89" s="13"/>
    </row>
    <row r="90" ht="16.5" hidden="1" customHeight="1">
      <c r="A90" s="35">
        <v>87.0</v>
      </c>
      <c r="B90" s="36" t="s">
        <v>729</v>
      </c>
      <c r="C90" s="37" t="s">
        <v>730</v>
      </c>
      <c r="D90" s="38" t="s">
        <v>731</v>
      </c>
      <c r="E90" s="38"/>
      <c r="F90" s="38" t="s">
        <v>732</v>
      </c>
      <c r="G90" s="39" t="s">
        <v>231</v>
      </c>
      <c r="H90" s="49" t="s">
        <v>62</v>
      </c>
      <c r="I90" s="39" t="s">
        <v>63</v>
      </c>
      <c r="J90" s="55"/>
      <c r="K90" s="56"/>
      <c r="L90" s="55"/>
      <c r="M90" s="51" t="b">
        <v>0</v>
      </c>
      <c r="N90" s="46"/>
      <c r="O90" s="46"/>
      <c r="P90" s="46"/>
      <c r="Q90" s="47"/>
      <c r="R90" s="47"/>
      <c r="S90" s="46"/>
      <c r="T90" s="46"/>
      <c r="U90" s="13"/>
      <c r="V90" s="13"/>
      <c r="W90" s="13"/>
      <c r="X90" s="13"/>
      <c r="Y90" s="13"/>
      <c r="Z90" s="13"/>
      <c r="AA90" s="13"/>
      <c r="AB90" s="13"/>
      <c r="AC90" s="13"/>
    </row>
    <row r="91" ht="16.5" hidden="1" customHeight="1">
      <c r="A91" s="35">
        <v>88.0</v>
      </c>
      <c r="B91" s="36" t="s">
        <v>733</v>
      </c>
      <c r="C91" s="37" t="s">
        <v>734</v>
      </c>
      <c r="D91" s="38" t="s">
        <v>735</v>
      </c>
      <c r="E91" s="38"/>
      <c r="F91" s="38" t="s">
        <v>736</v>
      </c>
      <c r="G91" s="39" t="s">
        <v>231</v>
      </c>
      <c r="H91" s="49" t="s">
        <v>62</v>
      </c>
      <c r="I91" s="39" t="s">
        <v>63</v>
      </c>
      <c r="J91" s="55"/>
      <c r="K91" s="56"/>
      <c r="L91" s="55"/>
      <c r="M91" s="51" t="b">
        <v>0</v>
      </c>
      <c r="N91" s="46"/>
      <c r="O91" s="46"/>
      <c r="P91" s="46"/>
      <c r="Q91" s="47"/>
      <c r="R91" s="47"/>
      <c r="S91" s="46"/>
      <c r="T91" s="46"/>
      <c r="U91" s="13"/>
      <c r="V91" s="13"/>
      <c r="W91" s="13"/>
      <c r="X91" s="13"/>
      <c r="Y91" s="13"/>
      <c r="Z91" s="13"/>
      <c r="AA91" s="13"/>
      <c r="AB91" s="13"/>
      <c r="AC91" s="13"/>
    </row>
    <row r="92" ht="16.5" hidden="1" customHeight="1">
      <c r="A92" s="35">
        <v>89.0</v>
      </c>
      <c r="B92" s="36" t="s">
        <v>737</v>
      </c>
      <c r="C92" s="37" t="s">
        <v>738</v>
      </c>
      <c r="D92" s="38" t="s">
        <v>739</v>
      </c>
      <c r="E92" s="38"/>
      <c r="F92" s="38" t="s">
        <v>736</v>
      </c>
      <c r="G92" s="39" t="s">
        <v>231</v>
      </c>
      <c r="H92" s="49" t="s">
        <v>62</v>
      </c>
      <c r="I92" s="39" t="s">
        <v>63</v>
      </c>
      <c r="J92" s="55"/>
      <c r="K92" s="56"/>
      <c r="L92" s="55"/>
      <c r="M92" s="51" t="b">
        <v>0</v>
      </c>
      <c r="N92" s="46"/>
      <c r="O92" s="46"/>
      <c r="P92" s="46"/>
      <c r="Q92" s="47"/>
      <c r="R92" s="47"/>
      <c r="S92" s="46"/>
      <c r="T92" s="46"/>
      <c r="U92" s="13"/>
      <c r="V92" s="13"/>
      <c r="W92" s="13"/>
      <c r="X92" s="13"/>
      <c r="Y92" s="13"/>
      <c r="Z92" s="13"/>
      <c r="AA92" s="13"/>
      <c r="AB92" s="13"/>
      <c r="AC92" s="13"/>
    </row>
    <row r="93" ht="16.5" customHeight="1">
      <c r="A93" s="35">
        <v>90.0</v>
      </c>
      <c r="B93" s="36" t="s">
        <v>740</v>
      </c>
      <c r="C93" s="37" t="s">
        <v>741</v>
      </c>
      <c r="D93" s="38" t="s">
        <v>742</v>
      </c>
      <c r="E93" s="38"/>
      <c r="F93" s="38" t="s">
        <v>743</v>
      </c>
      <c r="G93" s="39" t="s">
        <v>744</v>
      </c>
      <c r="H93" s="49" t="s">
        <v>49</v>
      </c>
      <c r="I93" s="39" t="s">
        <v>39</v>
      </c>
      <c r="J93" s="39" t="s">
        <v>720</v>
      </c>
      <c r="K93" s="41" t="s">
        <v>745</v>
      </c>
      <c r="L93" s="39" t="s">
        <v>746</v>
      </c>
      <c r="M93" s="51" t="b">
        <v>1</v>
      </c>
      <c r="N93" s="57" t="s">
        <v>747</v>
      </c>
      <c r="O93" s="45" t="s">
        <v>740</v>
      </c>
      <c r="P93" s="46"/>
      <c r="Q93" s="47"/>
      <c r="R93" s="47"/>
      <c r="S93" s="46"/>
      <c r="T93" s="46"/>
      <c r="U93" s="13"/>
      <c r="V93" s="13"/>
      <c r="W93" s="13"/>
      <c r="X93" s="13"/>
      <c r="Y93" s="13"/>
      <c r="Z93" s="13"/>
      <c r="AA93" s="13"/>
      <c r="AB93" s="13"/>
      <c r="AC93" s="13"/>
    </row>
    <row r="94" ht="16.5" hidden="1" customHeight="1">
      <c r="A94" s="35">
        <v>91.0</v>
      </c>
      <c r="B94" s="101" t="s">
        <v>748</v>
      </c>
      <c r="C94" s="37" t="s">
        <v>749</v>
      </c>
      <c r="D94" s="38" t="s">
        <v>750</v>
      </c>
      <c r="E94" s="38"/>
      <c r="F94" s="38" t="s">
        <v>751</v>
      </c>
      <c r="G94" s="48" t="s">
        <v>752</v>
      </c>
      <c r="H94" s="49" t="s">
        <v>753</v>
      </c>
      <c r="I94" s="58" t="s">
        <v>753</v>
      </c>
      <c r="J94" s="55"/>
      <c r="K94" s="56"/>
      <c r="L94" s="55"/>
      <c r="M94" s="51" t="b">
        <v>0</v>
      </c>
      <c r="N94" s="46"/>
      <c r="O94" s="46"/>
      <c r="P94" s="46"/>
      <c r="Q94" s="47"/>
      <c r="R94" s="47"/>
      <c r="S94" s="46"/>
      <c r="T94" s="46"/>
      <c r="U94" s="13"/>
      <c r="V94" s="13"/>
      <c r="W94" s="13"/>
      <c r="X94" s="13"/>
      <c r="Y94" s="13"/>
      <c r="Z94" s="13"/>
      <c r="AA94" s="13"/>
      <c r="AB94" s="13"/>
      <c r="AC94" s="13"/>
    </row>
    <row r="95" ht="16.5" hidden="1" customHeight="1">
      <c r="A95" s="35">
        <v>92.0</v>
      </c>
      <c r="B95" s="101" t="s">
        <v>754</v>
      </c>
      <c r="C95" s="37" t="s">
        <v>755</v>
      </c>
      <c r="D95" s="38" t="s">
        <v>756</v>
      </c>
      <c r="E95" s="38"/>
      <c r="F95" s="38" t="s">
        <v>757</v>
      </c>
      <c r="G95" s="39" t="s">
        <v>231</v>
      </c>
      <c r="H95" s="49" t="s">
        <v>62</v>
      </c>
      <c r="I95" s="39" t="s">
        <v>63</v>
      </c>
      <c r="J95" s="55"/>
      <c r="K95" s="56"/>
      <c r="L95" s="55"/>
      <c r="M95" s="51" t="b">
        <v>0</v>
      </c>
      <c r="N95" s="46"/>
      <c r="O95" s="46"/>
      <c r="P95" s="46"/>
      <c r="Q95" s="47"/>
      <c r="R95" s="47"/>
      <c r="S95" s="46"/>
      <c r="T95" s="46"/>
      <c r="U95" s="13"/>
      <c r="V95" s="13"/>
      <c r="W95" s="13"/>
      <c r="X95" s="13"/>
      <c r="Y95" s="13"/>
      <c r="Z95" s="13"/>
      <c r="AA95" s="13"/>
      <c r="AB95" s="13"/>
      <c r="AC95" s="13"/>
    </row>
    <row r="96" ht="16.5" hidden="1" customHeight="1">
      <c r="A96" s="35">
        <v>93.0</v>
      </c>
      <c r="B96" s="101" t="s">
        <v>758</v>
      </c>
      <c r="C96" s="37" t="s">
        <v>759</v>
      </c>
      <c r="D96" s="38" t="s">
        <v>760</v>
      </c>
      <c r="E96" s="38" t="s">
        <v>761</v>
      </c>
      <c r="F96" s="38" t="s">
        <v>762</v>
      </c>
      <c r="G96" s="39" t="s">
        <v>231</v>
      </c>
      <c r="H96" s="49" t="s">
        <v>62</v>
      </c>
      <c r="I96" s="39" t="s">
        <v>63</v>
      </c>
      <c r="J96" s="55"/>
      <c r="K96" s="56"/>
      <c r="L96" s="55"/>
      <c r="M96" s="51" t="b">
        <v>0</v>
      </c>
      <c r="N96" s="46"/>
      <c r="O96" s="46"/>
      <c r="P96" s="46"/>
      <c r="Q96" s="47"/>
      <c r="R96" s="47"/>
      <c r="S96" s="46"/>
      <c r="T96" s="46"/>
      <c r="U96" s="13"/>
      <c r="V96" s="13"/>
      <c r="W96" s="13"/>
      <c r="X96" s="13"/>
      <c r="Y96" s="13"/>
      <c r="Z96" s="13"/>
      <c r="AA96" s="13"/>
      <c r="AB96" s="13"/>
      <c r="AC96" s="13"/>
    </row>
    <row r="97" ht="16.5" hidden="1" customHeight="1">
      <c r="A97" s="35">
        <v>94.0</v>
      </c>
      <c r="B97" s="101" t="s">
        <v>763</v>
      </c>
      <c r="C97" s="37" t="s">
        <v>764</v>
      </c>
      <c r="D97" s="38" t="s">
        <v>765</v>
      </c>
      <c r="E97" s="38"/>
      <c r="F97" s="38" t="s">
        <v>766</v>
      </c>
      <c r="G97" s="39" t="s">
        <v>231</v>
      </c>
      <c r="H97" s="49" t="s">
        <v>62</v>
      </c>
      <c r="I97" s="39" t="s">
        <v>63</v>
      </c>
      <c r="J97" s="55"/>
      <c r="K97" s="56"/>
      <c r="L97" s="55"/>
      <c r="M97" s="51" t="b">
        <v>0</v>
      </c>
      <c r="N97" s="46"/>
      <c r="O97" s="46"/>
      <c r="P97" s="46"/>
      <c r="Q97" s="47"/>
      <c r="R97" s="47"/>
      <c r="S97" s="46"/>
      <c r="T97" s="46"/>
      <c r="U97" s="13"/>
      <c r="V97" s="13"/>
      <c r="W97" s="13"/>
      <c r="X97" s="13"/>
      <c r="Y97" s="13"/>
      <c r="Z97" s="13"/>
      <c r="AA97" s="13"/>
      <c r="AB97" s="13"/>
      <c r="AC97" s="13"/>
    </row>
    <row r="98" ht="16.5" customHeight="1">
      <c r="A98" s="35">
        <v>95.0</v>
      </c>
      <c r="B98" s="36" t="s">
        <v>767</v>
      </c>
      <c r="C98" s="37" t="s">
        <v>768</v>
      </c>
      <c r="D98" s="38" t="s">
        <v>769</v>
      </c>
      <c r="E98" s="38" t="s">
        <v>770</v>
      </c>
      <c r="F98" s="38" t="s">
        <v>771</v>
      </c>
      <c r="G98" s="48" t="s">
        <v>772</v>
      </c>
      <c r="H98" s="49" t="s">
        <v>49</v>
      </c>
      <c r="I98" s="39" t="s">
        <v>39</v>
      </c>
      <c r="J98" s="39" t="s">
        <v>773</v>
      </c>
      <c r="K98" s="41" t="s">
        <v>774</v>
      </c>
      <c r="L98" s="39" t="s">
        <v>775</v>
      </c>
      <c r="M98" s="51" t="b">
        <v>1</v>
      </c>
      <c r="N98" s="68" t="s">
        <v>776</v>
      </c>
      <c r="O98" s="99"/>
      <c r="P98" s="97" t="s">
        <v>777</v>
      </c>
      <c r="Q98" s="47"/>
      <c r="R98" s="47"/>
      <c r="S98" s="46"/>
      <c r="T98" s="46"/>
      <c r="U98" s="13"/>
      <c r="V98" s="13"/>
      <c r="W98" s="13"/>
      <c r="X98" s="13"/>
      <c r="Y98" s="13"/>
      <c r="Z98" s="13"/>
      <c r="AA98" s="13"/>
      <c r="AB98" s="13"/>
      <c r="AC98" s="13"/>
    </row>
    <row r="99" ht="16.5" hidden="1" customHeight="1">
      <c r="A99" s="35">
        <v>96.0</v>
      </c>
      <c r="B99" s="101" t="s">
        <v>778</v>
      </c>
      <c r="C99" s="37" t="s">
        <v>779</v>
      </c>
      <c r="D99" s="38" t="s">
        <v>780</v>
      </c>
      <c r="E99" s="38"/>
      <c r="F99" s="38" t="s">
        <v>781</v>
      </c>
      <c r="G99" s="39" t="s">
        <v>231</v>
      </c>
      <c r="H99" s="49" t="s">
        <v>62</v>
      </c>
      <c r="I99" s="39" t="s">
        <v>63</v>
      </c>
      <c r="J99" s="55"/>
      <c r="K99" s="56"/>
      <c r="L99" s="55"/>
      <c r="M99" s="51" t="b">
        <v>0</v>
      </c>
      <c r="N99" s="46"/>
      <c r="O99" s="46"/>
      <c r="P99" s="46"/>
      <c r="Q99" s="47"/>
      <c r="R99" s="47"/>
      <c r="S99" s="46"/>
      <c r="T99" s="46"/>
      <c r="U99" s="13"/>
      <c r="V99" s="13"/>
      <c r="W99" s="13"/>
      <c r="X99" s="13"/>
      <c r="Y99" s="13"/>
      <c r="Z99" s="13"/>
      <c r="AA99" s="13"/>
      <c r="AB99" s="13"/>
      <c r="AC99" s="13"/>
    </row>
    <row r="100" ht="16.5" customHeight="1">
      <c r="A100" s="35">
        <v>97.0</v>
      </c>
      <c r="B100" s="36" t="s">
        <v>782</v>
      </c>
      <c r="C100" s="37" t="s">
        <v>783</v>
      </c>
      <c r="D100" s="38" t="s">
        <v>784</v>
      </c>
      <c r="E100" s="38"/>
      <c r="F100" s="38" t="s">
        <v>785</v>
      </c>
      <c r="G100" s="39" t="s">
        <v>786</v>
      </c>
      <c r="H100" s="49" t="s">
        <v>49</v>
      </c>
      <c r="I100" s="39" t="s">
        <v>39</v>
      </c>
      <c r="J100" s="39" t="s">
        <v>787</v>
      </c>
      <c r="K100" s="67" t="s">
        <v>238</v>
      </c>
      <c r="L100" s="39" t="s">
        <v>788</v>
      </c>
      <c r="M100" s="51" t="b">
        <v>1</v>
      </c>
      <c r="N100" s="87" t="s">
        <v>292</v>
      </c>
      <c r="O100" s="69"/>
      <c r="P100" s="46"/>
      <c r="Q100" s="47"/>
      <c r="R100" s="47"/>
      <c r="S100" s="46"/>
      <c r="T100" s="46"/>
      <c r="U100" s="13"/>
      <c r="V100" s="13"/>
      <c r="W100" s="13"/>
      <c r="X100" s="13"/>
      <c r="Y100" s="13"/>
      <c r="Z100" s="13"/>
      <c r="AA100" s="13"/>
      <c r="AB100" s="13"/>
      <c r="AC100" s="13"/>
    </row>
    <row r="101" ht="16.5" hidden="1" customHeight="1">
      <c r="A101" s="35">
        <v>98.0</v>
      </c>
      <c r="B101" s="36" t="s">
        <v>789</v>
      </c>
      <c r="C101" s="37" t="s">
        <v>790</v>
      </c>
      <c r="D101" s="38" t="s">
        <v>791</v>
      </c>
      <c r="E101" s="38" t="s">
        <v>792</v>
      </c>
      <c r="F101" s="38" t="s">
        <v>793</v>
      </c>
      <c r="G101" s="48" t="s">
        <v>794</v>
      </c>
      <c r="H101" s="49" t="s">
        <v>62</v>
      </c>
      <c r="I101" s="58" t="s">
        <v>63</v>
      </c>
      <c r="J101" s="55"/>
      <c r="K101" s="56"/>
      <c r="L101" s="55"/>
      <c r="M101" s="51" t="b">
        <v>0</v>
      </c>
      <c r="N101" s="46"/>
      <c r="O101" s="46"/>
      <c r="P101" s="46"/>
      <c r="Q101" s="47"/>
      <c r="R101" s="47"/>
      <c r="S101" s="46"/>
      <c r="T101" s="46"/>
      <c r="U101" s="13"/>
      <c r="V101" s="13"/>
      <c r="W101" s="13"/>
      <c r="X101" s="13"/>
      <c r="Y101" s="13"/>
      <c r="Z101" s="13"/>
      <c r="AA101" s="13"/>
      <c r="AB101" s="13"/>
      <c r="AC101" s="13"/>
    </row>
    <row r="102" ht="16.5" customHeight="1">
      <c r="A102" s="35">
        <v>99.0</v>
      </c>
      <c r="B102" s="36" t="s">
        <v>795</v>
      </c>
      <c r="C102" s="37" t="s">
        <v>796</v>
      </c>
      <c r="D102" s="38" t="s">
        <v>797</v>
      </c>
      <c r="E102" s="38"/>
      <c r="F102" s="38" t="s">
        <v>798</v>
      </c>
      <c r="G102" s="39" t="s">
        <v>799</v>
      </c>
      <c r="H102" s="49" t="s">
        <v>49</v>
      </c>
      <c r="I102" s="39" t="s">
        <v>39</v>
      </c>
      <c r="J102" s="39" t="s">
        <v>787</v>
      </c>
      <c r="K102" s="67" t="s">
        <v>800</v>
      </c>
      <c r="L102" s="59" t="s">
        <v>801</v>
      </c>
      <c r="M102" s="51" t="b">
        <v>1</v>
      </c>
      <c r="N102" s="57" t="s">
        <v>802</v>
      </c>
      <c r="O102" s="69"/>
      <c r="P102" s="46"/>
      <c r="Q102" s="47"/>
      <c r="R102" s="47"/>
      <c r="S102" s="46"/>
      <c r="T102" s="46"/>
      <c r="U102" s="13"/>
      <c r="V102" s="13"/>
      <c r="W102" s="13"/>
      <c r="X102" s="13"/>
      <c r="Y102" s="13"/>
      <c r="Z102" s="13"/>
      <c r="AA102" s="13"/>
      <c r="AB102" s="13"/>
      <c r="AC102" s="13"/>
    </row>
    <row r="103" ht="16.5" customHeight="1">
      <c r="A103" s="35">
        <v>100.0</v>
      </c>
      <c r="B103" s="36" t="s">
        <v>803</v>
      </c>
      <c r="C103" s="37" t="s">
        <v>804</v>
      </c>
      <c r="D103" s="38" t="s">
        <v>805</v>
      </c>
      <c r="E103" s="38" t="s">
        <v>806</v>
      </c>
      <c r="F103" s="38" t="s">
        <v>461</v>
      </c>
      <c r="G103" s="48" t="s">
        <v>807</v>
      </c>
      <c r="H103" s="49" t="s">
        <v>49</v>
      </c>
      <c r="I103" s="39" t="s">
        <v>39</v>
      </c>
      <c r="J103" s="91" t="s">
        <v>462</v>
      </c>
      <c r="K103" s="92" t="s">
        <v>463</v>
      </c>
      <c r="L103" s="93" t="s">
        <v>464</v>
      </c>
      <c r="M103" s="51" t="b">
        <v>1</v>
      </c>
      <c r="N103" s="57" t="s">
        <v>465</v>
      </c>
      <c r="O103" s="69"/>
      <c r="P103" s="46"/>
      <c r="Q103" s="47"/>
      <c r="R103" s="47"/>
      <c r="S103" s="46"/>
      <c r="T103" s="46"/>
      <c r="U103" s="13"/>
      <c r="V103" s="13"/>
      <c r="W103" s="13"/>
      <c r="X103" s="13"/>
      <c r="Y103" s="13"/>
      <c r="Z103" s="13"/>
      <c r="AA103" s="13"/>
      <c r="AB103" s="13"/>
      <c r="AC103" s="13"/>
    </row>
    <row r="104" ht="16.5" customHeight="1">
      <c r="A104" s="35">
        <v>101.0</v>
      </c>
      <c r="B104" s="36" t="s">
        <v>808</v>
      </c>
      <c r="C104" s="37" t="s">
        <v>809</v>
      </c>
      <c r="D104" s="38" t="s">
        <v>810</v>
      </c>
      <c r="E104" s="38"/>
      <c r="F104" s="38" t="s">
        <v>811</v>
      </c>
      <c r="G104" s="58" t="s">
        <v>812</v>
      </c>
      <c r="H104" s="49" t="s">
        <v>49</v>
      </c>
      <c r="I104" s="39" t="s">
        <v>39</v>
      </c>
      <c r="J104" s="39" t="s">
        <v>82</v>
      </c>
      <c r="K104" s="41" t="s">
        <v>813</v>
      </c>
      <c r="L104" s="39" t="s">
        <v>814</v>
      </c>
      <c r="M104" s="51" t="b">
        <v>1</v>
      </c>
      <c r="N104" s="68" t="s">
        <v>815</v>
      </c>
      <c r="O104" s="97"/>
      <c r="P104" s="97" t="s">
        <v>816</v>
      </c>
      <c r="Q104" s="47"/>
      <c r="R104" s="47"/>
      <c r="S104" s="46"/>
      <c r="T104" s="46"/>
      <c r="U104" s="13"/>
      <c r="V104" s="13"/>
      <c r="W104" s="13"/>
      <c r="X104" s="13"/>
      <c r="Y104" s="13"/>
      <c r="Z104" s="13"/>
      <c r="AA104" s="13"/>
      <c r="AB104" s="13"/>
      <c r="AC104" s="13"/>
    </row>
    <row r="105" ht="16.5" customHeight="1">
      <c r="A105" s="35">
        <v>102.0</v>
      </c>
      <c r="B105" s="36" t="s">
        <v>817</v>
      </c>
      <c r="C105" s="37" t="s">
        <v>818</v>
      </c>
      <c r="D105" s="38" t="s">
        <v>819</v>
      </c>
      <c r="E105" s="38" t="s">
        <v>820</v>
      </c>
      <c r="F105" s="38" t="s">
        <v>821</v>
      </c>
      <c r="G105" s="58" t="s">
        <v>822</v>
      </c>
      <c r="H105" s="49" t="s">
        <v>38</v>
      </c>
      <c r="I105" s="58" t="s">
        <v>39</v>
      </c>
      <c r="J105" s="39" t="s">
        <v>161</v>
      </c>
      <c r="K105" s="41" t="s">
        <v>162</v>
      </c>
      <c r="L105" s="39" t="s">
        <v>163</v>
      </c>
      <c r="M105" s="51" t="b">
        <v>1</v>
      </c>
      <c r="N105" s="68" t="s">
        <v>164</v>
      </c>
      <c r="O105" s="97"/>
      <c r="P105" s="97" t="s">
        <v>823</v>
      </c>
      <c r="Q105" s="47"/>
      <c r="R105" s="47"/>
      <c r="S105" s="46"/>
      <c r="T105" s="46"/>
      <c r="U105" s="13"/>
      <c r="V105" s="13"/>
      <c r="W105" s="13"/>
      <c r="X105" s="13"/>
      <c r="Y105" s="13"/>
      <c r="Z105" s="13"/>
      <c r="AA105" s="13"/>
      <c r="AB105" s="13"/>
      <c r="AC105" s="13"/>
    </row>
    <row r="106" ht="16.5" customHeight="1">
      <c r="A106" s="35">
        <v>103.0</v>
      </c>
      <c r="B106" s="36" t="s">
        <v>824</v>
      </c>
      <c r="C106" s="37" t="s">
        <v>825</v>
      </c>
      <c r="D106" s="38" t="s">
        <v>826</v>
      </c>
      <c r="E106" s="38"/>
      <c r="F106" s="38" t="s">
        <v>827</v>
      </c>
      <c r="G106" s="39" t="s">
        <v>828</v>
      </c>
      <c r="H106" s="49" t="s">
        <v>49</v>
      </c>
      <c r="I106" s="39" t="s">
        <v>39</v>
      </c>
      <c r="J106" s="39" t="s">
        <v>829</v>
      </c>
      <c r="K106" s="41" t="s">
        <v>173</v>
      </c>
      <c r="L106" s="39" t="s">
        <v>830</v>
      </c>
      <c r="M106" s="51" t="b">
        <v>1</v>
      </c>
      <c r="N106" s="87" t="s">
        <v>831</v>
      </c>
      <c r="O106" s="46"/>
      <c r="P106" s="46" t="s">
        <v>832</v>
      </c>
      <c r="Q106" s="47"/>
      <c r="R106" s="47"/>
      <c r="S106" s="46"/>
      <c r="T106" s="46"/>
      <c r="U106" s="13"/>
      <c r="V106" s="13"/>
      <c r="W106" s="13"/>
      <c r="X106" s="13"/>
      <c r="Y106" s="13"/>
      <c r="Z106" s="13"/>
      <c r="AA106" s="13"/>
      <c r="AB106" s="13"/>
      <c r="AC106" s="13"/>
    </row>
    <row r="107" ht="16.5" hidden="1" customHeight="1">
      <c r="A107" s="35">
        <v>104.0</v>
      </c>
      <c r="B107" s="36" t="s">
        <v>833</v>
      </c>
      <c r="C107" s="37" t="s">
        <v>834</v>
      </c>
      <c r="D107" s="38" t="s">
        <v>835</v>
      </c>
      <c r="E107" s="38" t="s">
        <v>836</v>
      </c>
      <c r="F107" s="38" t="s">
        <v>837</v>
      </c>
      <c r="G107" s="39" t="s">
        <v>231</v>
      </c>
      <c r="H107" s="49" t="s">
        <v>62</v>
      </c>
      <c r="I107" s="39" t="s">
        <v>63</v>
      </c>
      <c r="J107" s="55"/>
      <c r="K107" s="56"/>
      <c r="L107" s="55"/>
      <c r="M107" s="51" t="b">
        <v>0</v>
      </c>
      <c r="N107" s="46"/>
      <c r="O107" s="46"/>
      <c r="P107" s="46"/>
      <c r="Q107" s="47"/>
      <c r="R107" s="47"/>
      <c r="S107" s="46"/>
      <c r="T107" s="46"/>
      <c r="U107" s="13"/>
      <c r="V107" s="13"/>
      <c r="W107" s="13"/>
      <c r="X107" s="13"/>
      <c r="Y107" s="13"/>
      <c r="Z107" s="13"/>
      <c r="AA107" s="13"/>
      <c r="AB107" s="13"/>
      <c r="AC107" s="13"/>
    </row>
    <row r="108" ht="16.5" customHeight="1">
      <c r="A108" s="35">
        <v>105.0</v>
      </c>
      <c r="B108" s="36" t="s">
        <v>838</v>
      </c>
      <c r="C108" s="37" t="s">
        <v>839</v>
      </c>
      <c r="D108" s="38" t="s">
        <v>840</v>
      </c>
      <c r="E108" s="38" t="s">
        <v>841</v>
      </c>
      <c r="F108" s="38" t="s">
        <v>842</v>
      </c>
      <c r="G108" s="48" t="s">
        <v>843</v>
      </c>
      <c r="H108" s="49" t="s">
        <v>49</v>
      </c>
      <c r="I108" s="39" t="s">
        <v>39</v>
      </c>
      <c r="J108" s="39" t="s">
        <v>844</v>
      </c>
      <c r="K108" s="41" t="s">
        <v>214</v>
      </c>
      <c r="L108" s="39" t="s">
        <v>845</v>
      </c>
      <c r="M108" s="51" t="b">
        <v>1</v>
      </c>
      <c r="N108" s="57" t="s">
        <v>846</v>
      </c>
      <c r="O108" s="46"/>
      <c r="P108" s="46" t="s">
        <v>847</v>
      </c>
      <c r="Q108" s="47" t="s">
        <v>848</v>
      </c>
      <c r="R108" s="47" t="s">
        <v>849</v>
      </c>
      <c r="S108" s="46"/>
      <c r="T108" s="46"/>
      <c r="U108" s="13"/>
      <c r="V108" s="13"/>
      <c r="W108" s="13"/>
      <c r="X108" s="13"/>
      <c r="Y108" s="13"/>
      <c r="Z108" s="13"/>
      <c r="AA108" s="13"/>
      <c r="AB108" s="13"/>
      <c r="AC108" s="13"/>
    </row>
    <row r="109" ht="16.5" customHeight="1">
      <c r="A109" s="35">
        <v>106.0</v>
      </c>
      <c r="B109" s="36" t="s">
        <v>850</v>
      </c>
      <c r="C109" s="37" t="s">
        <v>851</v>
      </c>
      <c r="D109" s="38" t="s">
        <v>852</v>
      </c>
      <c r="E109" s="38" t="s">
        <v>853</v>
      </c>
      <c r="F109" s="38" t="s">
        <v>854</v>
      </c>
      <c r="G109" s="39" t="s">
        <v>855</v>
      </c>
      <c r="H109" s="49" t="s">
        <v>49</v>
      </c>
      <c r="I109" s="39" t="s">
        <v>39</v>
      </c>
      <c r="J109" s="39" t="s">
        <v>856</v>
      </c>
      <c r="K109" s="41" t="s">
        <v>857</v>
      </c>
      <c r="L109" s="39" t="s">
        <v>858</v>
      </c>
      <c r="M109" s="51" t="b">
        <v>1</v>
      </c>
      <c r="N109" s="57" t="s">
        <v>859</v>
      </c>
      <c r="O109" s="69"/>
      <c r="P109" s="46"/>
      <c r="Q109" s="47"/>
      <c r="R109" s="47"/>
      <c r="S109" s="46"/>
      <c r="T109" s="46"/>
      <c r="U109" s="13"/>
      <c r="V109" s="13"/>
      <c r="W109" s="13"/>
      <c r="X109" s="13"/>
      <c r="Y109" s="13"/>
      <c r="Z109" s="13"/>
      <c r="AA109" s="13"/>
      <c r="AB109" s="13"/>
      <c r="AC109" s="13"/>
    </row>
    <row r="110" ht="16.5" hidden="1" customHeight="1">
      <c r="A110" s="35">
        <v>107.0</v>
      </c>
      <c r="B110" s="36" t="s">
        <v>860</v>
      </c>
      <c r="C110" s="37" t="s">
        <v>861</v>
      </c>
      <c r="D110" s="38" t="s">
        <v>862</v>
      </c>
      <c r="E110" s="38" t="s">
        <v>863</v>
      </c>
      <c r="F110" s="38" t="s">
        <v>864</v>
      </c>
      <c r="G110" s="39" t="s">
        <v>231</v>
      </c>
      <c r="H110" s="49" t="s">
        <v>62</v>
      </c>
      <c r="I110" s="39" t="s">
        <v>63</v>
      </c>
      <c r="J110" s="55"/>
      <c r="K110" s="56"/>
      <c r="L110" s="55"/>
      <c r="M110" s="51" t="b">
        <v>0</v>
      </c>
      <c r="N110" s="46"/>
      <c r="O110" s="46"/>
      <c r="P110" s="46"/>
      <c r="Q110" s="47"/>
      <c r="R110" s="47"/>
      <c r="S110" s="46"/>
      <c r="T110" s="46"/>
      <c r="U110" s="13"/>
      <c r="V110" s="13"/>
      <c r="W110" s="13"/>
      <c r="X110" s="13"/>
      <c r="Y110" s="13"/>
      <c r="Z110" s="13"/>
      <c r="AA110" s="13"/>
      <c r="AB110" s="13"/>
      <c r="AC110" s="13"/>
    </row>
    <row r="111" ht="16.5" customHeight="1">
      <c r="A111" s="35">
        <v>108.0</v>
      </c>
      <c r="B111" s="36" t="s">
        <v>865</v>
      </c>
      <c r="C111" s="37" t="s">
        <v>866</v>
      </c>
      <c r="D111" s="38" t="s">
        <v>867</v>
      </c>
      <c r="E111" s="38" t="s">
        <v>863</v>
      </c>
      <c r="F111" s="38" t="s">
        <v>868</v>
      </c>
      <c r="G111" s="39" t="s">
        <v>171</v>
      </c>
      <c r="H111" s="49" t="s">
        <v>49</v>
      </c>
      <c r="I111" s="39" t="s">
        <v>39</v>
      </c>
      <c r="J111" s="39" t="s">
        <v>172</v>
      </c>
      <c r="K111" s="41" t="s">
        <v>173</v>
      </c>
      <c r="L111" s="39" t="s">
        <v>174</v>
      </c>
      <c r="M111" s="51" t="b">
        <v>1</v>
      </c>
      <c r="N111" s="57" t="s">
        <v>175</v>
      </c>
      <c r="O111" s="45" t="s">
        <v>176</v>
      </c>
      <c r="P111" s="46"/>
      <c r="Q111" s="47"/>
      <c r="R111" s="47"/>
      <c r="S111" s="46"/>
      <c r="T111" s="46"/>
      <c r="U111" s="13"/>
      <c r="V111" s="13"/>
      <c r="W111" s="13"/>
      <c r="X111" s="13"/>
      <c r="Y111" s="13"/>
      <c r="Z111" s="13"/>
      <c r="AA111" s="13"/>
      <c r="AB111" s="13"/>
      <c r="AC111" s="13"/>
    </row>
    <row r="112" ht="16.5" customHeight="1">
      <c r="A112" s="35">
        <v>109.0</v>
      </c>
      <c r="B112" s="36" t="s">
        <v>869</v>
      </c>
      <c r="C112" s="37" t="s">
        <v>870</v>
      </c>
      <c r="D112" s="38" t="s">
        <v>871</v>
      </c>
      <c r="E112" s="38"/>
      <c r="F112" s="38" t="s">
        <v>872</v>
      </c>
      <c r="G112" s="48" t="s">
        <v>873</v>
      </c>
      <c r="H112" s="49" t="s">
        <v>38</v>
      </c>
      <c r="I112" s="58" t="s">
        <v>39</v>
      </c>
      <c r="J112" s="102" t="s">
        <v>874</v>
      </c>
      <c r="K112" s="67" t="s">
        <v>173</v>
      </c>
      <c r="L112" s="59" t="s">
        <v>875</v>
      </c>
      <c r="M112" s="51" t="b">
        <v>1</v>
      </c>
      <c r="N112" s="57" t="s">
        <v>876</v>
      </c>
      <c r="O112" s="57" t="s">
        <v>877</v>
      </c>
      <c r="P112" s="46"/>
      <c r="Q112" s="47"/>
      <c r="R112" s="47"/>
      <c r="S112" s="46"/>
      <c r="T112" s="46"/>
      <c r="U112" s="13"/>
      <c r="V112" s="13"/>
      <c r="W112" s="13"/>
      <c r="X112" s="13"/>
      <c r="Y112" s="13"/>
      <c r="Z112" s="13"/>
      <c r="AA112" s="13"/>
      <c r="AB112" s="13"/>
      <c r="AC112" s="13"/>
    </row>
    <row r="113" ht="108.0" hidden="1" customHeight="1">
      <c r="A113" s="35">
        <v>110.0</v>
      </c>
      <c r="B113" s="36" t="s">
        <v>878</v>
      </c>
      <c r="C113" s="37" t="s">
        <v>879</v>
      </c>
      <c r="D113" s="38" t="s">
        <v>880</v>
      </c>
      <c r="E113" s="38" t="s">
        <v>881</v>
      </c>
      <c r="F113" s="38" t="s">
        <v>882</v>
      </c>
      <c r="G113" s="39" t="s">
        <v>231</v>
      </c>
      <c r="H113" s="49" t="s">
        <v>62</v>
      </c>
      <c r="I113" s="39" t="s">
        <v>63</v>
      </c>
      <c r="J113" s="55"/>
      <c r="K113" s="56"/>
      <c r="L113" s="55"/>
      <c r="M113" s="51" t="b">
        <v>0</v>
      </c>
      <c r="N113" s="46"/>
      <c r="O113" s="46"/>
      <c r="P113" s="46"/>
      <c r="Q113" s="47"/>
      <c r="R113" s="47"/>
      <c r="S113" s="46"/>
      <c r="T113" s="46"/>
      <c r="U113" s="13"/>
      <c r="V113" s="13"/>
      <c r="W113" s="13"/>
      <c r="X113" s="13"/>
      <c r="Y113" s="13"/>
      <c r="Z113" s="13"/>
      <c r="AA113" s="13"/>
      <c r="AB113" s="13"/>
      <c r="AC113" s="13"/>
    </row>
    <row r="114" ht="16.5" hidden="1" customHeight="1">
      <c r="A114" s="35">
        <v>111.0</v>
      </c>
      <c r="B114" s="36" t="s">
        <v>883</v>
      </c>
      <c r="C114" s="37" t="s">
        <v>884</v>
      </c>
      <c r="D114" s="38" t="s">
        <v>885</v>
      </c>
      <c r="E114" s="38"/>
      <c r="F114" s="38" t="s">
        <v>886</v>
      </c>
      <c r="G114" s="39" t="s">
        <v>231</v>
      </c>
      <c r="H114" s="49" t="s">
        <v>62</v>
      </c>
      <c r="I114" s="39" t="s">
        <v>63</v>
      </c>
      <c r="J114" s="55"/>
      <c r="K114" s="56"/>
      <c r="L114" s="55"/>
      <c r="M114" s="51" t="b">
        <v>0</v>
      </c>
      <c r="N114" s="46"/>
      <c r="O114" s="46"/>
      <c r="P114" s="46"/>
      <c r="Q114" s="47"/>
      <c r="R114" s="47"/>
      <c r="S114" s="46"/>
      <c r="T114" s="46"/>
      <c r="U114" s="13"/>
      <c r="V114" s="13"/>
      <c r="W114" s="13"/>
      <c r="X114" s="13"/>
      <c r="Y114" s="13"/>
      <c r="Z114" s="13"/>
      <c r="AA114" s="13"/>
      <c r="AB114" s="13"/>
      <c r="AC114" s="13"/>
    </row>
    <row r="115" hidden="1">
      <c r="A115" s="35">
        <v>112.0</v>
      </c>
      <c r="B115" s="36" t="s">
        <v>887</v>
      </c>
      <c r="C115" s="37" t="s">
        <v>888</v>
      </c>
      <c r="D115" s="38" t="s">
        <v>889</v>
      </c>
      <c r="E115" s="38"/>
      <c r="F115" s="38" t="s">
        <v>890</v>
      </c>
      <c r="G115" s="39" t="s">
        <v>891</v>
      </c>
      <c r="H115" s="49" t="s">
        <v>38</v>
      </c>
      <c r="I115" s="103" t="s">
        <v>892</v>
      </c>
      <c r="J115" s="39" t="s">
        <v>893</v>
      </c>
      <c r="K115" s="56"/>
      <c r="L115" s="104" t="s">
        <v>894</v>
      </c>
      <c r="M115" s="51" t="b">
        <v>0</v>
      </c>
      <c r="N115" s="44" t="s">
        <v>895</v>
      </c>
      <c r="O115" s="69"/>
      <c r="P115" s="46"/>
      <c r="Q115" s="47"/>
      <c r="R115" s="47"/>
      <c r="S115" s="46"/>
      <c r="T115" s="46"/>
      <c r="U115" s="13"/>
      <c r="V115" s="13"/>
      <c r="W115" s="13"/>
      <c r="X115" s="13"/>
      <c r="Y115" s="13"/>
      <c r="Z115" s="13"/>
      <c r="AA115" s="13"/>
      <c r="AB115" s="13"/>
      <c r="AC115" s="13"/>
    </row>
    <row r="116" ht="16.5" hidden="1" customHeight="1">
      <c r="A116" s="35">
        <v>113.0</v>
      </c>
      <c r="B116" s="36" t="s">
        <v>896</v>
      </c>
      <c r="C116" s="37" t="s">
        <v>897</v>
      </c>
      <c r="D116" s="38" t="s">
        <v>898</v>
      </c>
      <c r="E116" s="38" t="s">
        <v>899</v>
      </c>
      <c r="F116" s="38" t="s">
        <v>900</v>
      </c>
      <c r="G116" s="39" t="s">
        <v>231</v>
      </c>
      <c r="H116" s="49" t="s">
        <v>62</v>
      </c>
      <c r="I116" s="39" t="s">
        <v>63</v>
      </c>
      <c r="J116" s="55"/>
      <c r="K116" s="56"/>
      <c r="L116" s="55"/>
      <c r="M116" s="51" t="b">
        <v>0</v>
      </c>
      <c r="N116" s="46"/>
      <c r="O116" s="46"/>
      <c r="P116" s="46"/>
      <c r="Q116" s="47"/>
      <c r="R116" s="47"/>
      <c r="S116" s="46"/>
      <c r="T116" s="46"/>
      <c r="U116" s="13"/>
      <c r="V116" s="13"/>
      <c r="W116" s="13"/>
      <c r="X116" s="13"/>
      <c r="Y116" s="13"/>
      <c r="Z116" s="13"/>
      <c r="AA116" s="13"/>
      <c r="AB116" s="13"/>
      <c r="AC116" s="13"/>
    </row>
    <row r="117" ht="16.5" customHeight="1">
      <c r="A117" s="35">
        <v>114.0</v>
      </c>
      <c r="B117" s="36" t="s">
        <v>901</v>
      </c>
      <c r="C117" s="37" t="s">
        <v>902</v>
      </c>
      <c r="D117" s="38" t="s">
        <v>903</v>
      </c>
      <c r="E117" s="38"/>
      <c r="F117" s="38" t="s">
        <v>904</v>
      </c>
      <c r="G117" s="48" t="s">
        <v>905</v>
      </c>
      <c r="H117" s="49" t="s">
        <v>49</v>
      </c>
      <c r="I117" s="39" t="s">
        <v>39</v>
      </c>
      <c r="J117" s="39" t="s">
        <v>906</v>
      </c>
      <c r="K117" s="41" t="s">
        <v>907</v>
      </c>
      <c r="L117" s="39" t="s">
        <v>908</v>
      </c>
      <c r="M117" s="51" t="b">
        <v>1</v>
      </c>
      <c r="N117" s="57" t="s">
        <v>815</v>
      </c>
      <c r="O117" s="46"/>
      <c r="P117" s="46" t="s">
        <v>909</v>
      </c>
      <c r="Q117" s="47"/>
      <c r="R117" s="47"/>
      <c r="S117" s="46"/>
      <c r="T117" s="46"/>
      <c r="U117" s="13"/>
      <c r="V117" s="13"/>
      <c r="W117" s="13"/>
      <c r="X117" s="13"/>
      <c r="Y117" s="13"/>
      <c r="Z117" s="13"/>
      <c r="AA117" s="13"/>
      <c r="AB117" s="13"/>
      <c r="AC117" s="13"/>
    </row>
    <row r="118" ht="16.5" customHeight="1">
      <c r="A118" s="35">
        <v>115.0</v>
      </c>
      <c r="B118" s="36" t="s">
        <v>910</v>
      </c>
      <c r="C118" s="37" t="s">
        <v>911</v>
      </c>
      <c r="D118" s="38" t="s">
        <v>912</v>
      </c>
      <c r="E118" s="38" t="s">
        <v>913</v>
      </c>
      <c r="F118" s="38" t="s">
        <v>914</v>
      </c>
      <c r="G118" s="39" t="s">
        <v>915</v>
      </c>
      <c r="H118" s="49" t="s">
        <v>49</v>
      </c>
      <c r="I118" s="105" t="s">
        <v>39</v>
      </c>
      <c r="J118" s="39" t="s">
        <v>916</v>
      </c>
      <c r="K118" s="41" t="s">
        <v>917</v>
      </c>
      <c r="L118" s="106" t="s">
        <v>918</v>
      </c>
      <c r="M118" s="51" t="b">
        <v>0</v>
      </c>
      <c r="N118" s="97"/>
      <c r="O118" s="97"/>
      <c r="P118" s="97" t="s">
        <v>919</v>
      </c>
      <c r="Q118" s="47"/>
      <c r="R118" s="47"/>
      <c r="S118" s="46"/>
      <c r="T118" s="46"/>
      <c r="U118" s="13"/>
      <c r="V118" s="13"/>
      <c r="W118" s="13"/>
      <c r="X118" s="13"/>
      <c r="Y118" s="13"/>
      <c r="Z118" s="13"/>
      <c r="AA118" s="13"/>
      <c r="AB118" s="13"/>
      <c r="AC118" s="13"/>
    </row>
    <row r="119" hidden="1">
      <c r="A119" s="35">
        <v>116.0</v>
      </c>
      <c r="B119" s="36" t="s">
        <v>920</v>
      </c>
      <c r="C119" s="37" t="s">
        <v>921</v>
      </c>
      <c r="D119" s="38" t="s">
        <v>922</v>
      </c>
      <c r="E119" s="38"/>
      <c r="F119" s="38" t="s">
        <v>923</v>
      </c>
      <c r="G119" s="39" t="s">
        <v>924</v>
      </c>
      <c r="H119" s="49" t="s">
        <v>38</v>
      </c>
      <c r="I119" s="103" t="s">
        <v>892</v>
      </c>
      <c r="J119" s="39" t="s">
        <v>893</v>
      </c>
      <c r="K119" s="56"/>
      <c r="L119" s="104" t="s">
        <v>925</v>
      </c>
      <c r="M119" s="51" t="b">
        <v>0</v>
      </c>
      <c r="N119" s="44" t="s">
        <v>926</v>
      </c>
      <c r="O119" s="69"/>
      <c r="P119" s="46"/>
      <c r="Q119" s="47"/>
      <c r="R119" s="47"/>
      <c r="S119" s="46"/>
      <c r="T119" s="46"/>
      <c r="U119" s="13"/>
      <c r="V119" s="13"/>
      <c r="W119" s="13"/>
      <c r="X119" s="13"/>
      <c r="Y119" s="13"/>
      <c r="Z119" s="13"/>
      <c r="AA119" s="13"/>
      <c r="AB119" s="13"/>
      <c r="AC119" s="13"/>
    </row>
    <row r="120" ht="16.5" customHeight="1">
      <c r="A120" s="35">
        <v>117.0</v>
      </c>
      <c r="B120" s="36" t="s">
        <v>927</v>
      </c>
      <c r="C120" s="37" t="s">
        <v>928</v>
      </c>
      <c r="D120" s="38" t="s">
        <v>929</v>
      </c>
      <c r="E120" s="38"/>
      <c r="F120" s="38" t="s">
        <v>930</v>
      </c>
      <c r="G120" s="39" t="s">
        <v>931</v>
      </c>
      <c r="H120" s="49" t="s">
        <v>49</v>
      </c>
      <c r="I120" s="39" t="s">
        <v>39</v>
      </c>
      <c r="J120" s="39" t="s">
        <v>932</v>
      </c>
      <c r="K120" s="41" t="s">
        <v>933</v>
      </c>
      <c r="L120" s="39" t="s">
        <v>934</v>
      </c>
      <c r="M120" s="51" t="b">
        <v>1</v>
      </c>
      <c r="N120" s="57" t="s">
        <v>935</v>
      </c>
      <c r="O120" s="69"/>
      <c r="P120" s="46"/>
      <c r="Q120" s="47"/>
      <c r="R120" s="47"/>
      <c r="S120" s="46"/>
      <c r="T120" s="46"/>
      <c r="U120" s="13"/>
      <c r="V120" s="13"/>
      <c r="W120" s="13"/>
      <c r="X120" s="13"/>
      <c r="Y120" s="13"/>
      <c r="Z120" s="13"/>
      <c r="AA120" s="13"/>
      <c r="AB120" s="13"/>
      <c r="AC120" s="13"/>
    </row>
    <row r="121" ht="16.5" customHeight="1">
      <c r="A121" s="35">
        <v>118.0</v>
      </c>
      <c r="B121" s="36" t="s">
        <v>936</v>
      </c>
      <c r="C121" s="37" t="s">
        <v>937</v>
      </c>
      <c r="D121" s="38" t="s">
        <v>938</v>
      </c>
      <c r="E121" s="38" t="s">
        <v>939</v>
      </c>
      <c r="F121" s="38" t="s">
        <v>940</v>
      </c>
      <c r="G121" s="48" t="s">
        <v>941</v>
      </c>
      <c r="H121" s="49" t="s">
        <v>38</v>
      </c>
      <c r="I121" s="58" t="s">
        <v>39</v>
      </c>
      <c r="J121" s="39" t="s">
        <v>161</v>
      </c>
      <c r="K121" s="107" t="s">
        <v>942</v>
      </c>
      <c r="L121" s="108" t="s">
        <v>943</v>
      </c>
      <c r="M121" s="51" t="b">
        <v>1</v>
      </c>
      <c r="N121" s="68" t="s">
        <v>944</v>
      </c>
      <c r="O121" s="46"/>
      <c r="P121" s="46" t="s">
        <v>945</v>
      </c>
      <c r="Q121" s="47"/>
      <c r="R121" s="47"/>
      <c r="S121" s="46"/>
      <c r="T121" s="46"/>
      <c r="U121" s="13"/>
      <c r="V121" s="13"/>
      <c r="W121" s="13"/>
      <c r="X121" s="13"/>
      <c r="Y121" s="13"/>
      <c r="Z121" s="13"/>
      <c r="AA121" s="13"/>
      <c r="AB121" s="13"/>
      <c r="AC121" s="13"/>
    </row>
    <row r="122" ht="16.5" hidden="1" customHeight="1">
      <c r="A122" s="35">
        <v>119.0</v>
      </c>
      <c r="B122" s="36" t="s">
        <v>946</v>
      </c>
      <c r="C122" s="37" t="s">
        <v>947</v>
      </c>
      <c r="D122" s="38" t="s">
        <v>948</v>
      </c>
      <c r="E122" s="38"/>
      <c r="F122" s="38" t="s">
        <v>949</v>
      </c>
      <c r="G122" s="39" t="s">
        <v>231</v>
      </c>
      <c r="H122" s="49" t="s">
        <v>62</v>
      </c>
      <c r="I122" s="39" t="s">
        <v>63</v>
      </c>
      <c r="J122" s="55"/>
      <c r="K122" s="56"/>
      <c r="L122" s="55"/>
      <c r="M122" s="51" t="b">
        <v>0</v>
      </c>
      <c r="N122" s="46"/>
      <c r="O122" s="46"/>
      <c r="P122" s="46"/>
      <c r="Q122" s="47"/>
      <c r="R122" s="47"/>
      <c r="S122" s="46"/>
      <c r="T122" s="46"/>
      <c r="U122" s="13"/>
      <c r="V122" s="13"/>
      <c r="W122" s="13"/>
      <c r="X122" s="13"/>
      <c r="Y122" s="13"/>
      <c r="Z122" s="13"/>
      <c r="AA122" s="13"/>
      <c r="AB122" s="13"/>
      <c r="AC122" s="13"/>
    </row>
    <row r="123" ht="16.5" customHeight="1">
      <c r="A123" s="35">
        <v>120.0</v>
      </c>
      <c r="B123" s="36" t="s">
        <v>950</v>
      </c>
      <c r="C123" s="37" t="s">
        <v>951</v>
      </c>
      <c r="D123" s="38" t="s">
        <v>952</v>
      </c>
      <c r="E123" s="38"/>
      <c r="F123" s="38" t="s">
        <v>953</v>
      </c>
      <c r="G123" s="48" t="s">
        <v>954</v>
      </c>
      <c r="H123" s="49" t="s">
        <v>49</v>
      </c>
      <c r="I123" s="39" t="s">
        <v>39</v>
      </c>
      <c r="J123" s="39" t="s">
        <v>955</v>
      </c>
      <c r="K123" s="41" t="s">
        <v>173</v>
      </c>
      <c r="L123" s="39" t="s">
        <v>956</v>
      </c>
      <c r="M123" s="51" t="b">
        <v>1</v>
      </c>
      <c r="N123" s="57" t="s">
        <v>957</v>
      </c>
      <c r="O123" s="69"/>
      <c r="P123" s="46" t="s">
        <v>958</v>
      </c>
      <c r="Q123" s="47"/>
      <c r="R123" s="47"/>
      <c r="S123" s="46"/>
      <c r="T123" s="46"/>
      <c r="U123" s="13"/>
      <c r="V123" s="13"/>
      <c r="W123" s="13"/>
      <c r="X123" s="13"/>
      <c r="Y123" s="13"/>
      <c r="Z123" s="13"/>
      <c r="AA123" s="13"/>
      <c r="AB123" s="13"/>
      <c r="AC123" s="13"/>
    </row>
    <row r="124" ht="409.5" customHeight="1">
      <c r="A124" s="35">
        <v>121.0</v>
      </c>
      <c r="B124" s="36" t="s">
        <v>959</v>
      </c>
      <c r="C124" s="37" t="s">
        <v>960</v>
      </c>
      <c r="D124" s="38" t="s">
        <v>961</v>
      </c>
      <c r="E124" s="38"/>
      <c r="F124" s="38" t="s">
        <v>962</v>
      </c>
      <c r="G124" s="39" t="s">
        <v>963</v>
      </c>
      <c r="H124" s="49" t="s">
        <v>49</v>
      </c>
      <c r="I124" s="39" t="s">
        <v>39</v>
      </c>
      <c r="J124" s="39" t="s">
        <v>964</v>
      </c>
      <c r="K124" s="41" t="s">
        <v>173</v>
      </c>
      <c r="L124" s="39" t="s">
        <v>965</v>
      </c>
      <c r="M124" s="51" t="b">
        <v>1</v>
      </c>
      <c r="N124" s="57" t="s">
        <v>966</v>
      </c>
      <c r="O124" s="45"/>
      <c r="P124" s="46"/>
      <c r="Q124" s="47"/>
      <c r="R124" s="47"/>
      <c r="S124" s="46"/>
      <c r="T124" s="46"/>
      <c r="U124" s="13"/>
      <c r="V124" s="13"/>
      <c r="W124" s="13"/>
      <c r="X124" s="13"/>
      <c r="Y124" s="13"/>
      <c r="Z124" s="13"/>
      <c r="AA124" s="13"/>
      <c r="AB124" s="13"/>
      <c r="AC124" s="13"/>
    </row>
    <row r="125" ht="393.75" hidden="1" customHeight="1">
      <c r="A125" s="35">
        <v>122.0</v>
      </c>
      <c r="B125" s="36" t="s">
        <v>967</v>
      </c>
      <c r="C125" s="37" t="s">
        <v>968</v>
      </c>
      <c r="D125" s="38" t="s">
        <v>969</v>
      </c>
      <c r="E125" s="38"/>
      <c r="F125" s="38" t="s">
        <v>970</v>
      </c>
      <c r="G125" s="39" t="s">
        <v>231</v>
      </c>
      <c r="H125" s="49" t="s">
        <v>62</v>
      </c>
      <c r="I125" s="39" t="s">
        <v>63</v>
      </c>
      <c r="J125" s="55"/>
      <c r="K125" s="56"/>
      <c r="L125" s="55"/>
      <c r="M125" s="51" t="b">
        <v>0</v>
      </c>
      <c r="N125" s="46"/>
      <c r="O125" s="46"/>
      <c r="P125" s="46"/>
      <c r="Q125" s="47"/>
      <c r="R125" s="47"/>
      <c r="S125" s="46"/>
      <c r="T125" s="46"/>
      <c r="U125" s="13"/>
      <c r="V125" s="13"/>
      <c r="W125" s="13"/>
      <c r="X125" s="13"/>
      <c r="Y125" s="13"/>
      <c r="Z125" s="13"/>
      <c r="AA125" s="13"/>
      <c r="AB125" s="13"/>
      <c r="AC125" s="13"/>
    </row>
    <row r="126" ht="16.5" customHeight="1">
      <c r="A126" s="35">
        <v>123.0</v>
      </c>
      <c r="B126" s="36" t="s">
        <v>971</v>
      </c>
      <c r="C126" s="37" t="s">
        <v>972</v>
      </c>
      <c r="D126" s="38" t="s">
        <v>973</v>
      </c>
      <c r="E126" s="38"/>
      <c r="F126" s="38" t="s">
        <v>974</v>
      </c>
      <c r="G126" s="48" t="s">
        <v>973</v>
      </c>
      <c r="H126" s="49" t="s">
        <v>49</v>
      </c>
      <c r="I126" s="39" t="s">
        <v>39</v>
      </c>
      <c r="J126" s="39" t="s">
        <v>620</v>
      </c>
      <c r="K126" s="41" t="s">
        <v>975</v>
      </c>
      <c r="L126" s="39" t="s">
        <v>976</v>
      </c>
      <c r="M126" s="51" t="b">
        <v>1</v>
      </c>
      <c r="N126" s="57" t="s">
        <v>977</v>
      </c>
      <c r="O126" s="69"/>
      <c r="P126" s="46"/>
      <c r="Q126" s="47"/>
      <c r="R126" s="47"/>
      <c r="S126" s="46"/>
      <c r="T126" s="46"/>
      <c r="U126" s="13"/>
      <c r="V126" s="13"/>
      <c r="W126" s="13"/>
      <c r="X126" s="13"/>
      <c r="Y126" s="13"/>
      <c r="Z126" s="13"/>
      <c r="AA126" s="13"/>
      <c r="AB126" s="13"/>
      <c r="AC126" s="13"/>
    </row>
    <row r="127" ht="409.5" customHeight="1">
      <c r="A127" s="35">
        <v>124.0</v>
      </c>
      <c r="B127" s="36" t="s">
        <v>978</v>
      </c>
      <c r="C127" s="37" t="s">
        <v>979</v>
      </c>
      <c r="D127" s="38" t="s">
        <v>980</v>
      </c>
      <c r="E127" s="38"/>
      <c r="F127" s="38" t="s">
        <v>981</v>
      </c>
      <c r="G127" s="39" t="s">
        <v>982</v>
      </c>
      <c r="H127" s="49" t="s">
        <v>38</v>
      </c>
      <c r="I127" s="39" t="s">
        <v>39</v>
      </c>
      <c r="J127" s="66" t="s">
        <v>151</v>
      </c>
      <c r="K127" s="67" t="s">
        <v>152</v>
      </c>
      <c r="L127" s="39" t="s">
        <v>983</v>
      </c>
      <c r="M127" s="51" t="b">
        <v>1</v>
      </c>
      <c r="N127" s="68" t="s">
        <v>154</v>
      </c>
      <c r="O127" s="69"/>
      <c r="P127" s="46"/>
      <c r="Q127" s="47"/>
      <c r="R127" s="47"/>
      <c r="S127" s="46"/>
      <c r="T127" s="46"/>
      <c r="U127" s="13"/>
      <c r="V127" s="13"/>
      <c r="W127" s="13"/>
      <c r="X127" s="13"/>
      <c r="Y127" s="13"/>
      <c r="Z127" s="13"/>
      <c r="AA127" s="13"/>
      <c r="AB127" s="13"/>
      <c r="AC127" s="13"/>
    </row>
    <row r="128" ht="234.0" customHeight="1">
      <c r="A128" s="35">
        <v>125.0</v>
      </c>
      <c r="B128" s="36" t="s">
        <v>984</v>
      </c>
      <c r="C128" s="37" t="s">
        <v>985</v>
      </c>
      <c r="D128" s="38" t="s">
        <v>986</v>
      </c>
      <c r="E128" s="38"/>
      <c r="F128" s="38" t="s">
        <v>987</v>
      </c>
      <c r="G128" s="39" t="s">
        <v>988</v>
      </c>
      <c r="H128" s="49" t="s">
        <v>38</v>
      </c>
      <c r="I128" s="39" t="s">
        <v>39</v>
      </c>
      <c r="J128" s="66" t="s">
        <v>151</v>
      </c>
      <c r="K128" s="67" t="s">
        <v>173</v>
      </c>
      <c r="L128" s="39" t="s">
        <v>189</v>
      </c>
      <c r="M128" s="51" t="b">
        <v>1</v>
      </c>
      <c r="N128" s="68" t="s">
        <v>190</v>
      </c>
      <c r="O128" s="69"/>
      <c r="P128" s="46"/>
      <c r="Q128" s="47"/>
      <c r="R128" s="47"/>
      <c r="S128" s="46"/>
      <c r="T128" s="46"/>
      <c r="U128" s="13"/>
      <c r="V128" s="13"/>
      <c r="W128" s="13"/>
      <c r="X128" s="13"/>
      <c r="Y128" s="13"/>
      <c r="Z128" s="13"/>
      <c r="AA128" s="13"/>
      <c r="AB128" s="13"/>
      <c r="AC128" s="13"/>
    </row>
    <row r="129" ht="126.0" hidden="1" customHeight="1">
      <c r="A129" s="35">
        <v>126.0</v>
      </c>
      <c r="B129" s="36" t="s">
        <v>989</v>
      </c>
      <c r="C129" s="37" t="s">
        <v>990</v>
      </c>
      <c r="D129" s="38" t="s">
        <v>991</v>
      </c>
      <c r="E129" s="38" t="s">
        <v>992</v>
      </c>
      <c r="F129" s="38" t="s">
        <v>993</v>
      </c>
      <c r="G129" s="39" t="s">
        <v>231</v>
      </c>
      <c r="H129" s="49" t="s">
        <v>62</v>
      </c>
      <c r="I129" s="39" t="s">
        <v>63</v>
      </c>
      <c r="J129" s="55"/>
      <c r="K129" s="56"/>
      <c r="L129" s="55"/>
      <c r="M129" s="51" t="b">
        <v>0</v>
      </c>
      <c r="N129" s="46"/>
      <c r="O129" s="46"/>
      <c r="P129" s="46"/>
      <c r="Q129" s="47"/>
      <c r="R129" s="47"/>
      <c r="S129" s="46"/>
      <c r="T129" s="46"/>
      <c r="U129" s="13"/>
      <c r="V129" s="13"/>
      <c r="W129" s="13"/>
      <c r="X129" s="13"/>
      <c r="Y129" s="13"/>
      <c r="Z129" s="13"/>
      <c r="AA129" s="13"/>
      <c r="AB129" s="13"/>
      <c r="AC129" s="13"/>
    </row>
    <row r="130" ht="16.5" customHeight="1">
      <c r="A130" s="35">
        <v>127.0</v>
      </c>
      <c r="B130" s="36" t="s">
        <v>994</v>
      </c>
      <c r="C130" s="37" t="s">
        <v>995</v>
      </c>
      <c r="D130" s="38" t="s">
        <v>996</v>
      </c>
      <c r="E130" s="38" t="s">
        <v>997</v>
      </c>
      <c r="F130" s="38" t="s">
        <v>998</v>
      </c>
      <c r="G130" s="48" t="s">
        <v>999</v>
      </c>
      <c r="H130" s="49" t="s">
        <v>49</v>
      </c>
      <c r="I130" s="39" t="s">
        <v>39</v>
      </c>
      <c r="J130" s="39" t="s">
        <v>1000</v>
      </c>
      <c r="K130" s="41" t="s">
        <v>173</v>
      </c>
      <c r="L130" s="39" t="s">
        <v>1001</v>
      </c>
      <c r="M130" s="51" t="b">
        <v>1</v>
      </c>
      <c r="N130" s="57" t="s">
        <v>1002</v>
      </c>
      <c r="O130" s="69"/>
      <c r="P130" s="46"/>
      <c r="Q130" s="47"/>
      <c r="R130" s="47"/>
      <c r="S130" s="46"/>
      <c r="T130" s="46"/>
      <c r="U130" s="13"/>
      <c r="V130" s="13"/>
      <c r="W130" s="13"/>
      <c r="X130" s="13"/>
      <c r="Y130" s="13"/>
      <c r="Z130" s="13"/>
      <c r="AA130" s="13"/>
      <c r="AB130" s="13"/>
      <c r="AC130" s="13"/>
    </row>
    <row r="131" ht="16.5" customHeight="1">
      <c r="A131" s="35">
        <v>128.0</v>
      </c>
      <c r="B131" s="36" t="s">
        <v>1003</v>
      </c>
      <c r="C131" s="37" t="s">
        <v>1004</v>
      </c>
      <c r="D131" s="38" t="s">
        <v>1005</v>
      </c>
      <c r="E131" s="38" t="s">
        <v>548</v>
      </c>
      <c r="F131" s="38" t="s">
        <v>684</v>
      </c>
      <c r="G131" s="39" t="s">
        <v>685</v>
      </c>
      <c r="H131" s="49" t="s">
        <v>49</v>
      </c>
      <c r="I131" s="86" t="s">
        <v>39</v>
      </c>
      <c r="J131" s="39" t="s">
        <v>551</v>
      </c>
      <c r="K131" s="95" t="s">
        <v>1006</v>
      </c>
      <c r="L131" s="94" t="s">
        <v>1007</v>
      </c>
      <c r="M131" s="51" t="b">
        <v>1</v>
      </c>
      <c r="N131" s="57" t="s">
        <v>687</v>
      </c>
      <c r="O131" s="45" t="s">
        <v>1008</v>
      </c>
      <c r="P131" s="46"/>
      <c r="Q131" s="47"/>
      <c r="R131" s="47"/>
      <c r="S131" s="46"/>
      <c r="T131" s="46"/>
      <c r="U131" s="13"/>
      <c r="V131" s="13"/>
      <c r="W131" s="13"/>
      <c r="X131" s="13"/>
      <c r="Y131" s="13"/>
      <c r="Z131" s="13"/>
      <c r="AA131" s="13"/>
      <c r="AB131" s="13"/>
      <c r="AC131" s="13"/>
    </row>
    <row r="132" ht="16.5" customHeight="1">
      <c r="A132" s="35">
        <v>129.0</v>
      </c>
      <c r="B132" s="36" t="s">
        <v>1009</v>
      </c>
      <c r="C132" s="37" t="s">
        <v>1010</v>
      </c>
      <c r="D132" s="38" t="s">
        <v>1011</v>
      </c>
      <c r="E132" s="38"/>
      <c r="F132" s="38" t="s">
        <v>90</v>
      </c>
      <c r="G132" s="39" t="s">
        <v>91</v>
      </c>
      <c r="H132" s="49" t="s">
        <v>49</v>
      </c>
      <c r="I132" s="39" t="s">
        <v>39</v>
      </c>
      <c r="J132" s="39" t="s">
        <v>92</v>
      </c>
      <c r="K132" s="41" t="s">
        <v>93</v>
      </c>
      <c r="L132" s="55"/>
      <c r="M132" s="51" t="b">
        <v>1</v>
      </c>
      <c r="N132" s="57" t="s">
        <v>94</v>
      </c>
      <c r="O132" s="45" t="s">
        <v>95</v>
      </c>
      <c r="P132" s="46"/>
      <c r="Q132" s="47"/>
      <c r="R132" s="47"/>
      <c r="S132" s="46"/>
      <c r="T132" s="46"/>
      <c r="U132" s="13"/>
      <c r="V132" s="13"/>
      <c r="W132" s="13"/>
      <c r="X132" s="13"/>
      <c r="Y132" s="13"/>
      <c r="Z132" s="13"/>
      <c r="AA132" s="13"/>
      <c r="AB132" s="13"/>
      <c r="AC132" s="13"/>
    </row>
    <row r="133" ht="16.5" customHeight="1">
      <c r="A133" s="35">
        <v>130.0</v>
      </c>
      <c r="B133" s="36" t="s">
        <v>1012</v>
      </c>
      <c r="C133" s="37" t="s">
        <v>1013</v>
      </c>
      <c r="D133" s="38" t="s">
        <v>1014</v>
      </c>
      <c r="E133" s="38"/>
      <c r="F133" s="38" t="s">
        <v>1015</v>
      </c>
      <c r="G133" s="39" t="s">
        <v>1016</v>
      </c>
      <c r="H133" s="49" t="s">
        <v>38</v>
      </c>
      <c r="I133" s="58" t="s">
        <v>39</v>
      </c>
      <c r="J133" s="39" t="s">
        <v>161</v>
      </c>
      <c r="K133" s="107" t="s">
        <v>162</v>
      </c>
      <c r="L133" s="59" t="s">
        <v>1017</v>
      </c>
      <c r="M133" s="51" t="b">
        <v>1</v>
      </c>
      <c r="N133" s="68" t="s">
        <v>164</v>
      </c>
      <c r="O133" s="46"/>
      <c r="P133" s="46" t="s">
        <v>1018</v>
      </c>
      <c r="Q133" s="47"/>
      <c r="R133" s="47"/>
      <c r="S133" s="46"/>
      <c r="T133" s="46"/>
      <c r="U133" s="13"/>
      <c r="V133" s="13"/>
      <c r="W133" s="13"/>
      <c r="X133" s="13"/>
      <c r="Y133" s="13"/>
      <c r="Z133" s="13"/>
      <c r="AA133" s="13"/>
      <c r="AB133" s="13"/>
      <c r="AC133" s="13"/>
    </row>
    <row r="134" ht="16.5" customHeight="1">
      <c r="A134" s="35">
        <v>131.0</v>
      </c>
      <c r="B134" s="36" t="s">
        <v>1019</v>
      </c>
      <c r="C134" s="37" t="s">
        <v>1020</v>
      </c>
      <c r="D134" s="38" t="s">
        <v>1021</v>
      </c>
      <c r="E134" s="38"/>
      <c r="F134" s="38" t="s">
        <v>1022</v>
      </c>
      <c r="G134" s="39" t="s">
        <v>1023</v>
      </c>
      <c r="H134" s="49" t="s">
        <v>49</v>
      </c>
      <c r="I134" s="86" t="s">
        <v>39</v>
      </c>
      <c r="J134" s="39" t="s">
        <v>1024</v>
      </c>
      <c r="K134" s="95" t="s">
        <v>173</v>
      </c>
      <c r="L134" s="94" t="s">
        <v>1025</v>
      </c>
      <c r="M134" s="51" t="b">
        <v>0</v>
      </c>
      <c r="N134" s="44" t="s">
        <v>1026</v>
      </c>
      <c r="O134" s="45" t="s">
        <v>1027</v>
      </c>
      <c r="P134" s="46"/>
      <c r="Q134" s="47"/>
      <c r="R134" s="47"/>
      <c r="S134" s="46"/>
      <c r="T134" s="46"/>
      <c r="U134" s="13"/>
      <c r="V134" s="13"/>
      <c r="W134" s="13"/>
      <c r="X134" s="13"/>
      <c r="Y134" s="13"/>
      <c r="Z134" s="13"/>
      <c r="AA134" s="13"/>
      <c r="AB134" s="13"/>
      <c r="AC134" s="13"/>
    </row>
    <row r="135" ht="409.5" customHeight="1">
      <c r="A135" s="35">
        <v>132.0</v>
      </c>
      <c r="B135" s="36" t="s">
        <v>1028</v>
      </c>
      <c r="C135" s="37" t="s">
        <v>1029</v>
      </c>
      <c r="D135" s="38" t="s">
        <v>1030</v>
      </c>
      <c r="E135" s="38" t="s">
        <v>1031</v>
      </c>
      <c r="F135" s="38" t="s">
        <v>1032</v>
      </c>
      <c r="G135" s="39" t="s">
        <v>1033</v>
      </c>
      <c r="H135" s="49" t="s">
        <v>38</v>
      </c>
      <c r="I135" s="39" t="s">
        <v>39</v>
      </c>
      <c r="J135" s="109" t="s">
        <v>1034</v>
      </c>
      <c r="K135" s="110" t="s">
        <v>1035</v>
      </c>
      <c r="L135" s="111" t="s">
        <v>1036</v>
      </c>
      <c r="M135" s="51" t="b">
        <v>0</v>
      </c>
      <c r="N135" s="46"/>
      <c r="O135" s="57" t="s">
        <v>1037</v>
      </c>
      <c r="P135" s="46"/>
      <c r="Q135" s="47"/>
      <c r="R135" s="47"/>
      <c r="S135" s="46"/>
      <c r="T135" s="46"/>
      <c r="U135" s="13"/>
      <c r="V135" s="13"/>
      <c r="W135" s="13"/>
      <c r="X135" s="13"/>
      <c r="Y135" s="13"/>
      <c r="Z135" s="13"/>
      <c r="AA135" s="13"/>
      <c r="AB135" s="13"/>
      <c r="AC135" s="13"/>
    </row>
    <row r="136" ht="409.5" hidden="1" customHeight="1">
      <c r="A136" s="35">
        <v>133.0</v>
      </c>
      <c r="B136" s="36" t="s">
        <v>1038</v>
      </c>
      <c r="C136" s="37" t="s">
        <v>1039</v>
      </c>
      <c r="D136" s="38" t="s">
        <v>1040</v>
      </c>
      <c r="E136" s="38"/>
      <c r="F136" s="38" t="s">
        <v>1041</v>
      </c>
      <c r="G136" s="39" t="s">
        <v>231</v>
      </c>
      <c r="H136" s="49" t="s">
        <v>62</v>
      </c>
      <c r="I136" s="39" t="s">
        <v>63</v>
      </c>
      <c r="J136" s="55"/>
      <c r="K136" s="56"/>
      <c r="L136" s="55"/>
      <c r="M136" s="51" t="b">
        <v>0</v>
      </c>
      <c r="N136" s="46"/>
      <c r="O136" s="46"/>
      <c r="P136" s="46"/>
      <c r="Q136" s="47"/>
      <c r="R136" s="47"/>
      <c r="S136" s="46"/>
      <c r="T136" s="46"/>
      <c r="U136" s="13"/>
      <c r="V136" s="13"/>
      <c r="W136" s="13"/>
      <c r="X136" s="13"/>
      <c r="Y136" s="13"/>
      <c r="Z136" s="13"/>
      <c r="AA136" s="13"/>
      <c r="AB136" s="13"/>
      <c r="AC136" s="13"/>
    </row>
    <row r="137" ht="409.5" hidden="1" customHeight="1">
      <c r="A137" s="35">
        <v>134.0</v>
      </c>
      <c r="B137" s="36" t="s">
        <v>1042</v>
      </c>
      <c r="C137" s="37" t="s">
        <v>1043</v>
      </c>
      <c r="D137" s="38" t="s">
        <v>1044</v>
      </c>
      <c r="E137" s="38"/>
      <c r="F137" s="38" t="s">
        <v>1041</v>
      </c>
      <c r="G137" s="39" t="s">
        <v>231</v>
      </c>
      <c r="H137" s="49" t="s">
        <v>62</v>
      </c>
      <c r="I137" s="39" t="s">
        <v>63</v>
      </c>
      <c r="J137" s="55"/>
      <c r="K137" s="56"/>
      <c r="L137" s="55"/>
      <c r="M137" s="51" t="b">
        <v>0</v>
      </c>
      <c r="N137" s="46"/>
      <c r="O137" s="46"/>
      <c r="P137" s="46"/>
      <c r="Q137" s="47"/>
      <c r="R137" s="47"/>
      <c r="S137" s="46"/>
      <c r="T137" s="46"/>
      <c r="U137" s="13"/>
      <c r="V137" s="13"/>
      <c r="W137" s="13"/>
      <c r="X137" s="13"/>
      <c r="Y137" s="13"/>
      <c r="Z137" s="13"/>
      <c r="AA137" s="13"/>
      <c r="AB137" s="13"/>
      <c r="AC137" s="13"/>
    </row>
    <row r="138" ht="376.5" customHeight="1">
      <c r="A138" s="35">
        <v>135.0</v>
      </c>
      <c r="B138" s="36" t="s">
        <v>1045</v>
      </c>
      <c r="C138" s="37" t="s">
        <v>1046</v>
      </c>
      <c r="D138" s="38" t="s">
        <v>1047</v>
      </c>
      <c r="E138" s="38" t="s">
        <v>1048</v>
      </c>
      <c r="F138" s="38" t="s">
        <v>1049</v>
      </c>
      <c r="G138" s="39" t="s">
        <v>1050</v>
      </c>
      <c r="H138" s="49" t="s">
        <v>49</v>
      </c>
      <c r="I138" s="39" t="s">
        <v>39</v>
      </c>
      <c r="J138" s="39" t="s">
        <v>1051</v>
      </c>
      <c r="K138" s="41" t="s">
        <v>933</v>
      </c>
      <c r="L138" s="39" t="s">
        <v>1052</v>
      </c>
      <c r="M138" s="51" t="b">
        <v>1</v>
      </c>
      <c r="N138" s="57" t="s">
        <v>1053</v>
      </c>
      <c r="O138" s="45" t="s">
        <v>1054</v>
      </c>
      <c r="P138" s="46"/>
      <c r="Q138" s="47"/>
      <c r="R138" s="47"/>
      <c r="S138" s="46"/>
      <c r="T138" s="46"/>
      <c r="U138" s="13"/>
      <c r="V138" s="13"/>
      <c r="W138" s="13"/>
      <c r="X138" s="13"/>
      <c r="Y138" s="13"/>
      <c r="Z138" s="13"/>
      <c r="AA138" s="13"/>
      <c r="AB138" s="13"/>
      <c r="AC138" s="13"/>
    </row>
    <row r="139" ht="16.5" customHeight="1">
      <c r="A139" s="35">
        <v>136.0</v>
      </c>
      <c r="B139" s="36" t="s">
        <v>1055</v>
      </c>
      <c r="C139" s="37" t="s">
        <v>1056</v>
      </c>
      <c r="D139" s="38" t="s">
        <v>1057</v>
      </c>
      <c r="E139" s="38" t="s">
        <v>1058</v>
      </c>
      <c r="F139" s="38" t="s">
        <v>1059</v>
      </c>
      <c r="G139" s="39" t="s">
        <v>915</v>
      </c>
      <c r="H139" s="49" t="s">
        <v>49</v>
      </c>
      <c r="I139" s="39" t="s">
        <v>39</v>
      </c>
      <c r="J139" s="39" t="s">
        <v>916</v>
      </c>
      <c r="K139" s="41" t="s">
        <v>917</v>
      </c>
      <c r="L139" s="112" t="s">
        <v>1060</v>
      </c>
      <c r="M139" s="51" t="b">
        <v>0</v>
      </c>
      <c r="N139" s="97"/>
      <c r="O139" s="97"/>
      <c r="P139" s="97" t="s">
        <v>1061</v>
      </c>
      <c r="Q139" s="47"/>
      <c r="R139" s="47"/>
      <c r="S139" s="46"/>
      <c r="T139" s="46"/>
      <c r="U139" s="13"/>
      <c r="V139" s="13"/>
      <c r="W139" s="13"/>
      <c r="X139" s="13"/>
      <c r="Y139" s="13"/>
      <c r="Z139" s="13"/>
      <c r="AA139" s="13"/>
      <c r="AB139" s="13"/>
      <c r="AC139" s="13"/>
    </row>
    <row r="140" ht="409.5" hidden="1" customHeight="1">
      <c r="A140" s="35">
        <v>137.0</v>
      </c>
      <c r="B140" s="36" t="s">
        <v>1062</v>
      </c>
      <c r="C140" s="37" t="s">
        <v>1063</v>
      </c>
      <c r="D140" s="38" t="s">
        <v>1064</v>
      </c>
      <c r="E140" s="38"/>
      <c r="F140" s="38" t="s">
        <v>1041</v>
      </c>
      <c r="G140" s="39" t="s">
        <v>231</v>
      </c>
      <c r="H140" s="49" t="s">
        <v>62</v>
      </c>
      <c r="I140" s="39" t="s">
        <v>63</v>
      </c>
      <c r="J140" s="55"/>
      <c r="K140" s="56"/>
      <c r="L140" s="55"/>
      <c r="M140" s="51" t="b">
        <v>0</v>
      </c>
      <c r="N140" s="46"/>
      <c r="O140" s="46"/>
      <c r="P140" s="46"/>
      <c r="Q140" s="47"/>
      <c r="R140" s="47"/>
      <c r="S140" s="46"/>
      <c r="T140" s="46"/>
      <c r="U140" s="13"/>
      <c r="V140" s="13"/>
      <c r="W140" s="13"/>
      <c r="X140" s="13"/>
      <c r="Y140" s="13"/>
      <c r="Z140" s="13"/>
      <c r="AA140" s="13"/>
      <c r="AB140" s="13"/>
      <c r="AC140" s="13"/>
    </row>
    <row r="141" ht="16.5" customHeight="1">
      <c r="A141" s="35">
        <v>138.0</v>
      </c>
      <c r="B141" s="36" t="s">
        <v>1065</v>
      </c>
      <c r="C141" s="37" t="s">
        <v>1066</v>
      </c>
      <c r="D141" s="38" t="s">
        <v>1067</v>
      </c>
      <c r="E141" s="38"/>
      <c r="F141" s="38" t="s">
        <v>1068</v>
      </c>
      <c r="G141" s="48" t="s">
        <v>1069</v>
      </c>
      <c r="H141" s="49" t="s">
        <v>49</v>
      </c>
      <c r="I141" s="39" t="s">
        <v>39</v>
      </c>
      <c r="J141" s="39" t="s">
        <v>1070</v>
      </c>
      <c r="K141" s="41" t="s">
        <v>162</v>
      </c>
      <c r="L141" s="39"/>
      <c r="M141" s="51" t="b">
        <v>1</v>
      </c>
      <c r="N141" s="57" t="s">
        <v>1071</v>
      </c>
      <c r="O141" s="69"/>
      <c r="P141" s="46"/>
      <c r="Q141" s="47"/>
      <c r="R141" s="47"/>
      <c r="S141" s="46"/>
      <c r="T141" s="46"/>
      <c r="U141" s="13"/>
      <c r="V141" s="13"/>
      <c r="W141" s="13"/>
      <c r="X141" s="13"/>
      <c r="Y141" s="13"/>
      <c r="Z141" s="13"/>
      <c r="AA141" s="13"/>
      <c r="AB141" s="13"/>
      <c r="AC141" s="13"/>
    </row>
    <row r="142" ht="409.5" hidden="1" customHeight="1">
      <c r="A142" s="35">
        <v>139.0</v>
      </c>
      <c r="B142" s="36" t="s">
        <v>1072</v>
      </c>
      <c r="C142" s="37" t="s">
        <v>1073</v>
      </c>
      <c r="D142" s="38" t="s">
        <v>1074</v>
      </c>
      <c r="E142" s="38" t="s">
        <v>1075</v>
      </c>
      <c r="F142" s="38" t="s">
        <v>1076</v>
      </c>
      <c r="G142" s="39" t="s">
        <v>231</v>
      </c>
      <c r="H142" s="49" t="s">
        <v>62</v>
      </c>
      <c r="I142" s="39" t="s">
        <v>63</v>
      </c>
      <c r="J142" s="55"/>
      <c r="K142" s="56"/>
      <c r="L142" s="55"/>
      <c r="M142" s="51" t="b">
        <v>0</v>
      </c>
      <c r="N142" s="46"/>
      <c r="O142" s="46"/>
      <c r="P142" s="46"/>
      <c r="Q142" s="47"/>
      <c r="R142" s="47"/>
      <c r="S142" s="46"/>
      <c r="T142" s="46"/>
      <c r="U142" s="13"/>
      <c r="V142" s="13"/>
      <c r="W142" s="13"/>
      <c r="X142" s="13"/>
      <c r="Y142" s="13"/>
      <c r="Z142" s="13"/>
      <c r="AA142" s="13"/>
      <c r="AB142" s="13"/>
      <c r="AC142" s="13"/>
    </row>
    <row r="143" ht="409.5" hidden="1" customHeight="1">
      <c r="A143" s="35">
        <v>140.0</v>
      </c>
      <c r="B143" s="36" t="s">
        <v>1077</v>
      </c>
      <c r="C143" s="37" t="s">
        <v>1078</v>
      </c>
      <c r="D143" s="38" t="s">
        <v>1079</v>
      </c>
      <c r="E143" s="38"/>
      <c r="F143" s="38" t="s">
        <v>1080</v>
      </c>
      <c r="G143" s="39" t="s">
        <v>231</v>
      </c>
      <c r="H143" s="49" t="s">
        <v>62</v>
      </c>
      <c r="I143" s="39" t="s">
        <v>63</v>
      </c>
      <c r="J143" s="55"/>
      <c r="K143" s="56"/>
      <c r="L143" s="55"/>
      <c r="M143" s="51" t="b">
        <v>0</v>
      </c>
      <c r="N143" s="46"/>
      <c r="O143" s="46"/>
      <c r="P143" s="46"/>
      <c r="Q143" s="47"/>
      <c r="R143" s="47"/>
      <c r="S143" s="46"/>
      <c r="T143" s="46"/>
      <c r="U143" s="13"/>
      <c r="V143" s="13"/>
      <c r="W143" s="13"/>
      <c r="X143" s="13"/>
      <c r="Y143" s="13"/>
      <c r="Z143" s="13"/>
      <c r="AA143" s="13"/>
      <c r="AB143" s="13"/>
      <c r="AC143" s="13"/>
    </row>
    <row r="144" ht="409.5" hidden="1" customHeight="1">
      <c r="A144" s="35">
        <v>141.0</v>
      </c>
      <c r="B144" s="36" t="s">
        <v>1081</v>
      </c>
      <c r="C144" s="37" t="s">
        <v>1082</v>
      </c>
      <c r="D144" s="38" t="s">
        <v>1083</v>
      </c>
      <c r="E144" s="38" t="s">
        <v>761</v>
      </c>
      <c r="F144" s="38" t="s">
        <v>1084</v>
      </c>
      <c r="G144" s="39" t="s">
        <v>231</v>
      </c>
      <c r="H144" s="49" t="s">
        <v>62</v>
      </c>
      <c r="I144" s="39" t="s">
        <v>63</v>
      </c>
      <c r="J144" s="55"/>
      <c r="K144" s="56"/>
      <c r="L144" s="55"/>
      <c r="M144" s="51" t="b">
        <v>0</v>
      </c>
      <c r="N144" s="46"/>
      <c r="O144" s="46"/>
      <c r="P144" s="46"/>
      <c r="Q144" s="47"/>
      <c r="R144" s="47"/>
      <c r="S144" s="46"/>
      <c r="T144" s="46"/>
      <c r="U144" s="13"/>
      <c r="V144" s="13"/>
      <c r="W144" s="13"/>
      <c r="X144" s="13"/>
      <c r="Y144" s="13"/>
      <c r="Z144" s="13"/>
      <c r="AA144" s="13"/>
      <c r="AB144" s="13"/>
      <c r="AC144" s="13"/>
    </row>
    <row r="145" ht="16.5" hidden="1" customHeight="1">
      <c r="A145" s="35">
        <v>142.0</v>
      </c>
      <c r="B145" s="36" t="s">
        <v>1085</v>
      </c>
      <c r="C145" s="37" t="s">
        <v>1086</v>
      </c>
      <c r="D145" s="38" t="s">
        <v>1087</v>
      </c>
      <c r="E145" s="38" t="s">
        <v>1088</v>
      </c>
      <c r="F145" s="38" t="s">
        <v>1089</v>
      </c>
      <c r="G145" s="48" t="s">
        <v>231</v>
      </c>
      <c r="H145" s="49" t="s">
        <v>62</v>
      </c>
      <c r="I145" s="58" t="s">
        <v>63</v>
      </c>
      <c r="J145" s="113"/>
      <c r="K145" s="56"/>
      <c r="L145" s="55"/>
      <c r="M145" s="51" t="b">
        <v>0</v>
      </c>
      <c r="N145" s="46"/>
      <c r="O145" s="46"/>
      <c r="P145" s="46" t="s">
        <v>1090</v>
      </c>
      <c r="Q145" s="47"/>
      <c r="R145" s="47"/>
      <c r="S145" s="46"/>
      <c r="T145" s="46"/>
      <c r="U145" s="13"/>
      <c r="V145" s="13"/>
      <c r="W145" s="13"/>
      <c r="X145" s="13"/>
      <c r="Y145" s="13"/>
      <c r="Z145" s="13"/>
      <c r="AA145" s="13"/>
      <c r="AB145" s="13"/>
      <c r="AC145" s="13"/>
    </row>
    <row r="146" ht="16.5" customHeight="1">
      <c r="A146" s="35">
        <v>143.0</v>
      </c>
      <c r="B146" s="36" t="s">
        <v>1091</v>
      </c>
      <c r="C146" s="37" t="s">
        <v>1092</v>
      </c>
      <c r="D146" s="38" t="s">
        <v>1093</v>
      </c>
      <c r="E146" s="38" t="s">
        <v>1094</v>
      </c>
      <c r="F146" s="38" t="s">
        <v>1095</v>
      </c>
      <c r="G146" s="39" t="s">
        <v>1096</v>
      </c>
      <c r="H146" s="49" t="s">
        <v>49</v>
      </c>
      <c r="I146" s="39" t="s">
        <v>39</v>
      </c>
      <c r="J146" s="39" t="s">
        <v>676</v>
      </c>
      <c r="K146" s="41" t="s">
        <v>1097</v>
      </c>
      <c r="L146" s="39" t="s">
        <v>1098</v>
      </c>
      <c r="M146" s="51" t="b">
        <v>1</v>
      </c>
      <c r="N146" s="57" t="s">
        <v>1099</v>
      </c>
      <c r="O146" s="69"/>
      <c r="P146" s="46"/>
      <c r="Q146" s="47"/>
      <c r="R146" s="47"/>
      <c r="S146" s="46"/>
      <c r="T146" s="46"/>
      <c r="U146" s="13"/>
      <c r="V146" s="13"/>
      <c r="W146" s="13"/>
      <c r="X146" s="13"/>
      <c r="Y146" s="13"/>
      <c r="Z146" s="13"/>
      <c r="AA146" s="13"/>
      <c r="AB146" s="13"/>
      <c r="AC146" s="13"/>
    </row>
    <row r="147" ht="16.5" customHeight="1">
      <c r="A147" s="35">
        <v>144.0</v>
      </c>
      <c r="B147" s="36" t="s">
        <v>1100</v>
      </c>
      <c r="C147" s="37" t="s">
        <v>1101</v>
      </c>
      <c r="D147" s="38" t="s">
        <v>1102</v>
      </c>
      <c r="E147" s="38" t="s">
        <v>1103</v>
      </c>
      <c r="F147" s="38" t="s">
        <v>1104</v>
      </c>
      <c r="G147" s="39" t="s">
        <v>1105</v>
      </c>
      <c r="H147" s="49" t="s">
        <v>49</v>
      </c>
      <c r="I147" s="39" t="s">
        <v>39</v>
      </c>
      <c r="J147" s="39" t="s">
        <v>856</v>
      </c>
      <c r="K147" s="41" t="s">
        <v>1106</v>
      </c>
      <c r="L147" s="39"/>
      <c r="M147" s="51" t="b">
        <v>1</v>
      </c>
      <c r="N147" s="57" t="s">
        <v>1107</v>
      </c>
      <c r="O147" s="69"/>
      <c r="P147" s="46"/>
      <c r="Q147" s="47"/>
      <c r="R147" s="47"/>
      <c r="S147" s="46"/>
      <c r="T147" s="46"/>
      <c r="U147" s="13"/>
      <c r="V147" s="13"/>
      <c r="W147" s="13"/>
      <c r="X147" s="13"/>
      <c r="Y147" s="13"/>
      <c r="Z147" s="13"/>
      <c r="AA147" s="13"/>
      <c r="AB147" s="13"/>
      <c r="AC147" s="13"/>
    </row>
    <row r="148" ht="16.5" customHeight="1">
      <c r="A148" s="35">
        <v>145.0</v>
      </c>
      <c r="B148" s="36" t="s">
        <v>1108</v>
      </c>
      <c r="C148" s="37" t="s">
        <v>1109</v>
      </c>
      <c r="D148" s="38" t="s">
        <v>1110</v>
      </c>
      <c r="E148" s="38"/>
      <c r="F148" s="38" t="s">
        <v>1111</v>
      </c>
      <c r="G148" s="39" t="s">
        <v>1112</v>
      </c>
      <c r="H148" s="49" t="s">
        <v>49</v>
      </c>
      <c r="I148" s="39" t="s">
        <v>39</v>
      </c>
      <c r="J148" s="39" t="s">
        <v>676</v>
      </c>
      <c r="K148" s="41" t="s">
        <v>152</v>
      </c>
      <c r="L148" s="39" t="s">
        <v>1113</v>
      </c>
      <c r="M148" s="51" t="b">
        <v>1</v>
      </c>
      <c r="N148" s="57" t="s">
        <v>1114</v>
      </c>
      <c r="O148" s="46"/>
      <c r="P148" s="46" t="s">
        <v>1115</v>
      </c>
      <c r="Q148" s="47"/>
      <c r="R148" s="47"/>
      <c r="S148" s="46"/>
      <c r="T148" s="46"/>
      <c r="U148" s="13"/>
      <c r="V148" s="13"/>
      <c r="W148" s="13"/>
      <c r="X148" s="13"/>
      <c r="Y148" s="13"/>
      <c r="Z148" s="13"/>
      <c r="AA148" s="13"/>
      <c r="AB148" s="13"/>
      <c r="AC148" s="13"/>
    </row>
    <row r="149" ht="409.5" hidden="1" customHeight="1">
      <c r="A149" s="35">
        <v>146.0</v>
      </c>
      <c r="B149" s="36" t="s">
        <v>1116</v>
      </c>
      <c r="C149" s="37" t="s">
        <v>1117</v>
      </c>
      <c r="D149" s="38" t="s">
        <v>1118</v>
      </c>
      <c r="E149" s="38"/>
      <c r="F149" s="38" t="s">
        <v>1119</v>
      </c>
      <c r="G149" s="39" t="s">
        <v>231</v>
      </c>
      <c r="H149" s="49" t="s">
        <v>62</v>
      </c>
      <c r="I149" s="39" t="s">
        <v>63</v>
      </c>
      <c r="J149" s="55"/>
      <c r="K149" s="56"/>
      <c r="L149" s="55"/>
      <c r="M149" s="51" t="b">
        <v>0</v>
      </c>
      <c r="N149" s="46"/>
      <c r="O149" s="46"/>
      <c r="P149" s="46"/>
      <c r="Q149" s="47"/>
      <c r="R149" s="47"/>
      <c r="S149" s="46"/>
      <c r="T149" s="46"/>
      <c r="U149" s="13"/>
      <c r="V149" s="13"/>
      <c r="W149" s="13"/>
      <c r="X149" s="13"/>
      <c r="Y149" s="13"/>
      <c r="Z149" s="13"/>
      <c r="AA149" s="13"/>
      <c r="AB149" s="13"/>
      <c r="AC149" s="13"/>
    </row>
    <row r="150" ht="16.5" customHeight="1">
      <c r="A150" s="35">
        <v>147.0</v>
      </c>
      <c r="B150" s="36" t="s">
        <v>1120</v>
      </c>
      <c r="C150" s="37" t="s">
        <v>1121</v>
      </c>
      <c r="D150" s="38" t="s">
        <v>1122</v>
      </c>
      <c r="E150" s="38" t="s">
        <v>1058</v>
      </c>
      <c r="F150" s="38" t="s">
        <v>1123</v>
      </c>
      <c r="G150" s="39" t="s">
        <v>1124</v>
      </c>
      <c r="H150" s="49" t="s">
        <v>49</v>
      </c>
      <c r="I150" s="39" t="s">
        <v>39</v>
      </c>
      <c r="J150" s="39" t="s">
        <v>1125</v>
      </c>
      <c r="K150" s="41" t="s">
        <v>1126</v>
      </c>
      <c r="L150" s="39"/>
      <c r="M150" s="51" t="b">
        <v>1</v>
      </c>
      <c r="N150" s="57" t="s">
        <v>1127</v>
      </c>
      <c r="O150" s="69"/>
      <c r="P150" s="46"/>
      <c r="Q150" s="47"/>
      <c r="R150" s="47"/>
      <c r="S150" s="46"/>
      <c r="T150" s="46"/>
      <c r="U150" s="13"/>
      <c r="V150" s="13"/>
      <c r="W150" s="13"/>
      <c r="X150" s="13"/>
      <c r="Y150" s="13"/>
      <c r="Z150" s="13"/>
      <c r="AA150" s="13"/>
      <c r="AB150" s="13"/>
      <c r="AC150" s="13"/>
    </row>
    <row r="151" ht="16.5" customHeight="1">
      <c r="A151" s="35">
        <v>148.0</v>
      </c>
      <c r="B151" s="36" t="s">
        <v>1128</v>
      </c>
      <c r="C151" s="37" t="s">
        <v>1129</v>
      </c>
      <c r="D151" s="38" t="s">
        <v>1130</v>
      </c>
      <c r="E151" s="38"/>
      <c r="F151" s="38" t="s">
        <v>1131</v>
      </c>
      <c r="G151" s="39" t="s">
        <v>1132</v>
      </c>
      <c r="H151" s="49" t="s">
        <v>38</v>
      </c>
      <c r="I151" s="39" t="s">
        <v>39</v>
      </c>
      <c r="J151" s="66" t="s">
        <v>151</v>
      </c>
      <c r="K151" s="67" t="s">
        <v>774</v>
      </c>
      <c r="L151" s="59" t="s">
        <v>1133</v>
      </c>
      <c r="M151" s="51" t="b">
        <v>1</v>
      </c>
      <c r="N151" s="68" t="s">
        <v>1134</v>
      </c>
      <c r="O151" s="69"/>
      <c r="P151" s="46"/>
      <c r="Q151" s="47"/>
      <c r="R151" s="47"/>
      <c r="S151" s="46"/>
      <c r="T151" s="46"/>
      <c r="U151" s="13"/>
      <c r="V151" s="13"/>
      <c r="W151" s="13"/>
      <c r="X151" s="13"/>
      <c r="Y151" s="13"/>
      <c r="Z151" s="13"/>
      <c r="AA151" s="13"/>
      <c r="AB151" s="13"/>
      <c r="AC151" s="13"/>
    </row>
    <row r="152" ht="16.5" hidden="1" customHeight="1">
      <c r="A152" s="35">
        <v>149.0</v>
      </c>
      <c r="B152" s="36" t="s">
        <v>1135</v>
      </c>
      <c r="C152" s="37" t="s">
        <v>1136</v>
      </c>
      <c r="D152" s="38" t="s">
        <v>1137</v>
      </c>
      <c r="E152" s="38"/>
      <c r="F152" s="38" t="s">
        <v>1138</v>
      </c>
      <c r="G152" s="48" t="s">
        <v>1139</v>
      </c>
      <c r="H152" s="49" t="s">
        <v>62</v>
      </c>
      <c r="I152" s="39" t="s">
        <v>63</v>
      </c>
      <c r="J152" s="55"/>
      <c r="K152" s="56"/>
      <c r="L152" s="55"/>
      <c r="M152" s="51" t="b">
        <v>0</v>
      </c>
      <c r="N152" s="46"/>
      <c r="O152" s="46"/>
      <c r="P152" s="46"/>
      <c r="Q152" s="47"/>
      <c r="R152" s="47"/>
      <c r="S152" s="46"/>
      <c r="T152" s="46"/>
      <c r="U152" s="13"/>
      <c r="V152" s="13"/>
      <c r="W152" s="13"/>
      <c r="X152" s="13"/>
      <c r="Y152" s="13"/>
      <c r="Z152" s="13"/>
      <c r="AA152" s="13"/>
      <c r="AB152" s="13"/>
      <c r="AC152" s="13"/>
    </row>
    <row r="153" ht="16.5" customHeight="1">
      <c r="A153" s="35">
        <v>150.0</v>
      </c>
      <c r="B153" s="36" t="s">
        <v>1140</v>
      </c>
      <c r="C153" s="37" t="s">
        <v>1141</v>
      </c>
      <c r="D153" s="38" t="s">
        <v>1142</v>
      </c>
      <c r="E153" s="38"/>
      <c r="F153" s="38" t="s">
        <v>1143</v>
      </c>
      <c r="G153" s="39" t="s">
        <v>1144</v>
      </c>
      <c r="H153" s="49" t="s">
        <v>38</v>
      </c>
      <c r="I153" s="39" t="s">
        <v>39</v>
      </c>
      <c r="J153" s="66" t="s">
        <v>151</v>
      </c>
      <c r="K153" s="67" t="s">
        <v>173</v>
      </c>
      <c r="L153" s="59"/>
      <c r="M153" s="51" t="b">
        <v>1</v>
      </c>
      <c r="N153" s="68" t="s">
        <v>190</v>
      </c>
      <c r="O153" s="69"/>
      <c r="P153" s="46"/>
      <c r="Q153" s="47"/>
      <c r="R153" s="47"/>
      <c r="S153" s="46"/>
      <c r="T153" s="46"/>
      <c r="U153" s="13"/>
      <c r="V153" s="13"/>
      <c r="W153" s="13"/>
      <c r="X153" s="13"/>
      <c r="Y153" s="13"/>
      <c r="Z153" s="13"/>
      <c r="AA153" s="13"/>
      <c r="AB153" s="13"/>
      <c r="AC153" s="13"/>
    </row>
    <row r="154" ht="16.5" customHeight="1">
      <c r="A154" s="35">
        <v>151.0</v>
      </c>
      <c r="B154" s="36" t="s">
        <v>1145</v>
      </c>
      <c r="C154" s="37" t="s">
        <v>1146</v>
      </c>
      <c r="D154" s="38" t="s">
        <v>1147</v>
      </c>
      <c r="E154" s="38"/>
      <c r="F154" s="38" t="s">
        <v>1148</v>
      </c>
      <c r="G154" s="39" t="s">
        <v>1149</v>
      </c>
      <c r="H154" s="49" t="s">
        <v>38</v>
      </c>
      <c r="I154" s="39" t="s">
        <v>39</v>
      </c>
      <c r="J154" s="66" t="s">
        <v>151</v>
      </c>
      <c r="K154" s="67" t="s">
        <v>1150</v>
      </c>
      <c r="L154" s="59" t="s">
        <v>1151</v>
      </c>
      <c r="M154" s="51" t="b">
        <v>1</v>
      </c>
      <c r="N154" s="68" t="s">
        <v>1152</v>
      </c>
      <c r="O154" s="69"/>
      <c r="P154" s="46"/>
      <c r="Q154" s="47"/>
      <c r="R154" s="47"/>
      <c r="S154" s="46"/>
      <c r="T154" s="46"/>
      <c r="U154" s="13"/>
      <c r="V154" s="13"/>
      <c r="W154" s="13"/>
      <c r="X154" s="13"/>
      <c r="Y154" s="13"/>
      <c r="Z154" s="13"/>
      <c r="AA154" s="13"/>
      <c r="AB154" s="13"/>
      <c r="AC154" s="13"/>
    </row>
    <row r="155" ht="376.5" customHeight="1">
      <c r="A155" s="35">
        <v>152.0</v>
      </c>
      <c r="B155" s="36" t="s">
        <v>1153</v>
      </c>
      <c r="C155" s="114" t="s">
        <v>1154</v>
      </c>
      <c r="D155" s="38" t="s">
        <v>1155</v>
      </c>
      <c r="E155" s="38" t="s">
        <v>1156</v>
      </c>
      <c r="F155" s="38" t="s">
        <v>1157</v>
      </c>
      <c r="G155" s="58" t="s">
        <v>1158</v>
      </c>
      <c r="H155" s="49" t="s">
        <v>49</v>
      </c>
      <c r="I155" s="58" t="s">
        <v>39</v>
      </c>
      <c r="J155" s="39" t="s">
        <v>1159</v>
      </c>
      <c r="K155" s="89" t="s">
        <v>173</v>
      </c>
      <c r="L155" s="60"/>
      <c r="M155" s="51" t="b">
        <v>1</v>
      </c>
      <c r="N155" s="68" t="s">
        <v>1160</v>
      </c>
      <c r="O155" s="99"/>
      <c r="P155" s="97"/>
      <c r="Q155" s="115"/>
      <c r="R155" s="115"/>
      <c r="S155" s="97"/>
      <c r="T155" s="97"/>
      <c r="U155" s="13"/>
      <c r="V155" s="13"/>
      <c r="W155" s="13"/>
      <c r="X155" s="13"/>
      <c r="Y155" s="13"/>
      <c r="Z155" s="13"/>
      <c r="AA155" s="13"/>
      <c r="AB155" s="13"/>
      <c r="AC155" s="13"/>
    </row>
    <row r="156" ht="288.0" hidden="1" customHeight="1">
      <c r="A156" s="35">
        <v>153.0</v>
      </c>
      <c r="B156" s="36" t="s">
        <v>1161</v>
      </c>
      <c r="C156" s="37" t="s">
        <v>1162</v>
      </c>
      <c r="D156" s="38" t="s">
        <v>1163</v>
      </c>
      <c r="E156" s="38"/>
      <c r="F156" s="38" t="s">
        <v>1164</v>
      </c>
      <c r="G156" s="39" t="s">
        <v>231</v>
      </c>
      <c r="H156" s="49" t="s">
        <v>62</v>
      </c>
      <c r="I156" s="39" t="s">
        <v>63</v>
      </c>
      <c r="J156" s="55"/>
      <c r="K156" s="56"/>
      <c r="L156" s="55"/>
      <c r="M156" s="51" t="b">
        <v>0</v>
      </c>
      <c r="N156" s="46"/>
      <c r="O156" s="46"/>
      <c r="P156" s="46"/>
      <c r="Q156" s="47"/>
      <c r="R156" s="47"/>
      <c r="S156" s="46"/>
      <c r="T156" s="46"/>
      <c r="U156" s="13"/>
      <c r="V156" s="13"/>
      <c r="W156" s="13"/>
      <c r="X156" s="13"/>
      <c r="Y156" s="13"/>
      <c r="Z156" s="13"/>
      <c r="AA156" s="13"/>
      <c r="AB156" s="13"/>
      <c r="AC156" s="13"/>
    </row>
    <row r="157" ht="16.5" customHeight="1">
      <c r="A157" s="35">
        <v>154.0</v>
      </c>
      <c r="B157" s="36" t="s">
        <v>1165</v>
      </c>
      <c r="C157" s="37" t="s">
        <v>1166</v>
      </c>
      <c r="D157" s="38" t="s">
        <v>1167</v>
      </c>
      <c r="E157" s="38"/>
      <c r="F157" s="38" t="s">
        <v>1168</v>
      </c>
      <c r="G157" s="39" t="s">
        <v>1169</v>
      </c>
      <c r="H157" s="49" t="s">
        <v>49</v>
      </c>
      <c r="I157" s="39" t="s">
        <v>39</v>
      </c>
      <c r="J157" s="39" t="s">
        <v>916</v>
      </c>
      <c r="K157" s="41" t="s">
        <v>1150</v>
      </c>
      <c r="L157" s="39" t="s">
        <v>1170</v>
      </c>
      <c r="M157" s="51" t="b">
        <v>1</v>
      </c>
      <c r="N157" s="57" t="s">
        <v>1171</v>
      </c>
      <c r="O157" s="69"/>
      <c r="P157" s="46"/>
      <c r="Q157" s="47"/>
      <c r="R157" s="47"/>
      <c r="S157" s="46"/>
      <c r="T157" s="46"/>
      <c r="U157" s="98"/>
      <c r="V157" s="13"/>
      <c r="W157" s="13"/>
      <c r="X157" s="13"/>
      <c r="Y157" s="13"/>
      <c r="Z157" s="13"/>
      <c r="AA157" s="13"/>
      <c r="AB157" s="13"/>
      <c r="AC157" s="13"/>
    </row>
    <row r="158" ht="16.5" customHeight="1">
      <c r="A158" s="35">
        <v>155.0</v>
      </c>
      <c r="B158" s="36" t="s">
        <v>1172</v>
      </c>
      <c r="C158" s="37" t="s">
        <v>1173</v>
      </c>
      <c r="D158" s="38" t="s">
        <v>1174</v>
      </c>
      <c r="E158" s="38" t="s">
        <v>1175</v>
      </c>
      <c r="F158" s="38" t="s">
        <v>1176</v>
      </c>
      <c r="G158" s="48" t="s">
        <v>1177</v>
      </c>
      <c r="H158" s="49" t="s">
        <v>38</v>
      </c>
      <c r="I158" s="39" t="s">
        <v>39</v>
      </c>
      <c r="J158" s="39" t="s">
        <v>787</v>
      </c>
      <c r="K158" s="41" t="s">
        <v>800</v>
      </c>
      <c r="L158" s="39"/>
      <c r="M158" s="51" t="b">
        <v>1</v>
      </c>
      <c r="N158" s="57" t="s">
        <v>1178</v>
      </c>
      <c r="O158" s="46"/>
      <c r="P158" s="46" t="s">
        <v>1179</v>
      </c>
      <c r="Q158" s="47"/>
      <c r="R158" s="47"/>
      <c r="S158" s="46"/>
      <c r="T158" s="46"/>
      <c r="U158" s="13"/>
      <c r="V158" s="13"/>
      <c r="W158" s="13"/>
      <c r="X158" s="13"/>
      <c r="Y158" s="13"/>
      <c r="Z158" s="13"/>
      <c r="AA158" s="13"/>
      <c r="AB158" s="13"/>
      <c r="AC158" s="13"/>
    </row>
    <row r="159" ht="16.5" customHeight="1">
      <c r="A159" s="35">
        <v>156.0</v>
      </c>
      <c r="B159" s="36" t="s">
        <v>1180</v>
      </c>
      <c r="C159" s="37" t="s">
        <v>1181</v>
      </c>
      <c r="D159" s="38" t="s">
        <v>1182</v>
      </c>
      <c r="E159" s="38" t="s">
        <v>1183</v>
      </c>
      <c r="F159" s="38" t="s">
        <v>1184</v>
      </c>
      <c r="G159" s="39" t="s">
        <v>1185</v>
      </c>
      <c r="H159" s="49" t="s">
        <v>49</v>
      </c>
      <c r="I159" s="86" t="s">
        <v>39</v>
      </c>
      <c r="J159" s="39" t="s">
        <v>551</v>
      </c>
      <c r="K159" s="95" t="s">
        <v>214</v>
      </c>
      <c r="L159" s="94" t="s">
        <v>1186</v>
      </c>
      <c r="M159" s="51" t="b">
        <v>1</v>
      </c>
      <c r="N159" s="57" t="s">
        <v>1187</v>
      </c>
      <c r="O159" s="45"/>
      <c r="P159" s="46"/>
      <c r="Q159" s="47"/>
      <c r="R159" s="47"/>
      <c r="S159" s="46"/>
      <c r="T159" s="46"/>
      <c r="U159" s="13"/>
      <c r="V159" s="13"/>
      <c r="W159" s="13"/>
      <c r="X159" s="13"/>
      <c r="Y159" s="13"/>
      <c r="Z159" s="13"/>
      <c r="AA159" s="13"/>
      <c r="AB159" s="13"/>
      <c r="AC159" s="13"/>
    </row>
    <row r="160" ht="16.5" customHeight="1">
      <c r="A160" s="35">
        <v>157.0</v>
      </c>
      <c r="B160" s="36" t="s">
        <v>1188</v>
      </c>
      <c r="C160" s="37" t="s">
        <v>1189</v>
      </c>
      <c r="D160" s="38" t="s">
        <v>1190</v>
      </c>
      <c r="E160" s="38" t="s">
        <v>1191</v>
      </c>
      <c r="F160" s="38" t="s">
        <v>1192</v>
      </c>
      <c r="G160" s="39" t="s">
        <v>1193</v>
      </c>
      <c r="H160" s="49" t="s">
        <v>49</v>
      </c>
      <c r="I160" s="39" t="s">
        <v>39</v>
      </c>
      <c r="J160" s="39" t="s">
        <v>1194</v>
      </c>
      <c r="K160" s="41" t="s">
        <v>1195</v>
      </c>
      <c r="L160" s="39" t="s">
        <v>1196</v>
      </c>
      <c r="M160" s="51" t="b">
        <v>1</v>
      </c>
      <c r="N160" s="57" t="s">
        <v>1197</v>
      </c>
      <c r="O160" s="69"/>
      <c r="P160" s="46"/>
      <c r="Q160" s="47"/>
      <c r="R160" s="47"/>
      <c r="S160" s="46"/>
      <c r="T160" s="46"/>
      <c r="U160" s="13"/>
      <c r="V160" s="13"/>
      <c r="W160" s="13"/>
      <c r="X160" s="13"/>
      <c r="Y160" s="13"/>
      <c r="Z160" s="13"/>
      <c r="AA160" s="13"/>
      <c r="AB160" s="13"/>
      <c r="AC160" s="13"/>
    </row>
    <row r="161" ht="16.5" hidden="1" customHeight="1">
      <c r="A161" s="35">
        <v>158.0</v>
      </c>
      <c r="B161" s="101" t="s">
        <v>1198</v>
      </c>
      <c r="C161" s="37" t="s">
        <v>1199</v>
      </c>
      <c r="D161" s="38" t="s">
        <v>1200</v>
      </c>
      <c r="E161" s="38"/>
      <c r="F161" s="38" t="s">
        <v>1201</v>
      </c>
      <c r="G161" s="39" t="s">
        <v>231</v>
      </c>
      <c r="H161" s="49" t="s">
        <v>62</v>
      </c>
      <c r="I161" s="39" t="s">
        <v>63</v>
      </c>
      <c r="J161" s="55"/>
      <c r="K161" s="56"/>
      <c r="L161" s="55"/>
      <c r="M161" s="51" t="b">
        <v>0</v>
      </c>
      <c r="N161" s="46"/>
      <c r="O161" s="46"/>
      <c r="P161" s="46"/>
      <c r="Q161" s="47"/>
      <c r="R161" s="47"/>
      <c r="S161" s="46"/>
      <c r="T161" s="46"/>
      <c r="U161" s="13"/>
      <c r="V161" s="13"/>
      <c r="W161" s="13"/>
      <c r="X161" s="13"/>
      <c r="Y161" s="13"/>
      <c r="Z161" s="13"/>
      <c r="AA161" s="13"/>
      <c r="AB161" s="13"/>
      <c r="AC161" s="13"/>
    </row>
    <row r="162" ht="16.5" customHeight="1">
      <c r="A162" s="35">
        <v>159.0</v>
      </c>
      <c r="B162" s="36" t="s">
        <v>1202</v>
      </c>
      <c r="C162" s="37" t="s">
        <v>1203</v>
      </c>
      <c r="D162" s="38" t="s">
        <v>1204</v>
      </c>
      <c r="E162" s="38"/>
      <c r="F162" s="38" t="s">
        <v>461</v>
      </c>
      <c r="G162" s="48" t="s">
        <v>807</v>
      </c>
      <c r="H162" s="49" t="s">
        <v>49</v>
      </c>
      <c r="I162" s="39" t="s">
        <v>39</v>
      </c>
      <c r="J162" s="91" t="s">
        <v>462</v>
      </c>
      <c r="K162" s="92" t="s">
        <v>463</v>
      </c>
      <c r="L162" s="93" t="s">
        <v>464</v>
      </c>
      <c r="M162" s="51" t="b">
        <v>1</v>
      </c>
      <c r="N162" s="57" t="s">
        <v>465</v>
      </c>
      <c r="O162" s="45" t="s">
        <v>1205</v>
      </c>
      <c r="P162" s="46"/>
      <c r="Q162" s="47"/>
      <c r="R162" s="47"/>
      <c r="S162" s="46"/>
      <c r="T162" s="46"/>
      <c r="U162" s="13"/>
      <c r="V162" s="13"/>
      <c r="W162" s="13"/>
      <c r="X162" s="13"/>
      <c r="Y162" s="13"/>
      <c r="Z162" s="13"/>
      <c r="AA162" s="13"/>
      <c r="AB162" s="13"/>
      <c r="AC162" s="13"/>
    </row>
    <row r="163" ht="16.5" customHeight="1">
      <c r="A163" s="35">
        <v>160.0</v>
      </c>
      <c r="B163" s="36" t="s">
        <v>1206</v>
      </c>
      <c r="C163" s="37" t="s">
        <v>1207</v>
      </c>
      <c r="D163" s="38" t="s">
        <v>1208</v>
      </c>
      <c r="E163" s="38" t="s">
        <v>1209</v>
      </c>
      <c r="F163" s="38" t="s">
        <v>196</v>
      </c>
      <c r="G163" s="39" t="s">
        <v>1210</v>
      </c>
      <c r="H163" s="49" t="s">
        <v>49</v>
      </c>
      <c r="I163" s="39" t="s">
        <v>39</v>
      </c>
      <c r="J163" s="39" t="s">
        <v>422</v>
      </c>
      <c r="K163" s="41" t="s">
        <v>1211</v>
      </c>
      <c r="L163" s="39" t="s">
        <v>1212</v>
      </c>
      <c r="M163" s="51" t="b">
        <v>1</v>
      </c>
      <c r="N163" s="87" t="s">
        <v>292</v>
      </c>
      <c r="O163" s="45" t="s">
        <v>1213</v>
      </c>
      <c r="P163" s="46"/>
      <c r="Q163" s="47"/>
      <c r="R163" s="47"/>
      <c r="S163" s="46"/>
      <c r="T163" s="46"/>
      <c r="U163" s="13"/>
      <c r="V163" s="13"/>
      <c r="W163" s="13"/>
      <c r="X163" s="13"/>
      <c r="Y163" s="13"/>
      <c r="Z163" s="13"/>
      <c r="AA163" s="13"/>
      <c r="AB163" s="13"/>
      <c r="AC163" s="13"/>
    </row>
    <row r="164" ht="409.5" hidden="1" customHeight="1">
      <c r="A164" s="35">
        <v>161.0</v>
      </c>
      <c r="B164" s="36" t="s">
        <v>1214</v>
      </c>
      <c r="C164" s="37" t="s">
        <v>1215</v>
      </c>
      <c r="D164" s="38" t="s">
        <v>1216</v>
      </c>
      <c r="E164" s="38"/>
      <c r="F164" s="38" t="s">
        <v>1217</v>
      </c>
      <c r="G164" s="39" t="s">
        <v>231</v>
      </c>
      <c r="H164" s="49" t="s">
        <v>62</v>
      </c>
      <c r="I164" s="39" t="s">
        <v>63</v>
      </c>
      <c r="J164" s="55"/>
      <c r="K164" s="56"/>
      <c r="L164" s="55"/>
      <c r="M164" s="51" t="b">
        <v>0</v>
      </c>
      <c r="N164" s="46"/>
      <c r="O164" s="46"/>
      <c r="P164" s="46"/>
      <c r="Q164" s="47"/>
      <c r="R164" s="47"/>
      <c r="S164" s="46"/>
      <c r="T164" s="46"/>
      <c r="U164" s="13"/>
      <c r="V164" s="13"/>
      <c r="W164" s="13"/>
      <c r="X164" s="13"/>
      <c r="Y164" s="13"/>
      <c r="Z164" s="13"/>
      <c r="AA164" s="13"/>
      <c r="AB164" s="13"/>
      <c r="AC164" s="13"/>
    </row>
    <row r="165" ht="16.5" customHeight="1">
      <c r="A165" s="35">
        <v>162.0</v>
      </c>
      <c r="B165" s="36" t="s">
        <v>1218</v>
      </c>
      <c r="C165" s="37" t="s">
        <v>1219</v>
      </c>
      <c r="D165" s="38" t="s">
        <v>1220</v>
      </c>
      <c r="E165" s="38" t="s">
        <v>683</v>
      </c>
      <c r="F165" s="38" t="s">
        <v>1221</v>
      </c>
      <c r="G165" s="39" t="s">
        <v>1222</v>
      </c>
      <c r="H165" s="49" t="s">
        <v>49</v>
      </c>
      <c r="I165" s="86" t="s">
        <v>39</v>
      </c>
      <c r="J165" s="39" t="s">
        <v>551</v>
      </c>
      <c r="K165" s="95" t="s">
        <v>1006</v>
      </c>
      <c r="L165" s="94" t="s">
        <v>1007</v>
      </c>
      <c r="M165" s="51" t="b">
        <v>1</v>
      </c>
      <c r="N165" s="57" t="s">
        <v>687</v>
      </c>
      <c r="O165" s="45" t="s">
        <v>1223</v>
      </c>
      <c r="P165" s="46"/>
      <c r="Q165" s="47"/>
      <c r="R165" s="47"/>
      <c r="S165" s="46"/>
      <c r="T165" s="46"/>
      <c r="U165" s="13"/>
      <c r="V165" s="13"/>
      <c r="W165" s="13"/>
      <c r="X165" s="13"/>
      <c r="Y165" s="13"/>
      <c r="Z165" s="13"/>
      <c r="AA165" s="13"/>
      <c r="AB165" s="13"/>
      <c r="AC165" s="13"/>
    </row>
    <row r="166" ht="16.5" customHeight="1">
      <c r="A166" s="35">
        <v>163.0</v>
      </c>
      <c r="B166" s="74" t="s">
        <v>1224</v>
      </c>
      <c r="C166" s="37" t="s">
        <v>1225</v>
      </c>
      <c r="D166" s="38" t="s">
        <v>1226</v>
      </c>
      <c r="E166" s="38" t="s">
        <v>1227</v>
      </c>
      <c r="F166" s="38" t="s">
        <v>1228</v>
      </c>
      <c r="G166" s="39" t="s">
        <v>1229</v>
      </c>
      <c r="H166" s="49" t="s">
        <v>49</v>
      </c>
      <c r="I166" s="39" t="s">
        <v>39</v>
      </c>
      <c r="J166" s="66" t="s">
        <v>151</v>
      </c>
      <c r="K166" s="107" t="s">
        <v>641</v>
      </c>
      <c r="L166" s="116" t="s">
        <v>1230</v>
      </c>
      <c r="M166" s="51" t="b">
        <v>1</v>
      </c>
      <c r="N166" s="61" t="s">
        <v>292</v>
      </c>
      <c r="O166" s="64" t="s">
        <v>1231</v>
      </c>
      <c r="P166" s="35" t="s">
        <v>1232</v>
      </c>
      <c r="Q166" s="35" t="s">
        <v>1233</v>
      </c>
      <c r="R166" s="47"/>
      <c r="S166" s="46"/>
      <c r="T166" s="46"/>
      <c r="U166" s="13"/>
      <c r="V166" s="13"/>
      <c r="W166" s="13"/>
      <c r="X166" s="13"/>
      <c r="Y166" s="13"/>
      <c r="Z166" s="13"/>
      <c r="AA166" s="13"/>
      <c r="AB166" s="13"/>
      <c r="AC166" s="13"/>
    </row>
    <row r="167" ht="16.5" customHeight="1">
      <c r="A167" s="35">
        <v>164.0</v>
      </c>
      <c r="B167" s="36" t="s">
        <v>1234</v>
      </c>
      <c r="C167" s="37" t="s">
        <v>1235</v>
      </c>
      <c r="D167" s="38" t="s">
        <v>1236</v>
      </c>
      <c r="E167" s="38" t="s">
        <v>1237</v>
      </c>
      <c r="F167" s="38" t="s">
        <v>1238</v>
      </c>
      <c r="G167" s="39" t="s">
        <v>1239</v>
      </c>
      <c r="H167" s="49" t="s">
        <v>49</v>
      </c>
      <c r="I167" s="39" t="s">
        <v>39</v>
      </c>
      <c r="J167" s="39" t="s">
        <v>916</v>
      </c>
      <c r="K167" s="41" t="s">
        <v>1240</v>
      </c>
      <c r="L167" s="39" t="s">
        <v>1241</v>
      </c>
      <c r="M167" s="51" t="b">
        <v>0</v>
      </c>
      <c r="N167" s="44" t="s">
        <v>1242</v>
      </c>
      <c r="O167" s="96" t="s">
        <v>1243</v>
      </c>
      <c r="P167" s="97" t="s">
        <v>1244</v>
      </c>
      <c r="Q167" s="47"/>
      <c r="R167" s="47"/>
      <c r="S167" s="46"/>
      <c r="T167" s="46"/>
      <c r="U167" s="13"/>
      <c r="V167" s="13"/>
      <c r="W167" s="13"/>
      <c r="X167" s="13"/>
      <c r="Y167" s="13"/>
      <c r="Z167" s="13"/>
      <c r="AA167" s="13"/>
      <c r="AB167" s="13"/>
      <c r="AC167" s="13"/>
    </row>
    <row r="168" ht="409.5" customHeight="1">
      <c r="A168" s="35">
        <v>165.0</v>
      </c>
      <c r="B168" s="36" t="s">
        <v>1245</v>
      </c>
      <c r="C168" s="37" t="s">
        <v>1246</v>
      </c>
      <c r="D168" s="38" t="s">
        <v>1247</v>
      </c>
      <c r="E168" s="38" t="s">
        <v>1248</v>
      </c>
      <c r="F168" s="38" t="s">
        <v>1249</v>
      </c>
      <c r="G168" s="39" t="s">
        <v>1250</v>
      </c>
      <c r="H168" s="49" t="s">
        <v>49</v>
      </c>
      <c r="I168" s="39" t="s">
        <v>39</v>
      </c>
      <c r="J168" s="39" t="s">
        <v>1251</v>
      </c>
      <c r="K168" s="41" t="s">
        <v>1252</v>
      </c>
      <c r="L168" s="39" t="s">
        <v>1253</v>
      </c>
      <c r="M168" s="51" t="b">
        <v>1</v>
      </c>
      <c r="N168" s="57" t="s">
        <v>1254</v>
      </c>
      <c r="O168" s="69"/>
      <c r="P168" s="46"/>
      <c r="Q168" s="47"/>
      <c r="R168" s="47"/>
      <c r="S168" s="46"/>
      <c r="T168" s="46"/>
      <c r="U168" s="13"/>
      <c r="V168" s="13"/>
      <c r="W168" s="13"/>
      <c r="X168" s="13"/>
      <c r="Y168" s="13"/>
      <c r="Z168" s="13"/>
      <c r="AA168" s="13"/>
      <c r="AB168" s="13"/>
      <c r="AC168" s="13"/>
    </row>
    <row r="169" ht="342.0" hidden="1" customHeight="1">
      <c r="A169" s="35">
        <v>166.0</v>
      </c>
      <c r="B169" s="36" t="s">
        <v>1255</v>
      </c>
      <c r="C169" s="37" t="s">
        <v>1256</v>
      </c>
      <c r="D169" s="38" t="s">
        <v>1257</v>
      </c>
      <c r="E169" s="38" t="s">
        <v>1258</v>
      </c>
      <c r="F169" s="38" t="s">
        <v>1259</v>
      </c>
      <c r="G169" s="39" t="s">
        <v>231</v>
      </c>
      <c r="H169" s="49" t="s">
        <v>62</v>
      </c>
      <c r="I169" s="39" t="s">
        <v>63</v>
      </c>
      <c r="J169" s="55"/>
      <c r="K169" s="56"/>
      <c r="L169" s="55"/>
      <c r="M169" s="51" t="b">
        <v>0</v>
      </c>
      <c r="N169" s="46"/>
      <c r="O169" s="46"/>
      <c r="P169" s="46"/>
      <c r="Q169" s="47"/>
      <c r="R169" s="47"/>
      <c r="S169" s="46"/>
      <c r="T169" s="46"/>
      <c r="U169" s="13"/>
      <c r="V169" s="13"/>
      <c r="W169" s="13"/>
      <c r="X169" s="13"/>
      <c r="Y169" s="13"/>
      <c r="Z169" s="13"/>
      <c r="AA169" s="13"/>
      <c r="AB169" s="13"/>
      <c r="AC169" s="13"/>
    </row>
    <row r="170" ht="409.5" hidden="1" customHeight="1">
      <c r="A170" s="35">
        <v>167.0</v>
      </c>
      <c r="B170" s="101" t="s">
        <v>1260</v>
      </c>
      <c r="C170" s="37" t="s">
        <v>1261</v>
      </c>
      <c r="D170" s="38" t="s">
        <v>1262</v>
      </c>
      <c r="E170" s="38"/>
      <c r="F170" s="38" t="s">
        <v>1263</v>
      </c>
      <c r="G170" s="39" t="s">
        <v>231</v>
      </c>
      <c r="H170" s="49" t="s">
        <v>62</v>
      </c>
      <c r="I170" s="39" t="s">
        <v>63</v>
      </c>
      <c r="J170" s="55"/>
      <c r="K170" s="56"/>
      <c r="L170" s="55"/>
      <c r="M170" s="51" t="b">
        <v>0</v>
      </c>
      <c r="N170" s="46"/>
      <c r="O170" s="46"/>
      <c r="P170" s="46"/>
      <c r="Q170" s="47"/>
      <c r="R170" s="47"/>
      <c r="S170" s="46"/>
      <c r="T170" s="46"/>
      <c r="U170" s="13"/>
      <c r="V170" s="13"/>
      <c r="W170" s="13"/>
      <c r="X170" s="13"/>
      <c r="Y170" s="13"/>
      <c r="Z170" s="13"/>
      <c r="AA170" s="13"/>
      <c r="AB170" s="13"/>
      <c r="AC170" s="13"/>
    </row>
    <row r="171" ht="16.5" customHeight="1">
      <c r="A171" s="35">
        <v>168.0</v>
      </c>
      <c r="B171" s="36" t="s">
        <v>1264</v>
      </c>
      <c r="C171" s="37" t="s">
        <v>1265</v>
      </c>
      <c r="D171" s="38" t="s">
        <v>1266</v>
      </c>
      <c r="E171" s="38" t="s">
        <v>1267</v>
      </c>
      <c r="F171" s="38" t="s">
        <v>1268</v>
      </c>
      <c r="G171" s="39" t="s">
        <v>491</v>
      </c>
      <c r="H171" s="49" t="s">
        <v>49</v>
      </c>
      <c r="I171" s="94" t="s">
        <v>39</v>
      </c>
      <c r="J171" s="39" t="s">
        <v>492</v>
      </c>
      <c r="K171" s="41" t="s">
        <v>409</v>
      </c>
      <c r="L171" s="39" t="s">
        <v>493</v>
      </c>
      <c r="M171" s="51" t="b">
        <v>1</v>
      </c>
      <c r="N171" s="68" t="s">
        <v>494</v>
      </c>
      <c r="O171" s="45" t="s">
        <v>495</v>
      </c>
      <c r="P171" s="46"/>
      <c r="Q171" s="47"/>
      <c r="R171" s="47"/>
      <c r="S171" s="46"/>
      <c r="T171" s="46"/>
      <c r="U171" s="13"/>
      <c r="V171" s="13"/>
      <c r="W171" s="13"/>
      <c r="X171" s="13"/>
      <c r="Y171" s="13"/>
      <c r="Z171" s="13"/>
      <c r="AA171" s="13"/>
      <c r="AB171" s="13"/>
      <c r="AC171" s="13"/>
    </row>
    <row r="172" ht="16.5" hidden="1" customHeight="1">
      <c r="A172" s="35">
        <v>169.0</v>
      </c>
      <c r="B172" s="101" t="s">
        <v>1269</v>
      </c>
      <c r="C172" s="37" t="s">
        <v>1270</v>
      </c>
      <c r="D172" s="38" t="s">
        <v>1271</v>
      </c>
      <c r="E172" s="38"/>
      <c r="F172" s="38" t="s">
        <v>1272</v>
      </c>
      <c r="G172" s="39" t="s">
        <v>231</v>
      </c>
      <c r="H172" s="49" t="s">
        <v>62</v>
      </c>
      <c r="I172" s="39" t="s">
        <v>63</v>
      </c>
      <c r="J172" s="55"/>
      <c r="K172" s="56"/>
      <c r="L172" s="55"/>
      <c r="M172" s="51" t="b">
        <v>0</v>
      </c>
      <c r="N172" s="46"/>
      <c r="O172" s="46"/>
      <c r="P172" s="46"/>
      <c r="Q172" s="47"/>
      <c r="R172" s="47"/>
      <c r="S172" s="46"/>
      <c r="T172" s="46"/>
      <c r="U172" s="13"/>
      <c r="V172" s="13"/>
      <c r="W172" s="13"/>
      <c r="X172" s="13"/>
      <c r="Y172" s="13"/>
      <c r="Z172" s="13"/>
      <c r="AA172" s="13"/>
      <c r="AB172" s="13"/>
      <c r="AC172" s="13"/>
    </row>
    <row r="173" ht="16.5" customHeight="1">
      <c r="A173" s="35">
        <v>170.0</v>
      </c>
      <c r="B173" s="36" t="s">
        <v>1273</v>
      </c>
      <c r="C173" s="37" t="s">
        <v>1274</v>
      </c>
      <c r="D173" s="38" t="s">
        <v>1275</v>
      </c>
      <c r="E173" s="38"/>
      <c r="F173" s="38" t="s">
        <v>1276</v>
      </c>
      <c r="G173" s="39" t="s">
        <v>1277</v>
      </c>
      <c r="H173" s="49" t="s">
        <v>49</v>
      </c>
      <c r="I173" s="39" t="s">
        <v>39</v>
      </c>
      <c r="J173" s="39" t="s">
        <v>471</v>
      </c>
      <c r="K173" s="41" t="s">
        <v>1126</v>
      </c>
      <c r="L173" s="39" t="s">
        <v>1278</v>
      </c>
      <c r="M173" s="51" t="b">
        <v>1</v>
      </c>
      <c r="N173" s="57" t="s">
        <v>1279</v>
      </c>
      <c r="O173" s="45" t="s">
        <v>1280</v>
      </c>
      <c r="P173" s="46"/>
      <c r="Q173" s="47"/>
      <c r="R173" s="47"/>
      <c r="S173" s="46"/>
      <c r="T173" s="46"/>
      <c r="U173" s="117"/>
      <c r="V173" s="13"/>
      <c r="W173" s="13"/>
      <c r="X173" s="13"/>
      <c r="Y173" s="13"/>
      <c r="Z173" s="13"/>
      <c r="AA173" s="13"/>
      <c r="AB173" s="13"/>
      <c r="AC173" s="13"/>
    </row>
    <row r="174" ht="16.5" hidden="1" customHeight="1">
      <c r="A174" s="35">
        <v>171.0</v>
      </c>
      <c r="B174" s="36" t="s">
        <v>1281</v>
      </c>
      <c r="C174" s="37" t="s">
        <v>1282</v>
      </c>
      <c r="D174" s="38" t="s">
        <v>1283</v>
      </c>
      <c r="E174" s="38"/>
      <c r="F174" s="38" t="s">
        <v>1284</v>
      </c>
      <c r="G174" s="39" t="s">
        <v>231</v>
      </c>
      <c r="H174" s="49" t="s">
        <v>62</v>
      </c>
      <c r="I174" s="39" t="s">
        <v>63</v>
      </c>
      <c r="J174" s="55"/>
      <c r="K174" s="56"/>
      <c r="L174" s="55"/>
      <c r="M174" s="51" t="b">
        <v>0</v>
      </c>
      <c r="N174" s="46"/>
      <c r="O174" s="46"/>
      <c r="P174" s="46"/>
      <c r="Q174" s="47"/>
      <c r="R174" s="47"/>
      <c r="S174" s="46"/>
      <c r="T174" s="46"/>
      <c r="U174" s="13"/>
      <c r="V174" s="13"/>
      <c r="W174" s="13"/>
      <c r="X174" s="13"/>
      <c r="Y174" s="13"/>
      <c r="Z174" s="13"/>
      <c r="AA174" s="13"/>
      <c r="AB174" s="13"/>
      <c r="AC174" s="13"/>
    </row>
    <row r="175" ht="16.5" customHeight="1">
      <c r="A175" s="35">
        <v>172.0</v>
      </c>
      <c r="B175" s="36" t="s">
        <v>1285</v>
      </c>
      <c r="C175" s="37" t="s">
        <v>1286</v>
      </c>
      <c r="D175" s="38" t="s">
        <v>1287</v>
      </c>
      <c r="E175" s="38" t="s">
        <v>1288</v>
      </c>
      <c r="F175" s="38" t="s">
        <v>1289</v>
      </c>
      <c r="G175" s="48" t="s">
        <v>1290</v>
      </c>
      <c r="H175" s="49" t="s">
        <v>49</v>
      </c>
      <c r="I175" s="39" t="s">
        <v>39</v>
      </c>
      <c r="J175" s="39" t="s">
        <v>1034</v>
      </c>
      <c r="K175" s="41" t="s">
        <v>1035</v>
      </c>
      <c r="L175" s="42" t="s">
        <v>1291</v>
      </c>
      <c r="M175" s="51" t="b">
        <v>0</v>
      </c>
      <c r="N175" s="68" t="s">
        <v>1292</v>
      </c>
      <c r="O175" s="45" t="s">
        <v>1037</v>
      </c>
      <c r="P175" s="97" t="s">
        <v>1293</v>
      </c>
      <c r="Q175" s="47"/>
      <c r="R175" s="47"/>
      <c r="S175" s="46"/>
      <c r="T175" s="46"/>
      <c r="U175" s="13"/>
      <c r="V175" s="13"/>
      <c r="W175" s="13"/>
      <c r="X175" s="13"/>
      <c r="Y175" s="13"/>
      <c r="Z175" s="13"/>
      <c r="AA175" s="13"/>
      <c r="AB175" s="13"/>
      <c r="AC175" s="13"/>
    </row>
    <row r="176" ht="16.5" hidden="1" customHeight="1">
      <c r="A176" s="35">
        <v>173.0</v>
      </c>
      <c r="B176" s="101" t="s">
        <v>1294</v>
      </c>
      <c r="C176" s="37" t="s">
        <v>1295</v>
      </c>
      <c r="D176" s="38" t="s">
        <v>1296</v>
      </c>
      <c r="E176" s="38"/>
      <c r="F176" s="38" t="s">
        <v>1297</v>
      </c>
      <c r="G176" s="39" t="s">
        <v>231</v>
      </c>
      <c r="H176" s="49" t="s">
        <v>62</v>
      </c>
      <c r="I176" s="39" t="s">
        <v>63</v>
      </c>
      <c r="J176" s="55"/>
      <c r="K176" s="56"/>
      <c r="L176" s="55"/>
      <c r="M176" s="51" t="b">
        <v>0</v>
      </c>
      <c r="N176" s="46"/>
      <c r="O176" s="46"/>
      <c r="P176" s="46"/>
      <c r="Q176" s="47"/>
      <c r="R176" s="47"/>
      <c r="S176" s="46"/>
      <c r="T176" s="46"/>
      <c r="U176" s="13"/>
      <c r="V176" s="13"/>
      <c r="W176" s="13"/>
      <c r="X176" s="13"/>
      <c r="Y176" s="13"/>
      <c r="Z176" s="13"/>
      <c r="AA176" s="13"/>
      <c r="AB176" s="13"/>
      <c r="AC176" s="13"/>
    </row>
    <row r="177" ht="342.0" customHeight="1">
      <c r="A177" s="35">
        <v>174.0</v>
      </c>
      <c r="B177" s="36" t="s">
        <v>1298</v>
      </c>
      <c r="C177" s="37" t="s">
        <v>1299</v>
      </c>
      <c r="D177" s="38" t="s">
        <v>1300</v>
      </c>
      <c r="E177" s="38"/>
      <c r="F177" s="38" t="s">
        <v>461</v>
      </c>
      <c r="G177" s="39" t="s">
        <v>807</v>
      </c>
      <c r="H177" s="49" t="s">
        <v>49</v>
      </c>
      <c r="I177" s="39" t="s">
        <v>39</v>
      </c>
      <c r="J177" s="91" t="s">
        <v>1301</v>
      </c>
      <c r="K177" s="92" t="s">
        <v>463</v>
      </c>
      <c r="L177" s="93" t="s">
        <v>464</v>
      </c>
      <c r="M177" s="51" t="b">
        <v>1</v>
      </c>
      <c r="N177" s="57" t="s">
        <v>465</v>
      </c>
      <c r="O177" s="45" t="s">
        <v>1302</v>
      </c>
      <c r="P177" s="46"/>
      <c r="Q177" s="47"/>
      <c r="R177" s="47"/>
      <c r="S177" s="46"/>
      <c r="T177" s="46"/>
      <c r="U177" s="13"/>
      <c r="V177" s="13"/>
      <c r="W177" s="13"/>
      <c r="X177" s="13"/>
      <c r="Y177" s="13"/>
      <c r="Z177" s="13"/>
      <c r="AA177" s="13"/>
      <c r="AB177" s="13"/>
      <c r="AC177" s="13"/>
    </row>
    <row r="178" ht="16.5" customHeight="1">
      <c r="A178" s="35">
        <v>175.0</v>
      </c>
      <c r="B178" s="36" t="s">
        <v>1303</v>
      </c>
      <c r="C178" s="37" t="s">
        <v>1304</v>
      </c>
      <c r="D178" s="38" t="s">
        <v>1305</v>
      </c>
      <c r="E178" s="38" t="s">
        <v>1306</v>
      </c>
      <c r="F178" s="38" t="s">
        <v>1307</v>
      </c>
      <c r="G178" s="39" t="s">
        <v>1308</v>
      </c>
      <c r="H178" s="49" t="s">
        <v>49</v>
      </c>
      <c r="I178" s="39" t="s">
        <v>39</v>
      </c>
      <c r="J178" s="39" t="s">
        <v>916</v>
      </c>
      <c r="K178" s="41" t="s">
        <v>1240</v>
      </c>
      <c r="L178" s="39" t="s">
        <v>1241</v>
      </c>
      <c r="M178" s="51" t="b">
        <v>1</v>
      </c>
      <c r="N178" s="68" t="s">
        <v>1309</v>
      </c>
      <c r="O178" s="96" t="s">
        <v>1310</v>
      </c>
      <c r="P178" s="97" t="s">
        <v>1244</v>
      </c>
      <c r="Q178" s="47"/>
      <c r="R178" s="47"/>
      <c r="S178" s="46"/>
      <c r="T178" s="46"/>
      <c r="U178" s="13"/>
      <c r="V178" s="13"/>
      <c r="W178" s="13"/>
      <c r="X178" s="13"/>
      <c r="Y178" s="13"/>
      <c r="Z178" s="13"/>
      <c r="AA178" s="13"/>
      <c r="AB178" s="13"/>
      <c r="AC178" s="13"/>
    </row>
    <row r="179" ht="16.5" hidden="1" customHeight="1">
      <c r="A179" s="35">
        <v>176.0</v>
      </c>
      <c r="B179" s="36" t="s">
        <v>1311</v>
      </c>
      <c r="C179" s="37" t="s">
        <v>1312</v>
      </c>
      <c r="D179" s="38" t="s">
        <v>1313</v>
      </c>
      <c r="E179" s="38"/>
      <c r="F179" s="38" t="s">
        <v>1314</v>
      </c>
      <c r="G179" s="39" t="s">
        <v>231</v>
      </c>
      <c r="H179" s="49" t="s">
        <v>62</v>
      </c>
      <c r="I179" s="39" t="s">
        <v>63</v>
      </c>
      <c r="J179" s="55"/>
      <c r="K179" s="56"/>
      <c r="L179" s="55"/>
      <c r="M179" s="51" t="b">
        <v>0</v>
      </c>
      <c r="N179" s="46"/>
      <c r="O179" s="46"/>
      <c r="P179" s="46"/>
      <c r="Q179" s="47"/>
      <c r="R179" s="47"/>
      <c r="S179" s="46"/>
      <c r="T179" s="46"/>
      <c r="U179" s="13"/>
      <c r="V179" s="13"/>
      <c r="W179" s="13"/>
      <c r="X179" s="13"/>
      <c r="Y179" s="13"/>
      <c r="Z179" s="13"/>
      <c r="AA179" s="13"/>
      <c r="AB179" s="13"/>
      <c r="AC179" s="13"/>
    </row>
    <row r="180" ht="16.5" hidden="1" customHeight="1">
      <c r="A180" s="35">
        <v>177.0</v>
      </c>
      <c r="B180" s="101" t="s">
        <v>1315</v>
      </c>
      <c r="C180" s="37" t="s">
        <v>1316</v>
      </c>
      <c r="D180" s="38" t="s">
        <v>1317</v>
      </c>
      <c r="E180" s="38"/>
      <c r="F180" s="38" t="s">
        <v>1272</v>
      </c>
      <c r="G180" s="39" t="s">
        <v>231</v>
      </c>
      <c r="H180" s="49" t="s">
        <v>62</v>
      </c>
      <c r="I180" s="39" t="s">
        <v>63</v>
      </c>
      <c r="J180" s="55"/>
      <c r="K180" s="56"/>
      <c r="L180" s="55"/>
      <c r="M180" s="51" t="b">
        <v>0</v>
      </c>
      <c r="N180" s="46"/>
      <c r="O180" s="46"/>
      <c r="P180" s="46"/>
      <c r="Q180" s="47"/>
      <c r="R180" s="47"/>
      <c r="S180" s="46"/>
      <c r="T180" s="46"/>
      <c r="U180" s="13"/>
      <c r="V180" s="13"/>
      <c r="W180" s="13"/>
      <c r="X180" s="13"/>
      <c r="Y180" s="13"/>
      <c r="Z180" s="13"/>
      <c r="AA180" s="13"/>
      <c r="AB180" s="13"/>
      <c r="AC180" s="13"/>
    </row>
    <row r="181" ht="16.5" customHeight="1">
      <c r="A181" s="35">
        <v>178.0</v>
      </c>
      <c r="B181" s="36" t="s">
        <v>1318</v>
      </c>
      <c r="C181" s="37" t="s">
        <v>1319</v>
      </c>
      <c r="D181" s="38" t="s">
        <v>1320</v>
      </c>
      <c r="E181" s="38"/>
      <c r="F181" s="38" t="s">
        <v>1321</v>
      </c>
      <c r="G181" s="39" t="s">
        <v>1277</v>
      </c>
      <c r="H181" s="49" t="s">
        <v>49</v>
      </c>
      <c r="I181" s="39" t="s">
        <v>39</v>
      </c>
      <c r="J181" s="39" t="s">
        <v>471</v>
      </c>
      <c r="K181" s="41" t="s">
        <v>1126</v>
      </c>
      <c r="L181" s="39" t="s">
        <v>1278</v>
      </c>
      <c r="M181" s="51" t="b">
        <v>1</v>
      </c>
      <c r="N181" s="57" t="s">
        <v>1279</v>
      </c>
      <c r="O181" s="45" t="s">
        <v>1280</v>
      </c>
      <c r="P181" s="46"/>
      <c r="Q181" s="47"/>
      <c r="R181" s="47"/>
      <c r="S181" s="46"/>
      <c r="T181" s="46"/>
      <c r="U181" s="13"/>
      <c r="V181" s="13"/>
      <c r="W181" s="13"/>
      <c r="X181" s="13"/>
      <c r="Y181" s="13"/>
      <c r="Z181" s="13"/>
      <c r="AA181" s="13"/>
      <c r="AB181" s="13"/>
      <c r="AC181" s="13"/>
    </row>
    <row r="182" ht="16.5" customHeight="1">
      <c r="A182" s="35">
        <v>179.0</v>
      </c>
      <c r="B182" s="36" t="s">
        <v>1322</v>
      </c>
      <c r="C182" s="37" t="s">
        <v>1323</v>
      </c>
      <c r="D182" s="38" t="s">
        <v>1324</v>
      </c>
      <c r="E182" s="38"/>
      <c r="F182" s="38" t="s">
        <v>1325</v>
      </c>
      <c r="G182" s="39" t="s">
        <v>1326</v>
      </c>
      <c r="H182" s="49" t="s">
        <v>49</v>
      </c>
      <c r="I182" s="39" t="s">
        <v>39</v>
      </c>
      <c r="J182" s="39" t="s">
        <v>1327</v>
      </c>
      <c r="K182" s="41" t="s">
        <v>1150</v>
      </c>
      <c r="L182" s="39" t="s">
        <v>1328</v>
      </c>
      <c r="M182" s="51" t="b">
        <v>1</v>
      </c>
      <c r="N182" s="87" t="s">
        <v>292</v>
      </c>
      <c r="O182" s="69"/>
      <c r="P182" s="46"/>
      <c r="Q182" s="47"/>
      <c r="R182" s="47"/>
      <c r="S182" s="46"/>
      <c r="T182" s="46"/>
      <c r="U182" s="13"/>
      <c r="V182" s="13"/>
      <c r="W182" s="13"/>
      <c r="X182" s="13"/>
      <c r="Y182" s="13"/>
      <c r="Z182" s="13"/>
      <c r="AA182" s="13"/>
      <c r="AB182" s="13"/>
      <c r="AC182" s="13"/>
    </row>
    <row r="183" ht="16.5" customHeight="1">
      <c r="A183" s="35">
        <v>180.0</v>
      </c>
      <c r="B183" s="36" t="s">
        <v>1329</v>
      </c>
      <c r="C183" s="37" t="s">
        <v>1330</v>
      </c>
      <c r="D183" s="38" t="s">
        <v>1331</v>
      </c>
      <c r="E183" s="38" t="s">
        <v>1332</v>
      </c>
      <c r="F183" s="38" t="s">
        <v>1333</v>
      </c>
      <c r="G183" s="39" t="s">
        <v>1334</v>
      </c>
      <c r="H183" s="49" t="s">
        <v>49</v>
      </c>
      <c r="I183" s="39" t="s">
        <v>39</v>
      </c>
      <c r="J183" s="64" t="s">
        <v>1335</v>
      </c>
      <c r="K183" s="41" t="s">
        <v>1336</v>
      </c>
      <c r="L183" s="106" t="s">
        <v>1337</v>
      </c>
      <c r="M183" s="51" t="b">
        <v>0</v>
      </c>
      <c r="N183" s="118"/>
      <c r="O183" s="118"/>
      <c r="P183" s="118" t="s">
        <v>1338</v>
      </c>
      <c r="Q183" s="118" t="s">
        <v>1339</v>
      </c>
      <c r="R183" s="47"/>
      <c r="S183" s="46"/>
      <c r="T183" s="46"/>
      <c r="U183" s="13"/>
      <c r="V183" s="13"/>
      <c r="W183" s="13"/>
      <c r="X183" s="13"/>
      <c r="Y183" s="13"/>
      <c r="Z183" s="13"/>
      <c r="AA183" s="13"/>
      <c r="AB183" s="13"/>
      <c r="AC183" s="13"/>
    </row>
    <row r="184" ht="16.5" customHeight="1">
      <c r="A184" s="35">
        <v>181.0</v>
      </c>
      <c r="B184" s="36" t="s">
        <v>1340</v>
      </c>
      <c r="C184" s="37" t="s">
        <v>1341</v>
      </c>
      <c r="D184" s="38" t="s">
        <v>1342</v>
      </c>
      <c r="E184" s="38" t="s">
        <v>1343</v>
      </c>
      <c r="F184" s="38" t="s">
        <v>1344</v>
      </c>
      <c r="G184" s="39" t="s">
        <v>1345</v>
      </c>
      <c r="H184" s="49" t="s">
        <v>49</v>
      </c>
      <c r="I184" s="39" t="s">
        <v>39</v>
      </c>
      <c r="J184" s="59" t="s">
        <v>694</v>
      </c>
      <c r="K184" s="67" t="s">
        <v>695</v>
      </c>
      <c r="L184" s="59" t="s">
        <v>696</v>
      </c>
      <c r="M184" s="51" t="b">
        <v>1</v>
      </c>
      <c r="N184" s="57" t="s">
        <v>697</v>
      </c>
      <c r="O184" s="45" t="s">
        <v>698</v>
      </c>
      <c r="P184" s="46"/>
      <c r="Q184" s="47"/>
      <c r="R184" s="47"/>
      <c r="S184" s="46"/>
      <c r="T184" s="46"/>
      <c r="U184" s="13"/>
      <c r="V184" s="13"/>
      <c r="W184" s="13"/>
      <c r="X184" s="13"/>
      <c r="Y184" s="13"/>
      <c r="Z184" s="13"/>
      <c r="AA184" s="13"/>
      <c r="AB184" s="13"/>
      <c r="AC184" s="13"/>
    </row>
    <row r="185" ht="16.5" hidden="1" customHeight="1">
      <c r="A185" s="35">
        <v>182.0</v>
      </c>
      <c r="B185" s="36" t="s">
        <v>1346</v>
      </c>
      <c r="C185" s="37" t="s">
        <v>1347</v>
      </c>
      <c r="D185" s="38" t="s">
        <v>1348</v>
      </c>
      <c r="E185" s="38"/>
      <c r="F185" s="38" t="s">
        <v>1325</v>
      </c>
      <c r="G185" s="39" t="s">
        <v>231</v>
      </c>
      <c r="H185" s="49" t="s">
        <v>62</v>
      </c>
      <c r="I185" s="39" t="s">
        <v>63</v>
      </c>
      <c r="J185" s="55"/>
      <c r="K185" s="56"/>
      <c r="L185" s="55"/>
      <c r="M185" s="51" t="b">
        <v>0</v>
      </c>
      <c r="N185" s="46"/>
      <c r="O185" s="46"/>
      <c r="P185" s="46"/>
      <c r="Q185" s="47"/>
      <c r="R185" s="47"/>
      <c r="S185" s="46"/>
      <c r="T185" s="46"/>
      <c r="U185" s="13"/>
      <c r="V185" s="13"/>
      <c r="W185" s="13"/>
      <c r="X185" s="13"/>
      <c r="Y185" s="13"/>
      <c r="Z185" s="13"/>
      <c r="AA185" s="13"/>
      <c r="AB185" s="13"/>
      <c r="AC185" s="13"/>
    </row>
    <row r="186" ht="162.0" hidden="1" customHeight="1">
      <c r="A186" s="35">
        <v>183.0</v>
      </c>
      <c r="B186" s="36" t="s">
        <v>1349</v>
      </c>
      <c r="C186" s="37" t="s">
        <v>1350</v>
      </c>
      <c r="D186" s="38" t="s">
        <v>1351</v>
      </c>
      <c r="E186" s="38"/>
      <c r="F186" s="38" t="s">
        <v>1352</v>
      </c>
      <c r="G186" s="48" t="s">
        <v>1353</v>
      </c>
      <c r="H186" s="49" t="s">
        <v>49</v>
      </c>
      <c r="I186" s="86" t="s">
        <v>1354</v>
      </c>
      <c r="J186" s="66" t="s">
        <v>1355</v>
      </c>
      <c r="K186" s="89" t="s">
        <v>173</v>
      </c>
      <c r="L186" s="58" t="s">
        <v>1356</v>
      </c>
      <c r="M186" s="51" t="b">
        <v>0</v>
      </c>
      <c r="N186" s="87" t="s">
        <v>1357</v>
      </c>
      <c r="O186" s="69"/>
      <c r="P186" s="46"/>
      <c r="Q186" s="47"/>
      <c r="R186" s="47"/>
      <c r="S186" s="46"/>
      <c r="T186" s="46"/>
      <c r="U186" s="13"/>
      <c r="V186" s="13"/>
      <c r="W186" s="13"/>
      <c r="X186" s="13"/>
      <c r="Y186" s="13"/>
      <c r="Z186" s="13"/>
      <c r="AA186" s="13"/>
      <c r="AB186" s="13"/>
      <c r="AC186" s="13"/>
    </row>
    <row r="187" ht="16.5" customHeight="1">
      <c r="A187" s="35">
        <v>184.0</v>
      </c>
      <c r="B187" s="36" t="s">
        <v>1358</v>
      </c>
      <c r="C187" s="37" t="s">
        <v>1359</v>
      </c>
      <c r="D187" s="38" t="s">
        <v>1360</v>
      </c>
      <c r="E187" s="38" t="s">
        <v>1361</v>
      </c>
      <c r="F187" s="38" t="s">
        <v>1362</v>
      </c>
      <c r="G187" s="39" t="s">
        <v>1050</v>
      </c>
      <c r="H187" s="49" t="s">
        <v>49</v>
      </c>
      <c r="I187" s="39" t="s">
        <v>39</v>
      </c>
      <c r="J187" s="39" t="s">
        <v>1051</v>
      </c>
      <c r="K187" s="41" t="s">
        <v>933</v>
      </c>
      <c r="L187" s="39" t="s">
        <v>1052</v>
      </c>
      <c r="M187" s="51" t="b">
        <v>1</v>
      </c>
      <c r="N187" s="57" t="s">
        <v>1053</v>
      </c>
      <c r="O187" s="45" t="s">
        <v>1054</v>
      </c>
      <c r="P187" s="46"/>
      <c r="Q187" s="47"/>
      <c r="R187" s="47"/>
      <c r="S187" s="46"/>
      <c r="T187" s="46"/>
      <c r="U187" s="13"/>
      <c r="V187" s="13"/>
      <c r="W187" s="13"/>
      <c r="X187" s="13"/>
      <c r="Y187" s="13"/>
      <c r="Z187" s="13"/>
      <c r="AA187" s="13"/>
      <c r="AB187" s="13"/>
      <c r="AC187" s="13"/>
    </row>
    <row r="188" ht="16.5" customHeight="1">
      <c r="A188" s="35">
        <v>185.0</v>
      </c>
      <c r="B188" s="36" t="s">
        <v>1363</v>
      </c>
      <c r="C188" s="37" t="s">
        <v>1364</v>
      </c>
      <c r="D188" s="38" t="s">
        <v>1365</v>
      </c>
      <c r="E188" s="38"/>
      <c r="F188" s="38" t="s">
        <v>1366</v>
      </c>
      <c r="G188" s="39" t="s">
        <v>1367</v>
      </c>
      <c r="H188" s="49" t="s">
        <v>49</v>
      </c>
      <c r="I188" s="86" t="s">
        <v>39</v>
      </c>
      <c r="J188" s="39" t="s">
        <v>1368</v>
      </c>
      <c r="K188" s="95" t="s">
        <v>173</v>
      </c>
      <c r="L188" s="94" t="s">
        <v>1025</v>
      </c>
      <c r="M188" s="51" t="b">
        <v>1</v>
      </c>
      <c r="N188" s="57" t="s">
        <v>1369</v>
      </c>
      <c r="O188" s="45" t="s">
        <v>1370</v>
      </c>
      <c r="P188" s="46"/>
      <c r="Q188" s="47"/>
      <c r="R188" s="47"/>
      <c r="S188" s="46"/>
      <c r="T188" s="46"/>
      <c r="U188" s="13"/>
      <c r="V188" s="13"/>
      <c r="W188" s="13"/>
      <c r="X188" s="13"/>
      <c r="Y188" s="13"/>
      <c r="Z188" s="13"/>
      <c r="AA188" s="13"/>
      <c r="AB188" s="13"/>
      <c r="AC188" s="13"/>
    </row>
    <row r="189" ht="16.5" customHeight="1">
      <c r="A189" s="35">
        <v>186.0</v>
      </c>
      <c r="B189" s="36" t="s">
        <v>1371</v>
      </c>
      <c r="C189" s="37" t="s">
        <v>1372</v>
      </c>
      <c r="D189" s="38" t="s">
        <v>1373</v>
      </c>
      <c r="E189" s="38" t="s">
        <v>1374</v>
      </c>
      <c r="F189" s="38" t="s">
        <v>684</v>
      </c>
      <c r="G189" s="39" t="s">
        <v>685</v>
      </c>
      <c r="H189" s="49" t="s">
        <v>49</v>
      </c>
      <c r="I189" s="86" t="s">
        <v>39</v>
      </c>
      <c r="J189" s="39" t="s">
        <v>551</v>
      </c>
      <c r="K189" s="95" t="s">
        <v>1006</v>
      </c>
      <c r="L189" s="94" t="s">
        <v>1007</v>
      </c>
      <c r="M189" s="51" t="b">
        <v>1</v>
      </c>
      <c r="N189" s="57" t="s">
        <v>687</v>
      </c>
      <c r="O189" s="45" t="s">
        <v>1008</v>
      </c>
      <c r="P189" s="46"/>
      <c r="Q189" s="47"/>
      <c r="R189" s="47"/>
      <c r="S189" s="46"/>
      <c r="T189" s="46"/>
      <c r="U189" s="13"/>
      <c r="V189" s="13"/>
      <c r="W189" s="13"/>
      <c r="X189" s="13"/>
      <c r="Y189" s="13"/>
      <c r="Z189" s="13"/>
      <c r="AA189" s="13"/>
      <c r="AB189" s="13"/>
      <c r="AC189" s="13"/>
    </row>
    <row r="190" ht="16.5" customHeight="1">
      <c r="A190" s="35">
        <v>187.0</v>
      </c>
      <c r="B190" s="36" t="s">
        <v>1375</v>
      </c>
      <c r="C190" s="37" t="s">
        <v>1376</v>
      </c>
      <c r="D190" s="38" t="s">
        <v>1377</v>
      </c>
      <c r="E190" s="38"/>
      <c r="F190" s="38" t="s">
        <v>1378</v>
      </c>
      <c r="G190" s="48" t="s">
        <v>1290</v>
      </c>
      <c r="H190" s="49" t="s">
        <v>49</v>
      </c>
      <c r="I190" s="39" t="s">
        <v>39</v>
      </c>
      <c r="J190" s="109" t="s">
        <v>1034</v>
      </c>
      <c r="K190" s="110" t="s">
        <v>1035</v>
      </c>
      <c r="L190" s="42" t="s">
        <v>1379</v>
      </c>
      <c r="M190" s="51" t="b">
        <v>0</v>
      </c>
      <c r="N190" s="68" t="s">
        <v>1292</v>
      </c>
      <c r="O190" s="68" t="s">
        <v>1037</v>
      </c>
      <c r="P190" s="97" t="s">
        <v>1380</v>
      </c>
      <c r="Q190" s="47"/>
      <c r="R190" s="47"/>
      <c r="S190" s="46"/>
      <c r="T190" s="46"/>
      <c r="U190" s="13"/>
      <c r="V190" s="13"/>
      <c r="W190" s="13"/>
      <c r="X190" s="13"/>
      <c r="Y190" s="13"/>
      <c r="Z190" s="13"/>
      <c r="AA190" s="13"/>
      <c r="AB190" s="13"/>
      <c r="AC190" s="13"/>
    </row>
    <row r="191" ht="16.5" customHeight="1">
      <c r="A191" s="35">
        <v>188.0</v>
      </c>
      <c r="B191" s="36" t="s">
        <v>1381</v>
      </c>
      <c r="C191" s="37" t="s">
        <v>1382</v>
      </c>
      <c r="D191" s="38" t="s">
        <v>1383</v>
      </c>
      <c r="E191" s="38"/>
      <c r="F191" s="38" t="s">
        <v>1384</v>
      </c>
      <c r="G191" s="39" t="s">
        <v>1385</v>
      </c>
      <c r="H191" s="49" t="s">
        <v>49</v>
      </c>
      <c r="I191" s="39" t="s">
        <v>39</v>
      </c>
      <c r="J191" s="59" t="s">
        <v>1386</v>
      </c>
      <c r="K191" s="41" t="s">
        <v>1387</v>
      </c>
      <c r="L191" s="39" t="s">
        <v>1388</v>
      </c>
      <c r="M191" s="51" t="b">
        <v>1</v>
      </c>
      <c r="N191" s="72" t="s">
        <v>1389</v>
      </c>
      <c r="O191" s="68"/>
      <c r="P191" s="47" t="s">
        <v>1390</v>
      </c>
      <c r="Q191" s="46" t="s">
        <v>1391</v>
      </c>
      <c r="R191" s="46"/>
      <c r="S191" s="46"/>
      <c r="T191" s="46"/>
      <c r="U191" s="13"/>
      <c r="V191" s="13"/>
      <c r="W191" s="13"/>
      <c r="X191" s="13"/>
      <c r="Y191" s="13"/>
      <c r="Z191" s="13"/>
      <c r="AA191" s="13"/>
      <c r="AB191" s="13"/>
      <c r="AC191" s="13"/>
    </row>
    <row r="192" ht="270.0" customHeight="1">
      <c r="A192" s="35">
        <v>189.0</v>
      </c>
      <c r="B192" s="36" t="s">
        <v>1392</v>
      </c>
      <c r="C192" s="37" t="s">
        <v>1393</v>
      </c>
      <c r="D192" s="38" t="s">
        <v>1394</v>
      </c>
      <c r="E192" s="38"/>
      <c r="F192" s="38" t="s">
        <v>1395</v>
      </c>
      <c r="G192" s="39" t="s">
        <v>1396</v>
      </c>
      <c r="H192" s="49" t="s">
        <v>49</v>
      </c>
      <c r="I192" s="39" t="s">
        <v>39</v>
      </c>
      <c r="J192" s="59" t="s">
        <v>1397</v>
      </c>
      <c r="K192" s="41" t="s">
        <v>1398</v>
      </c>
      <c r="L192" s="39" t="s">
        <v>1399</v>
      </c>
      <c r="M192" s="51" t="b">
        <v>1</v>
      </c>
      <c r="N192" s="57" t="s">
        <v>1400</v>
      </c>
      <c r="O192" s="46"/>
      <c r="P192" s="46" t="s">
        <v>1401</v>
      </c>
      <c r="Q192" s="47" t="s">
        <v>1402</v>
      </c>
      <c r="R192" s="47"/>
      <c r="S192" s="46"/>
      <c r="T192" s="46"/>
      <c r="U192" s="13"/>
      <c r="V192" s="13"/>
      <c r="W192" s="13"/>
      <c r="X192" s="13"/>
      <c r="Y192" s="13"/>
      <c r="Z192" s="13"/>
      <c r="AA192" s="13"/>
      <c r="AB192" s="13"/>
      <c r="AC192" s="13"/>
    </row>
    <row r="193" ht="16.5" customHeight="1">
      <c r="A193" s="35">
        <v>190.0</v>
      </c>
      <c r="B193" s="36" t="s">
        <v>1403</v>
      </c>
      <c r="C193" s="37" t="s">
        <v>1404</v>
      </c>
      <c r="D193" s="38" t="s">
        <v>1405</v>
      </c>
      <c r="E193" s="38" t="s">
        <v>1406</v>
      </c>
      <c r="F193" s="38" t="s">
        <v>1407</v>
      </c>
      <c r="G193" s="39" t="s">
        <v>1308</v>
      </c>
      <c r="H193" s="49" t="s">
        <v>49</v>
      </c>
      <c r="I193" s="39" t="s">
        <v>39</v>
      </c>
      <c r="J193" s="39" t="s">
        <v>916</v>
      </c>
      <c r="K193" s="41" t="s">
        <v>1240</v>
      </c>
      <c r="L193" s="39" t="s">
        <v>1241</v>
      </c>
      <c r="M193" s="51" t="b">
        <v>1</v>
      </c>
      <c r="N193" s="68" t="s">
        <v>1408</v>
      </c>
      <c r="O193" s="96" t="s">
        <v>1310</v>
      </c>
      <c r="P193" s="97" t="s">
        <v>1244</v>
      </c>
      <c r="Q193" s="47"/>
      <c r="R193" s="47"/>
      <c r="S193" s="46"/>
      <c r="T193" s="46"/>
      <c r="U193" s="13"/>
      <c r="V193" s="13"/>
      <c r="W193" s="13"/>
      <c r="X193" s="13"/>
      <c r="Y193" s="13"/>
      <c r="Z193" s="13"/>
      <c r="AA193" s="13"/>
      <c r="AB193" s="13"/>
      <c r="AC193" s="13"/>
    </row>
    <row r="194" ht="270.0" customHeight="1">
      <c r="A194" s="35">
        <v>191.0</v>
      </c>
      <c r="B194" s="36" t="s">
        <v>1409</v>
      </c>
      <c r="C194" s="37" t="s">
        <v>1410</v>
      </c>
      <c r="D194" s="38" t="s">
        <v>1411</v>
      </c>
      <c r="E194" s="38"/>
      <c r="F194" s="38" t="s">
        <v>90</v>
      </c>
      <c r="G194" s="39" t="s">
        <v>91</v>
      </c>
      <c r="H194" s="49" t="s">
        <v>49</v>
      </c>
      <c r="I194" s="39" t="s">
        <v>39</v>
      </c>
      <c r="J194" s="39" t="s">
        <v>92</v>
      </c>
      <c r="K194" s="41" t="s">
        <v>93</v>
      </c>
      <c r="L194" s="55"/>
      <c r="M194" s="51" t="b">
        <v>1</v>
      </c>
      <c r="N194" s="57" t="s">
        <v>94</v>
      </c>
      <c r="O194" s="45" t="s">
        <v>95</v>
      </c>
      <c r="P194" s="46"/>
      <c r="Q194" s="47"/>
      <c r="R194" s="47"/>
      <c r="S194" s="46"/>
      <c r="T194" s="46"/>
      <c r="U194" s="13"/>
      <c r="V194" s="13"/>
      <c r="W194" s="13"/>
      <c r="X194" s="13"/>
      <c r="Y194" s="13"/>
      <c r="Z194" s="13"/>
      <c r="AA194" s="13"/>
      <c r="AB194" s="13"/>
      <c r="AC194" s="13"/>
    </row>
    <row r="195" ht="16.5" hidden="1" customHeight="1">
      <c r="A195" s="35">
        <v>192.0</v>
      </c>
      <c r="B195" s="36" t="s">
        <v>1412</v>
      </c>
      <c r="C195" s="37" t="s">
        <v>1413</v>
      </c>
      <c r="D195" s="38" t="s">
        <v>1414</v>
      </c>
      <c r="E195" s="38" t="s">
        <v>1415</v>
      </c>
      <c r="F195" s="38" t="s">
        <v>1325</v>
      </c>
      <c r="G195" s="39" t="s">
        <v>231</v>
      </c>
      <c r="H195" s="49" t="s">
        <v>62</v>
      </c>
      <c r="I195" s="39" t="s">
        <v>63</v>
      </c>
      <c r="J195" s="55"/>
      <c r="K195" s="56"/>
      <c r="L195" s="55"/>
      <c r="M195" s="51" t="b">
        <v>0</v>
      </c>
      <c r="N195" s="46"/>
      <c r="O195" s="46"/>
      <c r="P195" s="46"/>
      <c r="Q195" s="47"/>
      <c r="R195" s="47"/>
      <c r="S195" s="46"/>
      <c r="T195" s="46"/>
      <c r="U195" s="13"/>
      <c r="V195" s="13"/>
      <c r="W195" s="13"/>
      <c r="X195" s="13"/>
      <c r="Y195" s="13"/>
      <c r="Z195" s="13"/>
      <c r="AA195" s="13"/>
      <c r="AB195" s="13"/>
      <c r="AC195" s="13"/>
    </row>
    <row r="196" ht="16.5" customHeight="1">
      <c r="A196" s="35">
        <v>193.0</v>
      </c>
      <c r="B196" s="36" t="s">
        <v>1416</v>
      </c>
      <c r="C196" s="37" t="s">
        <v>1417</v>
      </c>
      <c r="D196" s="38" t="s">
        <v>1418</v>
      </c>
      <c r="E196" s="38" t="s">
        <v>1419</v>
      </c>
      <c r="F196" s="38" t="s">
        <v>1420</v>
      </c>
      <c r="G196" s="39" t="s">
        <v>1421</v>
      </c>
      <c r="H196" s="49" t="s">
        <v>49</v>
      </c>
      <c r="I196" s="39" t="s">
        <v>39</v>
      </c>
      <c r="J196" s="66" t="s">
        <v>1422</v>
      </c>
      <c r="K196" s="107" t="s">
        <v>1423</v>
      </c>
      <c r="L196" s="42" t="s">
        <v>1424</v>
      </c>
      <c r="M196" s="51" t="b">
        <v>0</v>
      </c>
      <c r="N196" s="64" t="s">
        <v>1425</v>
      </c>
      <c r="O196" s="35"/>
      <c r="P196" s="35" t="s">
        <v>1426</v>
      </c>
      <c r="Q196" s="47" t="s">
        <v>1427</v>
      </c>
      <c r="R196" s="47"/>
      <c r="S196" s="46"/>
      <c r="T196" s="46"/>
      <c r="U196" s="13"/>
      <c r="V196" s="13"/>
      <c r="W196" s="13"/>
      <c r="X196" s="13"/>
      <c r="Y196" s="13"/>
      <c r="Z196" s="13"/>
      <c r="AA196" s="13"/>
      <c r="AB196" s="13"/>
      <c r="AC196" s="13"/>
    </row>
    <row r="197" ht="16.5" hidden="1" customHeight="1">
      <c r="A197" s="35">
        <v>194.0</v>
      </c>
      <c r="B197" s="36" t="s">
        <v>1428</v>
      </c>
      <c r="C197" s="37" t="s">
        <v>1429</v>
      </c>
      <c r="D197" s="38" t="s">
        <v>1430</v>
      </c>
      <c r="E197" s="38"/>
      <c r="F197" s="38" t="s">
        <v>1431</v>
      </c>
      <c r="G197" s="39" t="s">
        <v>231</v>
      </c>
      <c r="H197" s="49" t="s">
        <v>62</v>
      </c>
      <c r="I197" s="39" t="s">
        <v>63</v>
      </c>
      <c r="J197" s="55"/>
      <c r="K197" s="56"/>
      <c r="L197" s="55"/>
      <c r="M197" s="51" t="b">
        <v>0</v>
      </c>
      <c r="N197" s="46"/>
      <c r="O197" s="46"/>
      <c r="P197" s="46"/>
      <c r="Q197" s="47"/>
      <c r="R197" s="47"/>
      <c r="S197" s="46"/>
      <c r="T197" s="46"/>
      <c r="U197" s="13"/>
      <c r="V197" s="13"/>
      <c r="W197" s="13"/>
      <c r="X197" s="13"/>
      <c r="Y197" s="13"/>
      <c r="Z197" s="13"/>
      <c r="AA197" s="13"/>
      <c r="AB197" s="13"/>
      <c r="AC197" s="13"/>
    </row>
    <row r="198" ht="16.5" hidden="1" customHeight="1">
      <c r="A198" s="35">
        <v>195.0</v>
      </c>
      <c r="B198" s="101" t="s">
        <v>1432</v>
      </c>
      <c r="C198" s="37" t="s">
        <v>1433</v>
      </c>
      <c r="D198" s="38" t="s">
        <v>1434</v>
      </c>
      <c r="E198" s="38" t="s">
        <v>1435</v>
      </c>
      <c r="F198" s="38" t="s">
        <v>1436</v>
      </c>
      <c r="G198" s="39" t="s">
        <v>231</v>
      </c>
      <c r="H198" s="49" t="s">
        <v>62</v>
      </c>
      <c r="I198" s="39" t="s">
        <v>63</v>
      </c>
      <c r="J198" s="55"/>
      <c r="K198" s="56"/>
      <c r="L198" s="55"/>
      <c r="M198" s="51" t="b">
        <v>0</v>
      </c>
      <c r="N198" s="46"/>
      <c r="O198" s="46"/>
      <c r="P198" s="46"/>
      <c r="Q198" s="47"/>
      <c r="R198" s="47"/>
      <c r="S198" s="46"/>
      <c r="T198" s="46"/>
      <c r="U198" s="13"/>
      <c r="V198" s="13"/>
      <c r="W198" s="13"/>
      <c r="X198" s="13"/>
      <c r="Y198" s="13"/>
      <c r="Z198" s="13"/>
      <c r="AA198" s="13"/>
      <c r="AB198" s="13"/>
      <c r="AC198" s="13"/>
    </row>
    <row r="199" ht="16.5" customHeight="1">
      <c r="A199" s="35">
        <v>196.0</v>
      </c>
      <c r="B199" s="36" t="s">
        <v>1437</v>
      </c>
      <c r="C199" s="37" t="s">
        <v>1438</v>
      </c>
      <c r="D199" s="38" t="s">
        <v>1439</v>
      </c>
      <c r="E199" s="38"/>
      <c r="F199" s="38" t="s">
        <v>1321</v>
      </c>
      <c r="G199" s="39" t="s">
        <v>1277</v>
      </c>
      <c r="H199" s="49" t="s">
        <v>49</v>
      </c>
      <c r="I199" s="39" t="s">
        <v>39</v>
      </c>
      <c r="J199" s="39" t="s">
        <v>471</v>
      </c>
      <c r="K199" s="41" t="s">
        <v>1126</v>
      </c>
      <c r="L199" s="39" t="s">
        <v>1278</v>
      </c>
      <c r="M199" s="51" t="b">
        <v>1</v>
      </c>
      <c r="N199" s="57" t="s">
        <v>1279</v>
      </c>
      <c r="O199" s="45" t="s">
        <v>1280</v>
      </c>
      <c r="P199" s="46"/>
      <c r="Q199" s="47"/>
      <c r="R199" s="47"/>
      <c r="S199" s="46"/>
      <c r="T199" s="46"/>
      <c r="U199" s="13"/>
      <c r="V199" s="13"/>
      <c r="W199" s="13"/>
      <c r="X199" s="13"/>
      <c r="Y199" s="13"/>
      <c r="Z199" s="13"/>
      <c r="AA199" s="13"/>
      <c r="AB199" s="13"/>
      <c r="AC199" s="13"/>
    </row>
    <row r="200" ht="216.0" hidden="1" customHeight="1">
      <c r="A200" s="35">
        <v>197.0</v>
      </c>
      <c r="B200" s="101" t="s">
        <v>1440</v>
      </c>
      <c r="C200" s="37" t="s">
        <v>1441</v>
      </c>
      <c r="D200" s="38" t="s">
        <v>1442</v>
      </c>
      <c r="E200" s="38"/>
      <c r="F200" s="38" t="s">
        <v>1443</v>
      </c>
      <c r="G200" s="39" t="s">
        <v>231</v>
      </c>
      <c r="H200" s="49" t="s">
        <v>62</v>
      </c>
      <c r="I200" s="39" t="s">
        <v>63</v>
      </c>
      <c r="J200" s="55"/>
      <c r="K200" s="56"/>
      <c r="L200" s="55"/>
      <c r="M200" s="51" t="b">
        <v>0</v>
      </c>
      <c r="N200" s="46"/>
      <c r="O200" s="46"/>
      <c r="P200" s="46"/>
      <c r="Q200" s="47"/>
      <c r="R200" s="47"/>
      <c r="S200" s="46"/>
      <c r="T200" s="46"/>
      <c r="U200" s="13"/>
      <c r="V200" s="13"/>
      <c r="W200" s="13"/>
      <c r="X200" s="13"/>
      <c r="Y200" s="13"/>
      <c r="Z200" s="13"/>
      <c r="AA200" s="13"/>
      <c r="AB200" s="13"/>
      <c r="AC200" s="13"/>
    </row>
    <row r="201" ht="16.5" customHeight="1">
      <c r="A201" s="35">
        <v>198.0</v>
      </c>
      <c r="B201" s="36" t="s">
        <v>1444</v>
      </c>
      <c r="C201" s="37" t="s">
        <v>1445</v>
      </c>
      <c r="D201" s="38" t="s">
        <v>1446</v>
      </c>
      <c r="E201" s="38" t="s">
        <v>1447</v>
      </c>
      <c r="F201" s="38" t="s">
        <v>1448</v>
      </c>
      <c r="G201" s="39" t="s">
        <v>1449</v>
      </c>
      <c r="H201" s="49" t="s">
        <v>49</v>
      </c>
      <c r="I201" s="58" t="s">
        <v>39</v>
      </c>
      <c r="J201" s="39" t="s">
        <v>1450</v>
      </c>
      <c r="K201" s="41" t="s">
        <v>173</v>
      </c>
      <c r="L201" s="39" t="s">
        <v>1451</v>
      </c>
      <c r="M201" s="51" t="b">
        <v>1</v>
      </c>
      <c r="N201" s="57" t="s">
        <v>1452</v>
      </c>
      <c r="O201" s="69"/>
      <c r="P201" s="46"/>
      <c r="Q201" s="47"/>
      <c r="R201" s="47"/>
      <c r="S201" s="46"/>
      <c r="T201" s="46"/>
      <c r="U201" s="13"/>
      <c r="V201" s="13"/>
      <c r="W201" s="13"/>
      <c r="X201" s="13"/>
      <c r="Y201" s="13"/>
      <c r="Z201" s="13"/>
      <c r="AA201" s="13"/>
      <c r="AB201" s="13"/>
      <c r="AC201" s="13"/>
    </row>
    <row r="202" ht="16.5" hidden="1" customHeight="1">
      <c r="A202" s="35">
        <v>199.0</v>
      </c>
      <c r="B202" s="101" t="s">
        <v>1453</v>
      </c>
      <c r="C202" s="37" t="s">
        <v>1454</v>
      </c>
      <c r="D202" s="38" t="s">
        <v>1455</v>
      </c>
      <c r="E202" s="38" t="s">
        <v>1456</v>
      </c>
      <c r="F202" s="38" t="s">
        <v>1325</v>
      </c>
      <c r="G202" s="39" t="s">
        <v>231</v>
      </c>
      <c r="H202" s="49" t="s">
        <v>62</v>
      </c>
      <c r="I202" s="39" t="s">
        <v>63</v>
      </c>
      <c r="J202" s="55"/>
      <c r="K202" s="56"/>
      <c r="L202" s="55"/>
      <c r="M202" s="51" t="b">
        <v>0</v>
      </c>
      <c r="N202" s="46"/>
      <c r="O202" s="46"/>
      <c r="P202" s="46"/>
      <c r="Q202" s="47"/>
      <c r="R202" s="47"/>
      <c r="S202" s="46"/>
      <c r="T202" s="46"/>
      <c r="U202" s="13"/>
      <c r="V202" s="13"/>
      <c r="W202" s="13"/>
      <c r="X202" s="13"/>
      <c r="Y202" s="13"/>
      <c r="Z202" s="13"/>
      <c r="AA202" s="13"/>
      <c r="AB202" s="13"/>
      <c r="AC202" s="13"/>
    </row>
    <row r="203" ht="393.75" customHeight="1">
      <c r="A203" s="35">
        <v>200.0</v>
      </c>
      <c r="B203" s="36" t="s">
        <v>1457</v>
      </c>
      <c r="C203" s="37" t="s">
        <v>1458</v>
      </c>
      <c r="D203" s="38" t="s">
        <v>1459</v>
      </c>
      <c r="E203" s="38" t="s">
        <v>1460</v>
      </c>
      <c r="F203" s="38" t="s">
        <v>1461</v>
      </c>
      <c r="G203" s="39" t="s">
        <v>1023</v>
      </c>
      <c r="H203" s="49" t="s">
        <v>49</v>
      </c>
      <c r="I203" s="86" t="s">
        <v>39</v>
      </c>
      <c r="J203" s="39" t="s">
        <v>1368</v>
      </c>
      <c r="K203" s="95" t="s">
        <v>173</v>
      </c>
      <c r="L203" s="94" t="s">
        <v>1025</v>
      </c>
      <c r="M203" s="51" t="b">
        <v>1</v>
      </c>
      <c r="N203" s="57" t="s">
        <v>1369</v>
      </c>
      <c r="O203" s="45" t="s">
        <v>1027</v>
      </c>
      <c r="P203" s="46"/>
      <c r="Q203" s="47"/>
      <c r="R203" s="47"/>
      <c r="S203" s="46"/>
      <c r="T203" s="46"/>
      <c r="U203" s="13"/>
      <c r="V203" s="13"/>
      <c r="W203" s="13"/>
      <c r="X203" s="13"/>
      <c r="Y203" s="13"/>
      <c r="Z203" s="13"/>
      <c r="AA203" s="13"/>
      <c r="AB203" s="13"/>
      <c r="AC203" s="13"/>
    </row>
    <row r="204" ht="16.5" customHeight="1">
      <c r="A204" s="35">
        <v>201.0</v>
      </c>
      <c r="B204" s="36" t="s">
        <v>1462</v>
      </c>
      <c r="C204" s="37" t="s">
        <v>1463</v>
      </c>
      <c r="D204" s="38" t="s">
        <v>1464</v>
      </c>
      <c r="E204" s="38" t="s">
        <v>1465</v>
      </c>
      <c r="F204" s="38" t="s">
        <v>1466</v>
      </c>
      <c r="G204" s="39" t="s">
        <v>1467</v>
      </c>
      <c r="H204" s="49" t="s">
        <v>49</v>
      </c>
      <c r="I204" s="94" t="s">
        <v>39</v>
      </c>
      <c r="J204" s="94" t="s">
        <v>1468</v>
      </c>
      <c r="K204" s="95" t="s">
        <v>1469</v>
      </c>
      <c r="L204" s="94" t="s">
        <v>1470</v>
      </c>
      <c r="M204" s="51" t="b">
        <v>1</v>
      </c>
      <c r="N204" s="119" t="s">
        <v>1471</v>
      </c>
      <c r="O204" s="120"/>
      <c r="P204" s="121" t="s">
        <v>1472</v>
      </c>
      <c r="Q204" s="47"/>
      <c r="R204" s="47"/>
      <c r="S204" s="46"/>
      <c r="T204" s="46"/>
      <c r="U204" s="13"/>
      <c r="V204" s="13"/>
      <c r="W204" s="13"/>
      <c r="X204" s="13"/>
      <c r="Y204" s="13"/>
      <c r="Z204" s="13"/>
      <c r="AA204" s="13"/>
      <c r="AB204" s="13"/>
      <c r="AC204" s="13"/>
    </row>
    <row r="205" ht="16.5" hidden="1" customHeight="1">
      <c r="A205" s="35">
        <v>202.0</v>
      </c>
      <c r="B205" s="101" t="s">
        <v>1473</v>
      </c>
      <c r="C205" s="37" t="s">
        <v>1474</v>
      </c>
      <c r="D205" s="38" t="s">
        <v>1475</v>
      </c>
      <c r="E205" s="38"/>
      <c r="F205" s="38" t="s">
        <v>1476</v>
      </c>
      <c r="G205" s="39" t="s">
        <v>231</v>
      </c>
      <c r="H205" s="49" t="s">
        <v>62</v>
      </c>
      <c r="I205" s="94" t="s">
        <v>63</v>
      </c>
      <c r="J205" s="55"/>
      <c r="K205" s="122"/>
      <c r="L205" s="123"/>
      <c r="M205" s="51" t="b">
        <v>0</v>
      </c>
      <c r="N205" s="46"/>
      <c r="O205" s="46"/>
      <c r="P205" s="46"/>
      <c r="Q205" s="47"/>
      <c r="R205" s="47"/>
      <c r="S205" s="46"/>
      <c r="T205" s="46"/>
      <c r="U205" s="13"/>
      <c r="V205" s="13"/>
      <c r="W205" s="13"/>
      <c r="X205" s="13"/>
      <c r="Y205" s="13"/>
      <c r="Z205" s="13"/>
      <c r="AA205" s="13"/>
      <c r="AB205" s="13"/>
      <c r="AC205" s="13"/>
    </row>
    <row r="206" ht="16.5" hidden="1" customHeight="1">
      <c r="A206" s="35">
        <v>203.0</v>
      </c>
      <c r="B206" s="101" t="s">
        <v>1477</v>
      </c>
      <c r="C206" s="37" t="s">
        <v>1478</v>
      </c>
      <c r="D206" s="38" t="s">
        <v>1479</v>
      </c>
      <c r="E206" s="38"/>
      <c r="F206" s="38" t="s">
        <v>1476</v>
      </c>
      <c r="G206" s="39" t="s">
        <v>231</v>
      </c>
      <c r="H206" s="49" t="s">
        <v>62</v>
      </c>
      <c r="I206" s="94" t="s">
        <v>63</v>
      </c>
      <c r="J206" s="55"/>
      <c r="K206" s="122"/>
      <c r="L206" s="123"/>
      <c r="M206" s="51" t="b">
        <v>0</v>
      </c>
      <c r="N206" s="46"/>
      <c r="O206" s="46"/>
      <c r="P206" s="46"/>
      <c r="Q206" s="47"/>
      <c r="R206" s="47"/>
      <c r="S206" s="46"/>
      <c r="T206" s="46"/>
      <c r="U206" s="13"/>
      <c r="V206" s="13"/>
      <c r="W206" s="13"/>
      <c r="X206" s="13"/>
      <c r="Y206" s="13"/>
      <c r="Z206" s="13"/>
      <c r="AA206" s="13"/>
      <c r="AB206" s="13"/>
      <c r="AC206" s="13"/>
    </row>
    <row r="207" ht="342.0" customHeight="1">
      <c r="A207" s="35">
        <v>204.0</v>
      </c>
      <c r="B207" s="36" t="s">
        <v>1298</v>
      </c>
      <c r="C207" s="37" t="s">
        <v>1480</v>
      </c>
      <c r="D207" s="38" t="s">
        <v>1481</v>
      </c>
      <c r="E207" s="38"/>
      <c r="F207" s="38" t="s">
        <v>461</v>
      </c>
      <c r="G207" s="39" t="s">
        <v>807</v>
      </c>
      <c r="H207" s="49" t="s">
        <v>49</v>
      </c>
      <c r="I207" s="94" t="s">
        <v>39</v>
      </c>
      <c r="J207" s="91" t="s">
        <v>462</v>
      </c>
      <c r="K207" s="92" t="s">
        <v>463</v>
      </c>
      <c r="L207" s="93" t="s">
        <v>464</v>
      </c>
      <c r="M207" s="51" t="b">
        <v>1</v>
      </c>
      <c r="N207" s="57" t="s">
        <v>465</v>
      </c>
      <c r="O207" s="124" t="s">
        <v>1302</v>
      </c>
      <c r="P207" s="125"/>
      <c r="Q207" s="118"/>
      <c r="R207" s="118"/>
      <c r="S207" s="118"/>
      <c r="T207" s="46"/>
      <c r="U207" s="13"/>
      <c r="V207" s="13"/>
      <c r="W207" s="13"/>
      <c r="X207" s="13"/>
      <c r="Y207" s="13"/>
      <c r="Z207" s="13"/>
      <c r="AA207" s="13"/>
      <c r="AB207" s="13"/>
      <c r="AC207" s="13"/>
    </row>
    <row r="208" ht="16.5" customHeight="1">
      <c r="A208" s="35">
        <v>205.0</v>
      </c>
      <c r="B208" s="36" t="s">
        <v>1482</v>
      </c>
      <c r="C208" s="37" t="s">
        <v>1483</v>
      </c>
      <c r="D208" s="38" t="s">
        <v>1484</v>
      </c>
      <c r="E208" s="38" t="s">
        <v>1209</v>
      </c>
      <c r="F208" s="38" t="s">
        <v>1485</v>
      </c>
      <c r="G208" s="39" t="s">
        <v>1486</v>
      </c>
      <c r="H208" s="49" t="s">
        <v>49</v>
      </c>
      <c r="I208" s="94" t="s">
        <v>39</v>
      </c>
      <c r="J208" s="39" t="s">
        <v>422</v>
      </c>
      <c r="K208" s="95" t="s">
        <v>1211</v>
      </c>
      <c r="L208" s="126" t="s">
        <v>1487</v>
      </c>
      <c r="M208" s="51" t="b">
        <v>1</v>
      </c>
      <c r="N208" s="127" t="s">
        <v>292</v>
      </c>
      <c r="O208" s="124" t="s">
        <v>1213</v>
      </c>
      <c r="P208" s="125"/>
      <c r="Q208" s="118"/>
      <c r="R208" s="118"/>
      <c r="S208" s="118"/>
      <c r="T208" s="46"/>
      <c r="U208" s="13"/>
      <c r="V208" s="13"/>
      <c r="W208" s="13"/>
      <c r="X208" s="13"/>
      <c r="Y208" s="13"/>
      <c r="Z208" s="13"/>
      <c r="AA208" s="13"/>
      <c r="AB208" s="13"/>
      <c r="AC208" s="13"/>
    </row>
    <row r="209" ht="16.5" hidden="1" customHeight="1">
      <c r="A209" s="35">
        <v>206.0</v>
      </c>
      <c r="B209" s="36" t="s">
        <v>1488</v>
      </c>
      <c r="C209" s="37" t="s">
        <v>1489</v>
      </c>
      <c r="D209" s="38" t="s">
        <v>1490</v>
      </c>
      <c r="E209" s="38"/>
      <c r="F209" s="38" t="s">
        <v>1476</v>
      </c>
      <c r="G209" s="39" t="s">
        <v>231</v>
      </c>
      <c r="H209" s="49" t="s">
        <v>62</v>
      </c>
      <c r="I209" s="94" t="s">
        <v>63</v>
      </c>
      <c r="J209" s="55"/>
      <c r="K209" s="122"/>
      <c r="L209" s="123"/>
      <c r="M209" s="51" t="b">
        <v>0</v>
      </c>
      <c r="N209" s="118"/>
      <c r="O209" s="118"/>
      <c r="P209" s="118"/>
      <c r="Q209" s="118"/>
      <c r="R209" s="118"/>
      <c r="S209" s="118"/>
      <c r="T209" s="46"/>
      <c r="U209" s="13"/>
      <c r="V209" s="13"/>
      <c r="W209" s="13"/>
      <c r="X209" s="13"/>
      <c r="Y209" s="13"/>
      <c r="Z209" s="13"/>
      <c r="AA209" s="13"/>
      <c r="AB209" s="13"/>
      <c r="AC209" s="13"/>
    </row>
    <row r="210" ht="16.5" customHeight="1">
      <c r="A210" s="35">
        <v>207.0</v>
      </c>
      <c r="B210" s="36" t="s">
        <v>1491</v>
      </c>
      <c r="C210" s="37" t="s">
        <v>1492</v>
      </c>
      <c r="D210" s="38" t="s">
        <v>1493</v>
      </c>
      <c r="E210" s="38"/>
      <c r="F210" s="38" t="s">
        <v>1494</v>
      </c>
      <c r="G210" s="39" t="s">
        <v>1495</v>
      </c>
      <c r="H210" s="49" t="s">
        <v>49</v>
      </c>
      <c r="I210" s="86" t="s">
        <v>39</v>
      </c>
      <c r="J210" s="39" t="s">
        <v>551</v>
      </c>
      <c r="K210" s="95" t="s">
        <v>1006</v>
      </c>
      <c r="L210" s="94" t="s">
        <v>1007</v>
      </c>
      <c r="M210" s="51" t="b">
        <v>1</v>
      </c>
      <c r="N210" s="128" t="s">
        <v>687</v>
      </c>
      <c r="O210" s="129" t="s">
        <v>1223</v>
      </c>
      <c r="P210" s="118"/>
      <c r="Q210" s="118"/>
      <c r="R210" s="118"/>
      <c r="S210" s="118"/>
      <c r="T210" s="46"/>
      <c r="U210" s="13"/>
      <c r="V210" s="13"/>
      <c r="W210" s="13"/>
      <c r="X210" s="13"/>
      <c r="Y210" s="13"/>
      <c r="Z210" s="13"/>
      <c r="AA210" s="13"/>
      <c r="AB210" s="13"/>
      <c r="AC210" s="13"/>
    </row>
    <row r="211" ht="16.5" customHeight="1">
      <c r="A211" s="35">
        <v>208.0</v>
      </c>
      <c r="B211" s="36" t="s">
        <v>1496</v>
      </c>
      <c r="C211" s="37" t="s">
        <v>1497</v>
      </c>
      <c r="D211" s="38" t="s">
        <v>1498</v>
      </c>
      <c r="E211" s="38" t="s">
        <v>1499</v>
      </c>
      <c r="F211" s="38" t="s">
        <v>1228</v>
      </c>
      <c r="G211" s="39" t="s">
        <v>1229</v>
      </c>
      <c r="H211" s="49" t="s">
        <v>49</v>
      </c>
      <c r="I211" s="39" t="s">
        <v>39</v>
      </c>
      <c r="J211" s="66" t="s">
        <v>151</v>
      </c>
      <c r="K211" s="107" t="s">
        <v>641</v>
      </c>
      <c r="L211" s="42" t="s">
        <v>1500</v>
      </c>
      <c r="M211" s="51" t="b">
        <v>1</v>
      </c>
      <c r="N211" s="61" t="s">
        <v>292</v>
      </c>
      <c r="O211" s="64" t="s">
        <v>1231</v>
      </c>
      <c r="P211" s="35" t="s">
        <v>1501</v>
      </c>
      <c r="Q211" s="35" t="s">
        <v>1502</v>
      </c>
      <c r="R211" s="118"/>
      <c r="S211" s="118"/>
      <c r="T211" s="46"/>
      <c r="U211" s="13"/>
      <c r="V211" s="13"/>
      <c r="W211" s="13"/>
      <c r="X211" s="13"/>
      <c r="Y211" s="13"/>
      <c r="Z211" s="13"/>
      <c r="AA211" s="13"/>
      <c r="AB211" s="13"/>
      <c r="AC211" s="13"/>
    </row>
    <row r="212" ht="16.5" customHeight="1">
      <c r="A212" s="35">
        <v>209.0</v>
      </c>
      <c r="B212" s="36" t="s">
        <v>1503</v>
      </c>
      <c r="C212" s="37" t="s">
        <v>1504</v>
      </c>
      <c r="D212" s="38" t="s">
        <v>1505</v>
      </c>
      <c r="E212" s="38"/>
      <c r="F212" s="38" t="s">
        <v>1506</v>
      </c>
      <c r="G212" s="39" t="s">
        <v>1507</v>
      </c>
      <c r="H212" s="49" t="s">
        <v>49</v>
      </c>
      <c r="I212" s="94" t="s">
        <v>39</v>
      </c>
      <c r="J212" s="39" t="s">
        <v>1508</v>
      </c>
      <c r="K212" s="95" t="s">
        <v>1509</v>
      </c>
      <c r="L212" s="94" t="s">
        <v>1510</v>
      </c>
      <c r="M212" s="51" t="b">
        <v>1</v>
      </c>
      <c r="N212" s="128" t="s">
        <v>1511</v>
      </c>
      <c r="O212" s="130"/>
      <c r="P212" s="118"/>
      <c r="Q212" s="118"/>
      <c r="R212" s="118"/>
      <c r="S212" s="118"/>
      <c r="T212" s="46"/>
      <c r="U212" s="13"/>
      <c r="V212" s="13"/>
      <c r="W212" s="13"/>
      <c r="X212" s="13"/>
      <c r="Y212" s="13"/>
      <c r="Z212" s="13"/>
      <c r="AA212" s="13"/>
      <c r="AB212" s="13"/>
      <c r="AC212" s="13"/>
    </row>
    <row r="213" ht="16.5" hidden="1" customHeight="1">
      <c r="A213" s="35">
        <v>210.0</v>
      </c>
      <c r="B213" s="36" t="s">
        <v>1512</v>
      </c>
      <c r="C213" s="37" t="s">
        <v>1513</v>
      </c>
      <c r="D213" s="38" t="s">
        <v>1514</v>
      </c>
      <c r="E213" s="38"/>
      <c r="F213" s="38" t="s">
        <v>196</v>
      </c>
      <c r="G213" s="39" t="s">
        <v>231</v>
      </c>
      <c r="H213" s="49" t="s">
        <v>62</v>
      </c>
      <c r="I213" s="94" t="s">
        <v>63</v>
      </c>
      <c r="J213" s="55"/>
      <c r="K213" s="122"/>
      <c r="L213" s="123"/>
      <c r="M213" s="51" t="b">
        <v>0</v>
      </c>
      <c r="N213" s="118"/>
      <c r="O213" s="118"/>
      <c r="P213" s="118"/>
      <c r="Q213" s="118"/>
      <c r="R213" s="118"/>
      <c r="S213" s="118"/>
      <c r="T213" s="46"/>
      <c r="U213" s="13"/>
      <c r="V213" s="13"/>
      <c r="W213" s="13"/>
      <c r="X213" s="13"/>
      <c r="Y213" s="13"/>
      <c r="Z213" s="13"/>
      <c r="AA213" s="13"/>
      <c r="AB213" s="13"/>
      <c r="AC213" s="13"/>
    </row>
    <row r="214" ht="16.5" hidden="1" customHeight="1">
      <c r="A214" s="35">
        <v>211.0</v>
      </c>
      <c r="B214" s="36" t="s">
        <v>1515</v>
      </c>
      <c r="C214" s="37" t="s">
        <v>1516</v>
      </c>
      <c r="D214" s="38" t="s">
        <v>1517</v>
      </c>
      <c r="E214" s="38" t="s">
        <v>1518</v>
      </c>
      <c r="F214" s="38" t="s">
        <v>1325</v>
      </c>
      <c r="G214" s="39" t="s">
        <v>231</v>
      </c>
      <c r="H214" s="49" t="s">
        <v>62</v>
      </c>
      <c r="I214" s="94" t="s">
        <v>63</v>
      </c>
      <c r="J214" s="55"/>
      <c r="K214" s="122"/>
      <c r="L214" s="123"/>
      <c r="M214" s="51" t="b">
        <v>0</v>
      </c>
      <c r="N214" s="118"/>
      <c r="O214" s="118"/>
      <c r="P214" s="118"/>
      <c r="Q214" s="118"/>
      <c r="R214" s="118"/>
      <c r="S214" s="118"/>
      <c r="T214" s="46"/>
      <c r="U214" s="13"/>
      <c r="V214" s="13"/>
      <c r="W214" s="13"/>
      <c r="X214" s="13"/>
      <c r="Y214" s="13"/>
      <c r="Z214" s="13"/>
      <c r="AA214" s="13"/>
      <c r="AB214" s="13"/>
      <c r="AC214" s="13"/>
    </row>
    <row r="215" ht="16.5" hidden="1" customHeight="1">
      <c r="A215" s="35">
        <v>212.0</v>
      </c>
      <c r="B215" s="101" t="s">
        <v>1519</v>
      </c>
      <c r="C215" s="37" t="s">
        <v>1520</v>
      </c>
      <c r="D215" s="38" t="s">
        <v>1521</v>
      </c>
      <c r="E215" s="38"/>
      <c r="F215" s="38" t="s">
        <v>1522</v>
      </c>
      <c r="G215" s="39" t="s">
        <v>231</v>
      </c>
      <c r="H215" s="49" t="s">
        <v>62</v>
      </c>
      <c r="I215" s="94" t="s">
        <v>63</v>
      </c>
      <c r="J215" s="55"/>
      <c r="K215" s="122"/>
      <c r="L215" s="123"/>
      <c r="M215" s="51" t="b">
        <v>0</v>
      </c>
      <c r="N215" s="118"/>
      <c r="O215" s="118"/>
      <c r="P215" s="118"/>
      <c r="Q215" s="118"/>
      <c r="R215" s="118"/>
      <c r="S215" s="118"/>
      <c r="T215" s="46"/>
      <c r="U215" s="13"/>
      <c r="V215" s="13"/>
      <c r="W215" s="13"/>
      <c r="X215" s="13"/>
      <c r="Y215" s="13"/>
      <c r="Z215" s="13"/>
      <c r="AA215" s="13"/>
      <c r="AB215" s="13"/>
      <c r="AC215" s="13"/>
    </row>
    <row r="216" ht="16.5" customHeight="1">
      <c r="A216" s="35">
        <v>213.0</v>
      </c>
      <c r="B216" s="36" t="s">
        <v>1318</v>
      </c>
      <c r="C216" s="37" t="s">
        <v>1523</v>
      </c>
      <c r="D216" s="38" t="s">
        <v>1524</v>
      </c>
      <c r="E216" s="38"/>
      <c r="F216" s="38" t="s">
        <v>1321</v>
      </c>
      <c r="G216" s="39" t="s">
        <v>1277</v>
      </c>
      <c r="H216" s="49" t="s">
        <v>49</v>
      </c>
      <c r="I216" s="39" t="s">
        <v>39</v>
      </c>
      <c r="J216" s="39" t="s">
        <v>471</v>
      </c>
      <c r="K216" s="41" t="s">
        <v>1126</v>
      </c>
      <c r="L216" s="39" t="s">
        <v>1278</v>
      </c>
      <c r="M216" s="51" t="b">
        <v>1</v>
      </c>
      <c r="N216" s="128" t="s">
        <v>1279</v>
      </c>
      <c r="O216" s="129" t="s">
        <v>1280</v>
      </c>
      <c r="P216" s="118"/>
      <c r="Q216" s="118"/>
      <c r="R216" s="118"/>
      <c r="S216" s="118"/>
      <c r="T216" s="46"/>
      <c r="U216" s="13"/>
      <c r="V216" s="13"/>
      <c r="W216" s="13"/>
      <c r="X216" s="13"/>
      <c r="Y216" s="13"/>
      <c r="Z216" s="13"/>
      <c r="AA216" s="13"/>
      <c r="AB216" s="13"/>
      <c r="AC216" s="13"/>
    </row>
    <row r="217" ht="16.5" hidden="1" customHeight="1">
      <c r="A217" s="35">
        <v>214.0</v>
      </c>
      <c r="B217" s="36" t="s">
        <v>1525</v>
      </c>
      <c r="C217" s="37" t="s">
        <v>1526</v>
      </c>
      <c r="D217" s="38" t="s">
        <v>1527</v>
      </c>
      <c r="E217" s="38"/>
      <c r="F217" s="38" t="s">
        <v>1522</v>
      </c>
      <c r="G217" s="39" t="s">
        <v>231</v>
      </c>
      <c r="H217" s="49" t="s">
        <v>62</v>
      </c>
      <c r="I217" s="94" t="s">
        <v>63</v>
      </c>
      <c r="J217" s="55"/>
      <c r="K217" s="122"/>
      <c r="L217" s="123"/>
      <c r="M217" s="51" t="b">
        <v>0</v>
      </c>
      <c r="N217" s="118"/>
      <c r="O217" s="118"/>
      <c r="P217" s="118"/>
      <c r="Q217" s="118"/>
      <c r="R217" s="118"/>
      <c r="S217" s="118"/>
      <c r="T217" s="46"/>
      <c r="U217" s="13"/>
      <c r="V217" s="13"/>
      <c r="W217" s="13"/>
      <c r="X217" s="13"/>
      <c r="Y217" s="13"/>
      <c r="Z217" s="13"/>
      <c r="AA217" s="13"/>
      <c r="AB217" s="13"/>
      <c r="AC217" s="13"/>
    </row>
    <row r="218" ht="16.5" customHeight="1">
      <c r="A218" s="35">
        <v>215.0</v>
      </c>
      <c r="B218" s="36" t="s">
        <v>1528</v>
      </c>
      <c r="C218" s="37" t="s">
        <v>1529</v>
      </c>
      <c r="D218" s="38" t="s">
        <v>1530</v>
      </c>
      <c r="E218" s="38" t="s">
        <v>1531</v>
      </c>
      <c r="F218" s="38" t="s">
        <v>1532</v>
      </c>
      <c r="G218" s="39" t="s">
        <v>587</v>
      </c>
      <c r="H218" s="49" t="s">
        <v>49</v>
      </c>
      <c r="I218" s="39" t="s">
        <v>39</v>
      </c>
      <c r="J218" s="39" t="s">
        <v>588</v>
      </c>
      <c r="K218" s="41" t="s">
        <v>173</v>
      </c>
      <c r="L218" s="39" t="s">
        <v>589</v>
      </c>
      <c r="M218" s="51" t="b">
        <v>1</v>
      </c>
      <c r="N218" s="128" t="s">
        <v>1533</v>
      </c>
      <c r="O218" s="129" t="s">
        <v>591</v>
      </c>
      <c r="P218" s="118"/>
      <c r="Q218" s="118"/>
      <c r="R218" s="118"/>
      <c r="S218" s="118"/>
      <c r="T218" s="46"/>
      <c r="U218" s="13"/>
      <c r="V218" s="13"/>
      <c r="W218" s="13"/>
      <c r="X218" s="13"/>
      <c r="Y218" s="13"/>
      <c r="Z218" s="13"/>
      <c r="AA218" s="13"/>
      <c r="AB218" s="13"/>
      <c r="AC218" s="13"/>
    </row>
    <row r="219" ht="342.0" customHeight="1">
      <c r="A219" s="35">
        <v>216.0</v>
      </c>
      <c r="B219" s="36" t="s">
        <v>1534</v>
      </c>
      <c r="C219" s="37" t="s">
        <v>1535</v>
      </c>
      <c r="D219" s="38" t="s">
        <v>1536</v>
      </c>
      <c r="E219" s="38" t="s">
        <v>1537</v>
      </c>
      <c r="F219" s="38" t="s">
        <v>1538</v>
      </c>
      <c r="G219" s="39" t="s">
        <v>1539</v>
      </c>
      <c r="H219" s="49" t="s">
        <v>49</v>
      </c>
      <c r="I219" s="94" t="s">
        <v>39</v>
      </c>
      <c r="J219" s="39" t="s">
        <v>492</v>
      </c>
      <c r="K219" s="67" t="s">
        <v>238</v>
      </c>
      <c r="L219" s="39" t="s">
        <v>1540</v>
      </c>
      <c r="M219" s="51" t="b">
        <v>1</v>
      </c>
      <c r="N219" s="131" t="s">
        <v>1541</v>
      </c>
      <c r="O219" s="129" t="s">
        <v>1542</v>
      </c>
      <c r="P219" s="118"/>
      <c r="Q219" s="118"/>
      <c r="R219" s="118"/>
      <c r="S219" s="118"/>
      <c r="T219" s="46"/>
      <c r="U219" s="98"/>
      <c r="V219" s="13"/>
      <c r="W219" s="13"/>
      <c r="X219" s="13"/>
      <c r="Y219" s="13"/>
      <c r="Z219" s="13"/>
      <c r="AA219" s="13"/>
      <c r="AB219" s="13"/>
      <c r="AC219" s="13"/>
    </row>
    <row r="220" ht="16.5" customHeight="1">
      <c r="A220" s="35">
        <v>217.0</v>
      </c>
      <c r="B220" s="36" t="s">
        <v>1543</v>
      </c>
      <c r="C220" s="37" t="s">
        <v>1544</v>
      </c>
      <c r="D220" s="38" t="s">
        <v>1545</v>
      </c>
      <c r="E220" s="38" t="s">
        <v>1546</v>
      </c>
      <c r="F220" s="38" t="s">
        <v>1547</v>
      </c>
      <c r="G220" s="39" t="s">
        <v>1548</v>
      </c>
      <c r="H220" s="49" t="s">
        <v>49</v>
      </c>
      <c r="I220" s="94" t="s">
        <v>39</v>
      </c>
      <c r="J220" s="39" t="s">
        <v>856</v>
      </c>
      <c r="K220" s="95" t="s">
        <v>1549</v>
      </c>
      <c r="L220" s="94" t="s">
        <v>1550</v>
      </c>
      <c r="M220" s="51" t="b">
        <v>1</v>
      </c>
      <c r="N220" s="132" t="s">
        <v>1551</v>
      </c>
      <c r="O220" s="133"/>
      <c r="P220" s="125"/>
      <c r="Q220" s="125"/>
      <c r="R220" s="118"/>
      <c r="S220" s="118"/>
      <c r="T220" s="46"/>
      <c r="U220" s="13"/>
      <c r="V220" s="13"/>
      <c r="W220" s="13"/>
      <c r="X220" s="13"/>
      <c r="Y220" s="13"/>
      <c r="Z220" s="13"/>
      <c r="AA220" s="13"/>
      <c r="AB220" s="13"/>
      <c r="AC220" s="13"/>
    </row>
    <row r="221" ht="216.0" hidden="1" customHeight="1">
      <c r="A221" s="35">
        <v>218.0</v>
      </c>
      <c r="B221" s="36" t="s">
        <v>1552</v>
      </c>
      <c r="C221" s="37" t="s">
        <v>1553</v>
      </c>
      <c r="D221" s="38" t="s">
        <v>1554</v>
      </c>
      <c r="E221" s="38" t="s">
        <v>1555</v>
      </c>
      <c r="F221" s="38" t="s">
        <v>1556</v>
      </c>
      <c r="G221" s="39" t="s">
        <v>231</v>
      </c>
      <c r="H221" s="49" t="s">
        <v>62</v>
      </c>
      <c r="I221" s="94" t="s">
        <v>63</v>
      </c>
      <c r="J221" s="55"/>
      <c r="K221" s="122"/>
      <c r="L221" s="123"/>
      <c r="M221" s="51" t="b">
        <v>0</v>
      </c>
      <c r="N221" s="118"/>
      <c r="O221" s="118"/>
      <c r="P221" s="118"/>
      <c r="Q221" s="118"/>
      <c r="R221" s="118"/>
      <c r="S221" s="118"/>
      <c r="T221" s="46"/>
      <c r="U221" s="13"/>
      <c r="V221" s="13"/>
      <c r="W221" s="13"/>
      <c r="X221" s="13"/>
      <c r="Y221" s="13"/>
      <c r="Z221" s="13"/>
      <c r="AA221" s="13"/>
      <c r="AB221" s="13"/>
      <c r="AC221" s="13"/>
    </row>
    <row r="222" ht="162.0" hidden="1" customHeight="1">
      <c r="A222" s="35">
        <v>219.0</v>
      </c>
      <c r="B222" s="36" t="s">
        <v>1557</v>
      </c>
      <c r="C222" s="37" t="s">
        <v>1558</v>
      </c>
      <c r="D222" s="38" t="s">
        <v>1559</v>
      </c>
      <c r="E222" s="38" t="s">
        <v>1560</v>
      </c>
      <c r="F222" s="38" t="s">
        <v>1561</v>
      </c>
      <c r="G222" s="39" t="s">
        <v>231</v>
      </c>
      <c r="H222" s="49" t="s">
        <v>62</v>
      </c>
      <c r="I222" s="94" t="s">
        <v>63</v>
      </c>
      <c r="J222" s="55"/>
      <c r="K222" s="122"/>
      <c r="L222" s="123"/>
      <c r="M222" s="51" t="b">
        <v>0</v>
      </c>
      <c r="N222" s="118"/>
      <c r="O222" s="118"/>
      <c r="P222" s="118"/>
      <c r="Q222" s="118"/>
      <c r="R222" s="118"/>
      <c r="S222" s="118"/>
      <c r="T222" s="46"/>
      <c r="U222" s="13"/>
      <c r="V222" s="13"/>
      <c r="W222" s="13"/>
      <c r="X222" s="13"/>
      <c r="Y222" s="13"/>
      <c r="Z222" s="13"/>
      <c r="AA222" s="13"/>
      <c r="AB222" s="13"/>
      <c r="AC222" s="13"/>
    </row>
    <row r="223" ht="16.5" customHeight="1">
      <c r="A223" s="35">
        <v>220.0</v>
      </c>
      <c r="B223" s="36" t="s">
        <v>1562</v>
      </c>
      <c r="C223" s="37" t="s">
        <v>1563</v>
      </c>
      <c r="D223" s="38" t="s">
        <v>1564</v>
      </c>
      <c r="E223" s="38" t="s">
        <v>1565</v>
      </c>
      <c r="F223" s="38" t="s">
        <v>1561</v>
      </c>
      <c r="G223" s="39" t="s">
        <v>1566</v>
      </c>
      <c r="H223" s="49" t="s">
        <v>38</v>
      </c>
      <c r="I223" s="94" t="s">
        <v>39</v>
      </c>
      <c r="J223" s="66" t="s">
        <v>151</v>
      </c>
      <c r="K223" s="134" t="s">
        <v>173</v>
      </c>
      <c r="L223" s="94" t="s">
        <v>189</v>
      </c>
      <c r="M223" s="51" t="b">
        <v>1</v>
      </c>
      <c r="N223" s="131" t="s">
        <v>1567</v>
      </c>
      <c r="O223" s="129" t="s">
        <v>191</v>
      </c>
      <c r="P223" s="118"/>
      <c r="Q223" s="118"/>
      <c r="R223" s="118"/>
      <c r="S223" s="118"/>
      <c r="T223" s="46"/>
      <c r="U223" s="13"/>
      <c r="V223" s="13"/>
      <c r="W223" s="13"/>
      <c r="X223" s="13"/>
      <c r="Y223" s="13"/>
      <c r="Z223" s="13"/>
      <c r="AA223" s="13"/>
      <c r="AB223" s="13"/>
      <c r="AC223" s="13"/>
    </row>
    <row r="224" ht="16.5" customHeight="1">
      <c r="A224" s="35">
        <v>221.0</v>
      </c>
      <c r="B224" s="36" t="s">
        <v>1568</v>
      </c>
      <c r="C224" s="37" t="s">
        <v>1569</v>
      </c>
      <c r="D224" s="38" t="s">
        <v>1570</v>
      </c>
      <c r="E224" s="38" t="s">
        <v>1571</v>
      </c>
      <c r="F224" s="38" t="s">
        <v>1572</v>
      </c>
      <c r="G224" s="39" t="s">
        <v>1573</v>
      </c>
      <c r="H224" s="49" t="s">
        <v>49</v>
      </c>
      <c r="I224" s="94" t="s">
        <v>39</v>
      </c>
      <c r="J224" s="39" t="s">
        <v>1574</v>
      </c>
      <c r="K224" s="95" t="s">
        <v>173</v>
      </c>
      <c r="L224" s="59" t="s">
        <v>1575</v>
      </c>
      <c r="M224" s="51" t="b">
        <v>1</v>
      </c>
      <c r="N224" s="132" t="s">
        <v>1576</v>
      </c>
      <c r="O224" s="130"/>
      <c r="P224" s="118"/>
      <c r="Q224" s="118"/>
      <c r="R224" s="118"/>
      <c r="S224" s="118"/>
      <c r="T224" s="46"/>
      <c r="U224" s="13"/>
      <c r="V224" s="13"/>
      <c r="W224" s="13"/>
      <c r="X224" s="13"/>
      <c r="Y224" s="13"/>
      <c r="Z224" s="13"/>
      <c r="AA224" s="13"/>
      <c r="AB224" s="13"/>
      <c r="AC224" s="13"/>
    </row>
    <row r="225" ht="16.5" customHeight="1">
      <c r="A225" s="35">
        <v>222.0</v>
      </c>
      <c r="B225" s="36" t="s">
        <v>1577</v>
      </c>
      <c r="C225" s="37" t="s">
        <v>1578</v>
      </c>
      <c r="D225" s="38" t="s">
        <v>1579</v>
      </c>
      <c r="E225" s="38" t="s">
        <v>1580</v>
      </c>
      <c r="F225" s="38" t="s">
        <v>196</v>
      </c>
      <c r="G225" s="39" t="s">
        <v>1579</v>
      </c>
      <c r="H225" s="49" t="s">
        <v>49</v>
      </c>
      <c r="I225" s="94" t="s">
        <v>39</v>
      </c>
      <c r="J225" s="39" t="s">
        <v>1581</v>
      </c>
      <c r="K225" s="95" t="s">
        <v>1582</v>
      </c>
      <c r="L225" s="94" t="s">
        <v>1583</v>
      </c>
      <c r="M225" s="51" t="b">
        <v>1</v>
      </c>
      <c r="N225" s="132" t="s">
        <v>1584</v>
      </c>
      <c r="O225" s="133"/>
      <c r="P225" s="125"/>
      <c r="Q225" s="125"/>
      <c r="R225" s="118"/>
      <c r="S225" s="118"/>
      <c r="T225" s="46"/>
      <c r="U225" s="13"/>
      <c r="V225" s="13"/>
      <c r="W225" s="13"/>
      <c r="X225" s="13"/>
      <c r="Y225" s="13"/>
      <c r="Z225" s="13"/>
      <c r="AA225" s="13"/>
      <c r="AB225" s="13"/>
      <c r="AC225" s="13"/>
    </row>
    <row r="226" ht="16.5" hidden="1" customHeight="1">
      <c r="A226" s="35">
        <v>223.0</v>
      </c>
      <c r="B226" s="36" t="s">
        <v>1585</v>
      </c>
      <c r="C226" s="37" t="s">
        <v>1586</v>
      </c>
      <c r="D226" s="38" t="s">
        <v>1587</v>
      </c>
      <c r="E226" s="38"/>
      <c r="F226" s="38" t="s">
        <v>1588</v>
      </c>
      <c r="G226" s="39" t="s">
        <v>231</v>
      </c>
      <c r="H226" s="49" t="s">
        <v>62</v>
      </c>
      <c r="I226" s="94" t="s">
        <v>63</v>
      </c>
      <c r="J226" s="55"/>
      <c r="K226" s="122"/>
      <c r="L226" s="123"/>
      <c r="M226" s="51" t="b">
        <v>0</v>
      </c>
      <c r="N226" s="118"/>
      <c r="O226" s="118"/>
      <c r="P226" s="118"/>
      <c r="Q226" s="118"/>
      <c r="R226" s="118"/>
      <c r="S226" s="118"/>
      <c r="T226" s="46"/>
      <c r="U226" s="13"/>
      <c r="V226" s="13"/>
      <c r="W226" s="13"/>
      <c r="X226" s="13"/>
      <c r="Y226" s="13"/>
      <c r="Z226" s="13"/>
      <c r="AA226" s="13"/>
      <c r="AB226" s="13"/>
      <c r="AC226" s="13"/>
    </row>
    <row r="227" ht="264.0" hidden="1" customHeight="1">
      <c r="A227" s="35">
        <v>224.0</v>
      </c>
      <c r="B227" s="101" t="s">
        <v>1589</v>
      </c>
      <c r="C227" s="37" t="s">
        <v>1590</v>
      </c>
      <c r="D227" s="38" t="s">
        <v>1591</v>
      </c>
      <c r="E227" s="38" t="s">
        <v>1592</v>
      </c>
      <c r="F227" s="38" t="s">
        <v>1593</v>
      </c>
      <c r="G227" s="39" t="s">
        <v>231</v>
      </c>
      <c r="H227" s="49" t="s">
        <v>62</v>
      </c>
      <c r="I227" s="94" t="s">
        <v>63</v>
      </c>
      <c r="J227" s="55"/>
      <c r="K227" s="122"/>
      <c r="L227" s="123"/>
      <c r="M227" s="51" t="b">
        <v>0</v>
      </c>
      <c r="N227" s="118"/>
      <c r="O227" s="118"/>
      <c r="P227" s="118"/>
      <c r="Q227" s="118"/>
      <c r="R227" s="118"/>
      <c r="S227" s="118"/>
      <c r="T227" s="46"/>
      <c r="U227" s="13"/>
      <c r="V227" s="13"/>
      <c r="W227" s="13"/>
      <c r="X227" s="13"/>
      <c r="Y227" s="13"/>
      <c r="Z227" s="13"/>
      <c r="AA227" s="13"/>
      <c r="AB227" s="13"/>
      <c r="AC227" s="13"/>
    </row>
    <row r="228" ht="330.0" hidden="1" customHeight="1">
      <c r="A228" s="35">
        <v>225.0</v>
      </c>
      <c r="B228" s="101" t="s">
        <v>1594</v>
      </c>
      <c r="C228" s="37" t="s">
        <v>1595</v>
      </c>
      <c r="D228" s="38" t="s">
        <v>1596</v>
      </c>
      <c r="E228" s="38"/>
      <c r="F228" s="38" t="s">
        <v>1597</v>
      </c>
      <c r="G228" s="39" t="s">
        <v>231</v>
      </c>
      <c r="H228" s="49" t="s">
        <v>62</v>
      </c>
      <c r="I228" s="94" t="s">
        <v>63</v>
      </c>
      <c r="J228" s="55"/>
      <c r="K228" s="122"/>
      <c r="L228" s="123"/>
      <c r="M228" s="51" t="b">
        <v>0</v>
      </c>
      <c r="N228" s="118"/>
      <c r="O228" s="118"/>
      <c r="P228" s="118"/>
      <c r="Q228" s="118"/>
      <c r="R228" s="118"/>
      <c r="S228" s="118"/>
      <c r="T228" s="46"/>
      <c r="U228" s="13"/>
      <c r="V228" s="13"/>
      <c r="W228" s="13"/>
      <c r="X228" s="13"/>
      <c r="Y228" s="13"/>
      <c r="Z228" s="13"/>
      <c r="AA228" s="13"/>
      <c r="AB228" s="13"/>
      <c r="AC228" s="13"/>
    </row>
    <row r="229" ht="16.5" customHeight="1">
      <c r="A229" s="35">
        <v>226.0</v>
      </c>
      <c r="B229" s="36" t="s">
        <v>1598</v>
      </c>
      <c r="C229" s="37" t="s">
        <v>1599</v>
      </c>
      <c r="D229" s="38" t="s">
        <v>1600</v>
      </c>
      <c r="E229" s="38"/>
      <c r="F229" s="38" t="s">
        <v>1601</v>
      </c>
      <c r="G229" s="39" t="s">
        <v>1602</v>
      </c>
      <c r="H229" s="49" t="s">
        <v>38</v>
      </c>
      <c r="I229" s="39" t="s">
        <v>39</v>
      </c>
      <c r="J229" s="39" t="s">
        <v>874</v>
      </c>
      <c r="K229" s="95" t="s">
        <v>173</v>
      </c>
      <c r="L229" s="39" t="s">
        <v>1603</v>
      </c>
      <c r="M229" s="51" t="b">
        <v>1</v>
      </c>
      <c r="N229" s="128" t="s">
        <v>876</v>
      </c>
      <c r="O229" s="128" t="s">
        <v>877</v>
      </c>
      <c r="P229" s="118"/>
      <c r="Q229" s="118"/>
      <c r="R229" s="118"/>
      <c r="S229" s="118"/>
      <c r="T229" s="46"/>
      <c r="U229" s="13"/>
      <c r="V229" s="13"/>
      <c r="W229" s="13"/>
      <c r="X229" s="13"/>
      <c r="Y229" s="13"/>
      <c r="Z229" s="13"/>
      <c r="AA229" s="13"/>
      <c r="AB229" s="13"/>
      <c r="AC229" s="13"/>
    </row>
    <row r="230" ht="409.5" hidden="1" customHeight="1">
      <c r="A230" s="35">
        <v>227.0</v>
      </c>
      <c r="B230" s="101" t="s">
        <v>1604</v>
      </c>
      <c r="C230" s="37" t="s">
        <v>1605</v>
      </c>
      <c r="D230" s="38" t="s">
        <v>1606</v>
      </c>
      <c r="E230" s="38" t="s">
        <v>1088</v>
      </c>
      <c r="F230" s="38" t="s">
        <v>1561</v>
      </c>
      <c r="G230" s="39" t="s">
        <v>231</v>
      </c>
      <c r="H230" s="49" t="s">
        <v>62</v>
      </c>
      <c r="I230" s="94" t="s">
        <v>63</v>
      </c>
      <c r="J230" s="55"/>
      <c r="K230" s="122"/>
      <c r="L230" s="123"/>
      <c r="M230" s="51" t="b">
        <v>0</v>
      </c>
      <c r="N230" s="118"/>
      <c r="O230" s="118"/>
      <c r="P230" s="118"/>
      <c r="Q230" s="118"/>
      <c r="R230" s="118"/>
      <c r="S230" s="118"/>
      <c r="T230" s="46"/>
      <c r="U230" s="13"/>
      <c r="V230" s="13"/>
      <c r="W230" s="13"/>
      <c r="X230" s="13"/>
      <c r="Y230" s="13"/>
      <c r="Z230" s="13"/>
      <c r="AA230" s="13"/>
      <c r="AB230" s="13"/>
      <c r="AC230" s="13"/>
    </row>
    <row r="231" ht="162.0" hidden="1" customHeight="1">
      <c r="A231" s="35">
        <v>228.0</v>
      </c>
      <c r="B231" s="101" t="s">
        <v>1607</v>
      </c>
      <c r="C231" s="37" t="s">
        <v>1608</v>
      </c>
      <c r="D231" s="38" t="s">
        <v>1609</v>
      </c>
      <c r="E231" s="38" t="s">
        <v>1610</v>
      </c>
      <c r="F231" s="38" t="s">
        <v>1561</v>
      </c>
      <c r="G231" s="39" t="s">
        <v>231</v>
      </c>
      <c r="H231" s="49" t="s">
        <v>62</v>
      </c>
      <c r="I231" s="94" t="s">
        <v>63</v>
      </c>
      <c r="J231" s="55"/>
      <c r="K231" s="122"/>
      <c r="L231" s="123"/>
      <c r="M231" s="51" t="b">
        <v>0</v>
      </c>
      <c r="N231" s="118"/>
      <c r="O231" s="118"/>
      <c r="P231" s="118"/>
      <c r="Q231" s="118"/>
      <c r="R231" s="118"/>
      <c r="S231" s="118"/>
      <c r="T231" s="46"/>
      <c r="U231" s="13"/>
      <c r="V231" s="13"/>
      <c r="W231" s="13"/>
      <c r="X231" s="13"/>
      <c r="Y231" s="13"/>
      <c r="Z231" s="13"/>
      <c r="AA231" s="13"/>
      <c r="AB231" s="13"/>
      <c r="AC231" s="13"/>
    </row>
    <row r="232" ht="16.5" customHeight="1">
      <c r="A232" s="35">
        <v>229.0</v>
      </c>
      <c r="B232" s="36" t="s">
        <v>1611</v>
      </c>
      <c r="C232" s="37" t="s">
        <v>1612</v>
      </c>
      <c r="D232" s="38" t="s">
        <v>1613</v>
      </c>
      <c r="E232" s="38"/>
      <c r="F232" s="38" t="s">
        <v>1614</v>
      </c>
      <c r="G232" s="39" t="s">
        <v>1615</v>
      </c>
      <c r="H232" s="49" t="s">
        <v>49</v>
      </c>
      <c r="I232" s="94" t="s">
        <v>39</v>
      </c>
      <c r="J232" s="39" t="s">
        <v>1616</v>
      </c>
      <c r="K232" s="95" t="s">
        <v>1617</v>
      </c>
      <c r="L232" s="94" t="s">
        <v>1618</v>
      </c>
      <c r="M232" s="51" t="b">
        <v>1</v>
      </c>
      <c r="N232" s="128" t="s">
        <v>1619</v>
      </c>
      <c r="O232" s="130"/>
      <c r="P232" s="118"/>
      <c r="Q232" s="118"/>
      <c r="R232" s="118"/>
      <c r="S232" s="118"/>
      <c r="T232" s="46"/>
      <c r="U232" s="13"/>
      <c r="V232" s="13"/>
      <c r="W232" s="13"/>
      <c r="X232" s="13"/>
      <c r="Y232" s="13"/>
      <c r="Z232" s="13"/>
      <c r="AA232" s="13"/>
      <c r="AB232" s="13"/>
      <c r="AC232" s="13"/>
    </row>
    <row r="233" ht="16.5" customHeight="1">
      <c r="A233" s="35">
        <v>230.0</v>
      </c>
      <c r="B233" s="36" t="s">
        <v>1620</v>
      </c>
      <c r="C233" s="37" t="s">
        <v>1621</v>
      </c>
      <c r="D233" s="38" t="s">
        <v>1622</v>
      </c>
      <c r="E233" s="38" t="s">
        <v>1623</v>
      </c>
      <c r="F233" s="38" t="s">
        <v>1624</v>
      </c>
      <c r="G233" s="39" t="s">
        <v>1023</v>
      </c>
      <c r="H233" s="49" t="s">
        <v>49</v>
      </c>
      <c r="I233" s="86" t="s">
        <v>39</v>
      </c>
      <c r="J233" s="39" t="s">
        <v>1368</v>
      </c>
      <c r="K233" s="95" t="s">
        <v>173</v>
      </c>
      <c r="L233" s="135" t="s">
        <v>1025</v>
      </c>
      <c r="M233" s="51" t="b">
        <v>1</v>
      </c>
      <c r="N233" s="128" t="s">
        <v>1369</v>
      </c>
      <c r="O233" s="130"/>
      <c r="P233" s="118"/>
      <c r="Q233" s="118"/>
      <c r="R233" s="118"/>
      <c r="S233" s="118"/>
      <c r="T233" s="46"/>
      <c r="U233" s="13"/>
      <c r="V233" s="13"/>
      <c r="W233" s="13"/>
      <c r="X233" s="13"/>
      <c r="Y233" s="13"/>
      <c r="Z233" s="13"/>
      <c r="AA233" s="13"/>
      <c r="AB233" s="13"/>
      <c r="AC233" s="13"/>
    </row>
    <row r="234" ht="16.5" customHeight="1">
      <c r="A234" s="35">
        <v>231.0</v>
      </c>
      <c r="B234" s="36" t="s">
        <v>1625</v>
      </c>
      <c r="C234" s="37" t="s">
        <v>1626</v>
      </c>
      <c r="D234" s="38" t="s">
        <v>1627</v>
      </c>
      <c r="E234" s="38"/>
      <c r="F234" s="38" t="s">
        <v>1628</v>
      </c>
      <c r="G234" s="39" t="s">
        <v>1629</v>
      </c>
      <c r="H234" s="49" t="s">
        <v>49</v>
      </c>
      <c r="I234" s="94" t="s">
        <v>39</v>
      </c>
      <c r="J234" s="39" t="s">
        <v>964</v>
      </c>
      <c r="K234" s="95" t="s">
        <v>173</v>
      </c>
      <c r="L234" s="59" t="s">
        <v>1630</v>
      </c>
      <c r="M234" s="51" t="b">
        <v>1</v>
      </c>
      <c r="N234" s="128" t="s">
        <v>966</v>
      </c>
      <c r="O234" s="129" t="s">
        <v>1631</v>
      </c>
      <c r="P234" s="118"/>
      <c r="Q234" s="118"/>
      <c r="R234" s="118"/>
      <c r="S234" s="118"/>
      <c r="T234" s="46"/>
      <c r="U234" s="13"/>
      <c r="V234" s="13"/>
      <c r="W234" s="13"/>
      <c r="X234" s="13"/>
      <c r="Y234" s="13"/>
      <c r="Z234" s="13"/>
      <c r="AA234" s="13"/>
      <c r="AB234" s="13"/>
      <c r="AC234" s="13"/>
    </row>
    <row r="235" ht="214.5" hidden="1" customHeight="1">
      <c r="A235" s="35">
        <v>232.0</v>
      </c>
      <c r="B235" s="101" t="s">
        <v>1632</v>
      </c>
      <c r="C235" s="37" t="s">
        <v>1633</v>
      </c>
      <c r="D235" s="38" t="s">
        <v>1634</v>
      </c>
      <c r="E235" s="38" t="s">
        <v>1635</v>
      </c>
      <c r="F235" s="38" t="s">
        <v>1636</v>
      </c>
      <c r="G235" s="39" t="s">
        <v>231</v>
      </c>
      <c r="H235" s="49" t="s">
        <v>62</v>
      </c>
      <c r="I235" s="94" t="s">
        <v>63</v>
      </c>
      <c r="J235" s="55"/>
      <c r="K235" s="122"/>
      <c r="L235" s="123"/>
      <c r="M235" s="51" t="b">
        <v>0</v>
      </c>
      <c r="N235" s="118"/>
      <c r="O235" s="118"/>
      <c r="P235" s="118"/>
      <c r="Q235" s="118"/>
      <c r="R235" s="118"/>
      <c r="S235" s="118"/>
      <c r="T235" s="46"/>
      <c r="U235" s="13"/>
      <c r="V235" s="13"/>
      <c r="W235" s="13"/>
      <c r="X235" s="13"/>
      <c r="Y235" s="13"/>
      <c r="Z235" s="13"/>
      <c r="AA235" s="13"/>
      <c r="AB235" s="13"/>
      <c r="AC235" s="13"/>
    </row>
    <row r="236" ht="16.5" customHeight="1">
      <c r="A236" s="35">
        <v>233.0</v>
      </c>
      <c r="B236" s="36" t="s">
        <v>1637</v>
      </c>
      <c r="C236" s="37" t="s">
        <v>1638</v>
      </c>
      <c r="D236" s="38" t="s">
        <v>1639</v>
      </c>
      <c r="E236" s="38" t="s">
        <v>1640</v>
      </c>
      <c r="F236" s="38" t="s">
        <v>1641</v>
      </c>
      <c r="G236" s="39" t="s">
        <v>587</v>
      </c>
      <c r="H236" s="49" t="s">
        <v>49</v>
      </c>
      <c r="I236" s="94" t="s">
        <v>39</v>
      </c>
      <c r="J236" s="39" t="s">
        <v>588</v>
      </c>
      <c r="K236" s="41" t="s">
        <v>173</v>
      </c>
      <c r="L236" s="39" t="s">
        <v>589</v>
      </c>
      <c r="M236" s="51" t="b">
        <v>0</v>
      </c>
      <c r="N236" s="128" t="s">
        <v>1642</v>
      </c>
      <c r="O236" s="129" t="s">
        <v>591</v>
      </c>
      <c r="P236" s="118"/>
      <c r="Q236" s="118"/>
      <c r="R236" s="118"/>
      <c r="S236" s="118"/>
      <c r="T236" s="46"/>
      <c r="U236" s="13"/>
      <c r="V236" s="13"/>
      <c r="W236" s="13"/>
      <c r="X236" s="13"/>
      <c r="Y236" s="13"/>
      <c r="Z236" s="13"/>
      <c r="AA236" s="13"/>
      <c r="AB236" s="13"/>
      <c r="AC236" s="13"/>
    </row>
    <row r="237" ht="16.5" hidden="1" customHeight="1">
      <c r="A237" s="35">
        <v>234.0</v>
      </c>
      <c r="B237" s="36" t="s">
        <v>1643</v>
      </c>
      <c r="C237" s="37" t="s">
        <v>1644</v>
      </c>
      <c r="D237" s="38" t="s">
        <v>1645</v>
      </c>
      <c r="E237" s="38" t="s">
        <v>1646</v>
      </c>
      <c r="F237" s="38" t="s">
        <v>1647</v>
      </c>
      <c r="G237" s="39" t="s">
        <v>231</v>
      </c>
      <c r="H237" s="136" t="s">
        <v>62</v>
      </c>
      <c r="I237" s="94" t="s">
        <v>63</v>
      </c>
      <c r="J237" s="55"/>
      <c r="K237" s="122"/>
      <c r="L237" s="123"/>
      <c r="M237" s="51" t="b">
        <v>0</v>
      </c>
      <c r="N237" s="118"/>
      <c r="O237" s="118"/>
      <c r="P237" s="118" t="s">
        <v>1648</v>
      </c>
      <c r="Q237" s="118"/>
      <c r="R237" s="118"/>
      <c r="S237" s="118"/>
      <c r="T237" s="46"/>
      <c r="U237" s="13"/>
      <c r="V237" s="13"/>
      <c r="W237" s="13"/>
      <c r="X237" s="13"/>
      <c r="Y237" s="13"/>
      <c r="Z237" s="13"/>
      <c r="AA237" s="13"/>
      <c r="AB237" s="13"/>
      <c r="AC237" s="13"/>
    </row>
    <row r="238" ht="231.0" hidden="1" customHeight="1">
      <c r="A238" s="35">
        <v>235.0</v>
      </c>
      <c r="B238" s="36" t="s">
        <v>1649</v>
      </c>
      <c r="C238" s="37" t="s">
        <v>1650</v>
      </c>
      <c r="D238" s="38" t="s">
        <v>1651</v>
      </c>
      <c r="E238" s="38"/>
      <c r="F238" s="38" t="s">
        <v>1652</v>
      </c>
      <c r="G238" s="39" t="s">
        <v>231</v>
      </c>
      <c r="H238" s="49" t="s">
        <v>62</v>
      </c>
      <c r="I238" s="94" t="s">
        <v>63</v>
      </c>
      <c r="J238" s="55"/>
      <c r="K238" s="122"/>
      <c r="L238" s="123"/>
      <c r="M238" s="51" t="b">
        <v>0</v>
      </c>
      <c r="N238" s="118"/>
      <c r="O238" s="118"/>
      <c r="P238" s="118"/>
      <c r="Q238" s="118"/>
      <c r="R238" s="118"/>
      <c r="S238" s="118"/>
      <c r="T238" s="46"/>
      <c r="U238" s="13"/>
      <c r="V238" s="13"/>
      <c r="W238" s="13"/>
      <c r="X238" s="13"/>
      <c r="Y238" s="13"/>
      <c r="Z238" s="13"/>
      <c r="AA238" s="13"/>
      <c r="AB238" s="13"/>
      <c r="AC238" s="13"/>
    </row>
    <row r="239" ht="16.5" customHeight="1">
      <c r="A239" s="35">
        <v>236.0</v>
      </c>
      <c r="B239" s="36" t="s">
        <v>1653</v>
      </c>
      <c r="C239" s="37" t="s">
        <v>1654</v>
      </c>
      <c r="D239" s="38" t="s">
        <v>1655</v>
      </c>
      <c r="E239" s="38" t="s">
        <v>1656</v>
      </c>
      <c r="F239" s="38" t="s">
        <v>1657</v>
      </c>
      <c r="G239" s="39" t="s">
        <v>1658</v>
      </c>
      <c r="H239" s="49" t="s">
        <v>49</v>
      </c>
      <c r="I239" s="94" t="s">
        <v>39</v>
      </c>
      <c r="J239" s="39" t="s">
        <v>1659</v>
      </c>
      <c r="K239" s="95" t="s">
        <v>1660</v>
      </c>
      <c r="L239" s="94" t="s">
        <v>1661</v>
      </c>
      <c r="M239" s="51" t="b">
        <v>1</v>
      </c>
      <c r="N239" s="128" t="s">
        <v>1662</v>
      </c>
      <c r="O239" s="130"/>
      <c r="P239" s="118"/>
      <c r="Q239" s="118"/>
      <c r="R239" s="118"/>
      <c r="S239" s="118"/>
      <c r="T239" s="46"/>
      <c r="U239" s="13"/>
      <c r="V239" s="13"/>
      <c r="W239" s="13"/>
      <c r="X239" s="13"/>
      <c r="Y239" s="13"/>
      <c r="Z239" s="13"/>
      <c r="AA239" s="13"/>
      <c r="AB239" s="13"/>
      <c r="AC239" s="13"/>
    </row>
    <row r="240" ht="16.5" hidden="1" customHeight="1">
      <c r="A240" s="35">
        <v>237.0</v>
      </c>
      <c r="B240" s="36" t="s">
        <v>1663</v>
      </c>
      <c r="C240" s="37" t="s">
        <v>1664</v>
      </c>
      <c r="D240" s="38" t="s">
        <v>1665</v>
      </c>
      <c r="E240" s="38" t="s">
        <v>1666</v>
      </c>
      <c r="F240" s="38" t="s">
        <v>1667</v>
      </c>
      <c r="G240" s="39" t="s">
        <v>1668</v>
      </c>
      <c r="H240" s="136" t="s">
        <v>62</v>
      </c>
      <c r="I240" s="86" t="s">
        <v>63</v>
      </c>
      <c r="J240" s="55"/>
      <c r="K240" s="122"/>
      <c r="L240" s="123"/>
      <c r="M240" s="51" t="b">
        <v>0</v>
      </c>
      <c r="N240" s="118"/>
      <c r="O240" s="118"/>
      <c r="P240" s="118" t="s">
        <v>1669</v>
      </c>
      <c r="Q240" s="118"/>
      <c r="R240" s="118"/>
      <c r="S240" s="118"/>
      <c r="T240" s="46"/>
      <c r="U240" s="13"/>
      <c r="V240" s="13"/>
      <c r="W240" s="13"/>
      <c r="X240" s="13"/>
      <c r="Y240" s="13"/>
      <c r="Z240" s="13"/>
      <c r="AA240" s="13"/>
      <c r="AB240" s="13"/>
      <c r="AC240" s="13"/>
    </row>
    <row r="241" ht="16.5" customHeight="1">
      <c r="A241" s="35">
        <v>238.0</v>
      </c>
      <c r="B241" s="36" t="s">
        <v>1670</v>
      </c>
      <c r="C241" s="37" t="s">
        <v>1671</v>
      </c>
      <c r="D241" s="38" t="s">
        <v>1672</v>
      </c>
      <c r="E241" s="38" t="s">
        <v>548</v>
      </c>
      <c r="F241" s="38" t="s">
        <v>1673</v>
      </c>
      <c r="G241" s="39" t="s">
        <v>1222</v>
      </c>
      <c r="H241" s="49" t="s">
        <v>49</v>
      </c>
      <c r="I241" s="86" t="s">
        <v>39</v>
      </c>
      <c r="J241" s="39" t="s">
        <v>551</v>
      </c>
      <c r="K241" s="95" t="s">
        <v>1006</v>
      </c>
      <c r="L241" s="94" t="s">
        <v>1007</v>
      </c>
      <c r="M241" s="51" t="b">
        <v>1</v>
      </c>
      <c r="N241" s="128" t="s">
        <v>687</v>
      </c>
      <c r="O241" s="129" t="s">
        <v>1008</v>
      </c>
      <c r="P241" s="118"/>
      <c r="Q241" s="118"/>
      <c r="R241" s="118"/>
      <c r="S241" s="118"/>
      <c r="T241" s="46"/>
      <c r="U241" s="13"/>
      <c r="V241" s="13"/>
      <c r="W241" s="13"/>
      <c r="X241" s="13"/>
      <c r="Y241" s="13"/>
      <c r="Z241" s="13"/>
      <c r="AA241" s="13"/>
      <c r="AB241" s="13"/>
      <c r="AC241" s="13"/>
    </row>
    <row r="242" ht="16.5" customHeight="1">
      <c r="A242" s="35">
        <v>239.0</v>
      </c>
      <c r="B242" s="36" t="s">
        <v>1674</v>
      </c>
      <c r="C242" s="37" t="s">
        <v>1675</v>
      </c>
      <c r="D242" s="38" t="s">
        <v>1676</v>
      </c>
      <c r="E242" s="38"/>
      <c r="F242" s="38" t="s">
        <v>1677</v>
      </c>
      <c r="G242" s="39" t="s">
        <v>1678</v>
      </c>
      <c r="H242" s="49" t="s">
        <v>49</v>
      </c>
      <c r="I242" s="94" t="s">
        <v>39</v>
      </c>
      <c r="J242" s="39" t="s">
        <v>492</v>
      </c>
      <c r="K242" s="41" t="s">
        <v>409</v>
      </c>
      <c r="L242" s="39" t="s">
        <v>493</v>
      </c>
      <c r="M242" s="51" t="b">
        <v>1</v>
      </c>
      <c r="N242" s="131" t="s">
        <v>494</v>
      </c>
      <c r="O242" s="129" t="s">
        <v>495</v>
      </c>
      <c r="P242" s="118"/>
      <c r="Q242" s="118"/>
      <c r="R242" s="118"/>
      <c r="S242" s="118"/>
      <c r="T242" s="46"/>
      <c r="U242" s="13"/>
      <c r="V242" s="13"/>
      <c r="W242" s="13"/>
      <c r="X242" s="13"/>
      <c r="Y242" s="13"/>
      <c r="Z242" s="13"/>
      <c r="AA242" s="13"/>
      <c r="AB242" s="13"/>
      <c r="AC242" s="13"/>
    </row>
    <row r="243" ht="16.5" customHeight="1">
      <c r="A243" s="35">
        <v>240.0</v>
      </c>
      <c r="B243" s="36" t="s">
        <v>1679</v>
      </c>
      <c r="C243" s="37" t="s">
        <v>1680</v>
      </c>
      <c r="D243" s="38" t="s">
        <v>1681</v>
      </c>
      <c r="E243" s="38"/>
      <c r="F243" s="38" t="s">
        <v>1228</v>
      </c>
      <c r="G243" s="39" t="s">
        <v>1682</v>
      </c>
      <c r="H243" s="49" t="s">
        <v>49</v>
      </c>
      <c r="I243" s="39" t="s">
        <v>39</v>
      </c>
      <c r="J243" s="66" t="s">
        <v>151</v>
      </c>
      <c r="K243" s="107" t="s">
        <v>641</v>
      </c>
      <c r="L243" s="39" t="s">
        <v>1683</v>
      </c>
      <c r="M243" s="51" t="b">
        <v>1</v>
      </c>
      <c r="N243" s="61" t="s">
        <v>292</v>
      </c>
      <c r="O243" s="35"/>
      <c r="P243" s="35" t="s">
        <v>1684</v>
      </c>
      <c r="Q243" s="35" t="s">
        <v>1685</v>
      </c>
      <c r="R243" s="118"/>
      <c r="S243" s="118"/>
      <c r="T243" s="46"/>
      <c r="U243" s="13"/>
      <c r="V243" s="13"/>
      <c r="W243" s="13"/>
      <c r="X243" s="13"/>
      <c r="Y243" s="13"/>
      <c r="Z243" s="13"/>
      <c r="AA243" s="13"/>
      <c r="AB243" s="13"/>
      <c r="AC243" s="13"/>
    </row>
    <row r="244" ht="16.5" customHeight="1">
      <c r="A244" s="35">
        <v>241.0</v>
      </c>
      <c r="B244" s="36" t="s">
        <v>1686</v>
      </c>
      <c r="C244" s="37" t="s">
        <v>1687</v>
      </c>
      <c r="D244" s="38" t="s">
        <v>1688</v>
      </c>
      <c r="E244" s="38"/>
      <c r="F244" s="38" t="s">
        <v>1689</v>
      </c>
      <c r="G244" s="39" t="s">
        <v>1690</v>
      </c>
      <c r="H244" s="49" t="s">
        <v>49</v>
      </c>
      <c r="I244" s="94" t="s">
        <v>39</v>
      </c>
      <c r="J244" s="39" t="s">
        <v>1691</v>
      </c>
      <c r="K244" s="95" t="s">
        <v>152</v>
      </c>
      <c r="L244" s="94" t="s">
        <v>1692</v>
      </c>
      <c r="M244" s="51" t="b">
        <v>1</v>
      </c>
      <c r="N244" s="128" t="s">
        <v>1693</v>
      </c>
      <c r="O244" s="130"/>
      <c r="P244" s="118"/>
      <c r="Q244" s="118"/>
      <c r="R244" s="118"/>
      <c r="S244" s="118"/>
      <c r="T244" s="46"/>
      <c r="U244" s="13"/>
      <c r="V244" s="13"/>
      <c r="W244" s="13"/>
      <c r="X244" s="13"/>
      <c r="Y244" s="13"/>
      <c r="Z244" s="13"/>
      <c r="AA244" s="13"/>
      <c r="AB244" s="13"/>
      <c r="AC244" s="13"/>
    </row>
    <row r="245" ht="16.5" hidden="1" customHeight="1">
      <c r="A245" s="35">
        <v>242.0</v>
      </c>
      <c r="B245" s="36" t="s">
        <v>1694</v>
      </c>
      <c r="C245" s="37" t="s">
        <v>1695</v>
      </c>
      <c r="D245" s="38" t="s">
        <v>1696</v>
      </c>
      <c r="E245" s="38"/>
      <c r="F245" s="38" t="s">
        <v>1697</v>
      </c>
      <c r="G245" s="39" t="s">
        <v>231</v>
      </c>
      <c r="H245" s="49" t="s">
        <v>62</v>
      </c>
      <c r="I245" s="94" t="s">
        <v>63</v>
      </c>
      <c r="J245" s="55"/>
      <c r="K245" s="122"/>
      <c r="L245" s="123"/>
      <c r="M245" s="51" t="b">
        <v>0</v>
      </c>
      <c r="N245" s="118"/>
      <c r="O245" s="118"/>
      <c r="P245" s="118"/>
      <c r="Q245" s="118"/>
      <c r="R245" s="118"/>
      <c r="S245" s="118"/>
      <c r="T245" s="46"/>
      <c r="U245" s="13"/>
      <c r="V245" s="13"/>
      <c r="W245" s="13"/>
      <c r="X245" s="13"/>
      <c r="Y245" s="13"/>
      <c r="Z245" s="13"/>
      <c r="AA245" s="13"/>
      <c r="AB245" s="13"/>
      <c r="AC245" s="13"/>
    </row>
    <row r="246" ht="16.5" hidden="1" customHeight="1">
      <c r="A246" s="35">
        <v>243.0</v>
      </c>
      <c r="B246" s="36" t="s">
        <v>1698</v>
      </c>
      <c r="C246" s="37" t="s">
        <v>1699</v>
      </c>
      <c r="D246" s="38" t="s">
        <v>1700</v>
      </c>
      <c r="E246" s="38" t="s">
        <v>1701</v>
      </c>
      <c r="F246" s="38" t="s">
        <v>1702</v>
      </c>
      <c r="G246" s="39" t="s">
        <v>231</v>
      </c>
      <c r="H246" s="49" t="s">
        <v>62</v>
      </c>
      <c r="I246" s="94" t="s">
        <v>63</v>
      </c>
      <c r="J246" s="55"/>
      <c r="K246" s="122"/>
      <c r="L246" s="123"/>
      <c r="M246" s="51" t="b">
        <v>0</v>
      </c>
      <c r="N246" s="118"/>
      <c r="O246" s="118"/>
      <c r="P246" s="118"/>
      <c r="Q246" s="118"/>
      <c r="R246" s="118"/>
      <c r="S246" s="118"/>
      <c r="T246" s="46"/>
      <c r="U246" s="13"/>
      <c r="V246" s="13"/>
      <c r="W246" s="13"/>
      <c r="X246" s="13"/>
      <c r="Y246" s="13"/>
      <c r="Z246" s="13"/>
      <c r="AA246" s="13"/>
      <c r="AB246" s="13"/>
      <c r="AC246" s="13"/>
    </row>
    <row r="247" ht="16.5" customHeight="1">
      <c r="A247" s="35">
        <v>244.0</v>
      </c>
      <c r="B247" s="36" t="s">
        <v>1703</v>
      </c>
      <c r="C247" s="37" t="s">
        <v>1704</v>
      </c>
      <c r="D247" s="38" t="s">
        <v>1705</v>
      </c>
      <c r="E247" s="38" t="s">
        <v>1706</v>
      </c>
      <c r="F247" s="38" t="s">
        <v>1707</v>
      </c>
      <c r="G247" s="39" t="s">
        <v>1708</v>
      </c>
      <c r="H247" s="49" t="s">
        <v>49</v>
      </c>
      <c r="I247" s="39" t="s">
        <v>39</v>
      </c>
      <c r="J247" s="94" t="s">
        <v>610</v>
      </c>
      <c r="K247" s="92" t="s">
        <v>1097</v>
      </c>
      <c r="L247" s="62" t="s">
        <v>1709</v>
      </c>
      <c r="M247" s="51" t="b">
        <v>1</v>
      </c>
      <c r="N247" s="132" t="s">
        <v>1710</v>
      </c>
      <c r="O247" s="125"/>
      <c r="P247" s="125" t="s">
        <v>1711</v>
      </c>
      <c r="Q247" s="125" t="s">
        <v>1712</v>
      </c>
      <c r="R247" s="118"/>
      <c r="S247" s="118"/>
      <c r="T247" s="46"/>
      <c r="U247" s="13"/>
      <c r="V247" s="13"/>
      <c r="W247" s="13"/>
      <c r="X247" s="13"/>
      <c r="Y247" s="13"/>
      <c r="Z247" s="13"/>
      <c r="AA247" s="13"/>
      <c r="AB247" s="13"/>
      <c r="AC247" s="13"/>
    </row>
    <row r="248" ht="16.5" customHeight="1">
      <c r="A248" s="35">
        <v>245.0</v>
      </c>
      <c r="B248" s="36" t="s">
        <v>1713</v>
      </c>
      <c r="C248" s="37" t="s">
        <v>1714</v>
      </c>
      <c r="D248" s="38" t="s">
        <v>1715</v>
      </c>
      <c r="E248" s="38" t="s">
        <v>1716</v>
      </c>
      <c r="F248" s="38" t="s">
        <v>1717</v>
      </c>
      <c r="G248" s="39" t="s">
        <v>1718</v>
      </c>
      <c r="H248" s="49" t="s">
        <v>49</v>
      </c>
      <c r="I248" s="94" t="s">
        <v>39</v>
      </c>
      <c r="J248" s="39" t="s">
        <v>422</v>
      </c>
      <c r="K248" s="95" t="s">
        <v>1719</v>
      </c>
      <c r="L248" s="94" t="s">
        <v>1720</v>
      </c>
      <c r="M248" s="51" t="b">
        <v>1</v>
      </c>
      <c r="N248" s="132" t="s">
        <v>1721</v>
      </c>
      <c r="O248" s="137"/>
      <c r="P248" s="138" t="s">
        <v>1722</v>
      </c>
      <c r="Q248" s="125"/>
      <c r="R248" s="125"/>
      <c r="S248" s="118"/>
      <c r="T248" s="46"/>
      <c r="U248" s="13"/>
      <c r="V248" s="13"/>
      <c r="W248" s="13"/>
      <c r="X248" s="13"/>
      <c r="Y248" s="13"/>
      <c r="Z248" s="13"/>
      <c r="AA248" s="13"/>
      <c r="AB248" s="13"/>
      <c r="AC248" s="13"/>
    </row>
    <row r="249" ht="16.5" hidden="1" customHeight="1">
      <c r="A249" s="35">
        <v>246.0</v>
      </c>
      <c r="B249" s="36" t="s">
        <v>1723</v>
      </c>
      <c r="C249" s="37" t="s">
        <v>1724</v>
      </c>
      <c r="D249" s="38" t="s">
        <v>1725</v>
      </c>
      <c r="E249" s="38" t="s">
        <v>1726</v>
      </c>
      <c r="F249" s="38" t="s">
        <v>1727</v>
      </c>
      <c r="G249" s="39" t="s">
        <v>231</v>
      </c>
      <c r="H249" s="49" t="s">
        <v>62</v>
      </c>
      <c r="I249" s="94" t="s">
        <v>63</v>
      </c>
      <c r="J249" s="55"/>
      <c r="K249" s="122"/>
      <c r="L249" s="123"/>
      <c r="M249" s="51" t="b">
        <v>0</v>
      </c>
      <c r="N249" s="118"/>
      <c r="O249" s="118"/>
      <c r="P249" s="118"/>
      <c r="Q249" s="118"/>
      <c r="R249" s="118"/>
      <c r="S249" s="118"/>
      <c r="T249" s="46"/>
      <c r="U249" s="13"/>
      <c r="V249" s="13"/>
      <c r="W249" s="13"/>
      <c r="X249" s="13"/>
      <c r="Y249" s="13"/>
      <c r="Z249" s="13"/>
      <c r="AA249" s="13"/>
      <c r="AB249" s="13"/>
      <c r="AC249" s="13"/>
    </row>
    <row r="250" ht="288.0" customHeight="1">
      <c r="A250" s="35">
        <v>247.0</v>
      </c>
      <c r="B250" s="36" t="s">
        <v>1728</v>
      </c>
      <c r="C250" s="37" t="s">
        <v>1729</v>
      </c>
      <c r="D250" s="38" t="s">
        <v>1730</v>
      </c>
      <c r="E250" s="38" t="s">
        <v>1731</v>
      </c>
      <c r="F250" s="38" t="s">
        <v>1732</v>
      </c>
      <c r="G250" s="48" t="s">
        <v>1733</v>
      </c>
      <c r="H250" s="49" t="s">
        <v>49</v>
      </c>
      <c r="I250" s="94" t="s">
        <v>39</v>
      </c>
      <c r="J250" s="94" t="s">
        <v>720</v>
      </c>
      <c r="K250" s="95" t="s">
        <v>745</v>
      </c>
      <c r="L250" s="135" t="s">
        <v>1734</v>
      </c>
      <c r="M250" s="51" t="b">
        <v>1</v>
      </c>
      <c r="N250" s="128" t="s">
        <v>747</v>
      </c>
      <c r="O250" s="129" t="s">
        <v>1735</v>
      </c>
      <c r="P250" s="118"/>
      <c r="Q250" s="118"/>
      <c r="R250" s="118"/>
      <c r="S250" s="118"/>
      <c r="T250" s="46"/>
      <c r="U250" s="13"/>
      <c r="V250" s="13"/>
      <c r="W250" s="13"/>
      <c r="X250" s="13"/>
      <c r="Y250" s="13"/>
      <c r="Z250" s="13"/>
      <c r="AA250" s="13"/>
      <c r="AB250" s="13"/>
      <c r="AC250" s="13"/>
    </row>
    <row r="251" ht="16.5" customHeight="1">
      <c r="A251" s="35">
        <v>248.0</v>
      </c>
      <c r="B251" s="36" t="s">
        <v>1736</v>
      </c>
      <c r="C251" s="37" t="s">
        <v>1737</v>
      </c>
      <c r="D251" s="38" t="s">
        <v>1738</v>
      </c>
      <c r="E251" s="38" t="s">
        <v>1739</v>
      </c>
      <c r="F251" s="38" t="s">
        <v>1740</v>
      </c>
      <c r="G251" s="39" t="s">
        <v>1741</v>
      </c>
      <c r="H251" s="49" t="s">
        <v>49</v>
      </c>
      <c r="I251" s="86" t="s">
        <v>39</v>
      </c>
      <c r="J251" s="139" t="s">
        <v>1742</v>
      </c>
      <c r="K251" s="95" t="s">
        <v>1743</v>
      </c>
      <c r="L251" s="94" t="s">
        <v>1744</v>
      </c>
      <c r="M251" s="51" t="b">
        <v>0</v>
      </c>
      <c r="N251" s="118"/>
      <c r="O251" s="118"/>
      <c r="P251" s="118" t="s">
        <v>1745</v>
      </c>
      <c r="Q251" s="118"/>
      <c r="R251" s="118"/>
      <c r="S251" s="118"/>
      <c r="T251" s="46"/>
      <c r="U251" s="13"/>
      <c r="V251" s="13"/>
      <c r="W251" s="13"/>
      <c r="X251" s="13"/>
      <c r="Y251" s="13"/>
      <c r="Z251" s="13"/>
      <c r="AA251" s="13"/>
      <c r="AB251" s="13"/>
      <c r="AC251" s="13"/>
    </row>
    <row r="252" ht="16.5" hidden="1" customHeight="1">
      <c r="A252" s="35">
        <v>249.0</v>
      </c>
      <c r="B252" s="36" t="s">
        <v>1746</v>
      </c>
      <c r="C252" s="37" t="s">
        <v>1747</v>
      </c>
      <c r="D252" s="38" t="s">
        <v>1748</v>
      </c>
      <c r="E252" s="38" t="s">
        <v>1749</v>
      </c>
      <c r="F252" s="38" t="s">
        <v>1750</v>
      </c>
      <c r="G252" s="39" t="s">
        <v>1751</v>
      </c>
      <c r="H252" s="136" t="s">
        <v>62</v>
      </c>
      <c r="I252" s="86" t="s">
        <v>63</v>
      </c>
      <c r="J252" s="65"/>
      <c r="K252" s="122"/>
      <c r="L252" s="123"/>
      <c r="M252" s="51" t="b">
        <v>0</v>
      </c>
      <c r="N252" s="118"/>
      <c r="O252" s="118"/>
      <c r="P252" s="118" t="s">
        <v>1752</v>
      </c>
      <c r="Q252" s="118" t="s">
        <v>1753</v>
      </c>
      <c r="R252" s="118"/>
      <c r="S252" s="118"/>
      <c r="T252" s="46"/>
      <c r="U252" s="13"/>
      <c r="V252" s="13"/>
      <c r="W252" s="13"/>
      <c r="X252" s="13"/>
      <c r="Y252" s="13"/>
      <c r="Z252" s="13"/>
      <c r="AA252" s="13"/>
      <c r="AB252" s="13"/>
      <c r="AC252" s="13"/>
    </row>
    <row r="253" ht="16.5" customHeight="1">
      <c r="A253" s="35">
        <v>250.0</v>
      </c>
      <c r="B253" s="36" t="s">
        <v>1754</v>
      </c>
      <c r="C253" s="37" t="s">
        <v>1755</v>
      </c>
      <c r="D253" s="38" t="s">
        <v>1756</v>
      </c>
      <c r="E253" s="38" t="s">
        <v>1757</v>
      </c>
      <c r="F253" s="38" t="s">
        <v>1758</v>
      </c>
      <c r="G253" s="39" t="s">
        <v>1759</v>
      </c>
      <c r="H253" s="49" t="s">
        <v>49</v>
      </c>
      <c r="I253" s="94" t="s">
        <v>39</v>
      </c>
      <c r="J253" s="39" t="s">
        <v>1760</v>
      </c>
      <c r="K253" s="95" t="s">
        <v>238</v>
      </c>
      <c r="L253" s="59" t="s">
        <v>1761</v>
      </c>
      <c r="M253" s="51" t="b">
        <v>1</v>
      </c>
      <c r="N253" s="131" t="s">
        <v>1762</v>
      </c>
      <c r="O253" s="130"/>
      <c r="P253" s="118"/>
      <c r="Q253" s="118"/>
      <c r="R253" s="118"/>
      <c r="S253" s="118"/>
      <c r="T253" s="46"/>
      <c r="U253" s="13"/>
      <c r="V253" s="13"/>
      <c r="W253" s="13"/>
      <c r="X253" s="13"/>
      <c r="Y253" s="13"/>
      <c r="Z253" s="13"/>
      <c r="AA253" s="13"/>
      <c r="AB253" s="13"/>
      <c r="AC253" s="13"/>
    </row>
    <row r="254" ht="16.5" customHeight="1">
      <c r="A254" s="35">
        <v>251.0</v>
      </c>
      <c r="B254" s="36" t="s">
        <v>1763</v>
      </c>
      <c r="C254" s="37" t="s">
        <v>1764</v>
      </c>
      <c r="D254" s="38" t="s">
        <v>1765</v>
      </c>
      <c r="E254" s="38" t="s">
        <v>1766</v>
      </c>
      <c r="F254" s="38" t="s">
        <v>1767</v>
      </c>
      <c r="G254" s="39" t="s">
        <v>1768</v>
      </c>
      <c r="H254" s="49" t="s">
        <v>49</v>
      </c>
      <c r="I254" s="94" t="s">
        <v>39</v>
      </c>
      <c r="J254" s="39" t="s">
        <v>844</v>
      </c>
      <c r="K254" s="95" t="s">
        <v>1769</v>
      </c>
      <c r="L254" s="94" t="s">
        <v>1770</v>
      </c>
      <c r="M254" s="51" t="b">
        <v>1</v>
      </c>
      <c r="N254" s="132" t="s">
        <v>1771</v>
      </c>
      <c r="O254" s="133"/>
      <c r="P254" s="125"/>
      <c r="Q254" s="125"/>
      <c r="R254" s="118"/>
      <c r="S254" s="118"/>
      <c r="T254" s="46"/>
      <c r="U254" s="13"/>
      <c r="V254" s="13"/>
      <c r="W254" s="13"/>
      <c r="X254" s="13"/>
      <c r="Y254" s="13"/>
      <c r="Z254" s="13"/>
      <c r="AA254" s="13"/>
      <c r="AB254" s="13"/>
      <c r="AC254" s="13"/>
    </row>
    <row r="255" ht="16.5" customHeight="1">
      <c r="A255" s="35">
        <v>252.0</v>
      </c>
      <c r="B255" s="36" t="s">
        <v>1772</v>
      </c>
      <c r="C255" s="37" t="s">
        <v>1773</v>
      </c>
      <c r="D255" s="38" t="s">
        <v>1774</v>
      </c>
      <c r="E255" s="38" t="s">
        <v>1775</v>
      </c>
      <c r="F255" s="38" t="s">
        <v>1776</v>
      </c>
      <c r="G255" s="39" t="s">
        <v>1777</v>
      </c>
      <c r="H255" s="49" t="s">
        <v>49</v>
      </c>
      <c r="I255" s="94" t="s">
        <v>39</v>
      </c>
      <c r="J255" s="39" t="s">
        <v>1778</v>
      </c>
      <c r="K255" s="95" t="s">
        <v>1779</v>
      </c>
      <c r="L255" s="94" t="s">
        <v>1780</v>
      </c>
      <c r="M255" s="51" t="b">
        <v>1</v>
      </c>
      <c r="N255" s="128" t="s">
        <v>1781</v>
      </c>
      <c r="O255" s="130"/>
      <c r="P255" s="118"/>
      <c r="Q255" s="118"/>
      <c r="R255" s="118" t="s">
        <v>1782</v>
      </c>
      <c r="S255" s="118"/>
      <c r="T255" s="46"/>
      <c r="U255" s="13"/>
      <c r="V255" s="13"/>
      <c r="W255" s="13"/>
      <c r="X255" s="13"/>
      <c r="Y255" s="13"/>
      <c r="Z255" s="13"/>
      <c r="AA255" s="13"/>
      <c r="AB255" s="13"/>
      <c r="AC255" s="13"/>
    </row>
    <row r="256" ht="252.0" customHeight="1">
      <c r="A256" s="35">
        <v>253.0</v>
      </c>
      <c r="B256" s="36" t="s">
        <v>1783</v>
      </c>
      <c r="C256" s="37" t="s">
        <v>1784</v>
      </c>
      <c r="D256" s="38" t="s">
        <v>1785</v>
      </c>
      <c r="E256" s="38"/>
      <c r="F256" s="38" t="s">
        <v>1786</v>
      </c>
      <c r="G256" s="39" t="s">
        <v>91</v>
      </c>
      <c r="H256" s="49" t="s">
        <v>49</v>
      </c>
      <c r="I256" s="94" t="s">
        <v>39</v>
      </c>
      <c r="J256" s="49" t="s">
        <v>92</v>
      </c>
      <c r="K256" s="140" t="s">
        <v>93</v>
      </c>
      <c r="L256" s="94" t="s">
        <v>1787</v>
      </c>
      <c r="M256" s="51" t="b">
        <v>1</v>
      </c>
      <c r="N256" s="132" t="s">
        <v>94</v>
      </c>
      <c r="O256" s="124" t="s">
        <v>95</v>
      </c>
      <c r="P256" s="125"/>
      <c r="Q256" s="118"/>
      <c r="R256" s="118"/>
      <c r="S256" s="118"/>
      <c r="T256" s="46"/>
      <c r="U256" s="13"/>
      <c r="V256" s="13"/>
      <c r="W256" s="13"/>
      <c r="X256" s="13"/>
      <c r="Y256" s="13"/>
      <c r="Z256" s="13"/>
      <c r="AA256" s="13"/>
      <c r="AB256" s="13"/>
      <c r="AC256" s="13"/>
    </row>
    <row r="257" ht="16.5" customHeight="1">
      <c r="A257" s="35">
        <v>254.0</v>
      </c>
      <c r="B257" s="36" t="s">
        <v>1788</v>
      </c>
      <c r="C257" s="37" t="s">
        <v>1789</v>
      </c>
      <c r="D257" s="38" t="s">
        <v>1790</v>
      </c>
      <c r="E257" s="38"/>
      <c r="F257" s="38" t="s">
        <v>1628</v>
      </c>
      <c r="G257" s="39" t="s">
        <v>1629</v>
      </c>
      <c r="H257" s="49" t="s">
        <v>49</v>
      </c>
      <c r="I257" s="94" t="s">
        <v>39</v>
      </c>
      <c r="J257" s="39" t="s">
        <v>964</v>
      </c>
      <c r="K257" s="95" t="s">
        <v>173</v>
      </c>
      <c r="L257" s="59" t="s">
        <v>1630</v>
      </c>
      <c r="M257" s="51" t="b">
        <v>1</v>
      </c>
      <c r="N257" s="128" t="s">
        <v>966</v>
      </c>
      <c r="O257" s="129" t="s">
        <v>1631</v>
      </c>
      <c r="P257" s="118"/>
      <c r="Q257" s="118"/>
      <c r="R257" s="118"/>
      <c r="S257" s="118"/>
      <c r="T257" s="46"/>
      <c r="U257" s="13"/>
      <c r="V257" s="13"/>
      <c r="W257" s="13"/>
      <c r="X257" s="13"/>
      <c r="Y257" s="13"/>
      <c r="Z257" s="13"/>
      <c r="AA257" s="13"/>
      <c r="AB257" s="13"/>
      <c r="AC257" s="13"/>
    </row>
    <row r="258" ht="16.5" customHeight="1">
      <c r="A258" s="35">
        <v>255.0</v>
      </c>
      <c r="B258" s="36" t="s">
        <v>1791</v>
      </c>
      <c r="C258" s="37" t="s">
        <v>1792</v>
      </c>
      <c r="D258" s="38" t="s">
        <v>1793</v>
      </c>
      <c r="E258" s="38" t="s">
        <v>1794</v>
      </c>
      <c r="F258" s="38" t="s">
        <v>1795</v>
      </c>
      <c r="G258" s="39" t="s">
        <v>1796</v>
      </c>
      <c r="H258" s="49" t="s">
        <v>49</v>
      </c>
      <c r="I258" s="94" t="s">
        <v>39</v>
      </c>
      <c r="J258" s="39" t="s">
        <v>1797</v>
      </c>
      <c r="K258" s="95" t="s">
        <v>1798</v>
      </c>
      <c r="L258" s="94" t="s">
        <v>1799</v>
      </c>
      <c r="M258" s="51" t="b">
        <v>1</v>
      </c>
      <c r="N258" s="128" t="s">
        <v>1800</v>
      </c>
      <c r="O258" s="130"/>
      <c r="P258" s="118"/>
      <c r="Q258" s="13"/>
      <c r="R258" s="118"/>
      <c r="S258" s="118"/>
      <c r="T258" s="46"/>
      <c r="U258" s="13"/>
      <c r="V258" s="13"/>
      <c r="W258" s="13"/>
      <c r="X258" s="13"/>
      <c r="Y258" s="13"/>
      <c r="Z258" s="13"/>
      <c r="AA258" s="13"/>
      <c r="AB258" s="13"/>
      <c r="AC258" s="13"/>
    </row>
    <row r="259" ht="16.5" customHeight="1">
      <c r="A259" s="35">
        <v>256.0</v>
      </c>
      <c r="B259" s="36" t="s">
        <v>1801</v>
      </c>
      <c r="C259" s="37" t="s">
        <v>1802</v>
      </c>
      <c r="D259" s="38" t="s">
        <v>1803</v>
      </c>
      <c r="E259" s="38"/>
      <c r="F259" s="38" t="s">
        <v>1804</v>
      </c>
      <c r="G259" s="39" t="s">
        <v>1805</v>
      </c>
      <c r="H259" s="49" t="s">
        <v>49</v>
      </c>
      <c r="I259" s="94" t="s">
        <v>39</v>
      </c>
      <c r="J259" s="39" t="s">
        <v>50</v>
      </c>
      <c r="K259" s="92" t="s">
        <v>1806</v>
      </c>
      <c r="L259" s="94" t="s">
        <v>1807</v>
      </c>
      <c r="M259" s="51" t="b">
        <v>1</v>
      </c>
      <c r="N259" s="128" t="s">
        <v>1808</v>
      </c>
      <c r="O259" s="130"/>
      <c r="P259" s="118"/>
      <c r="Q259" s="118"/>
      <c r="R259" s="118"/>
      <c r="S259" s="118"/>
      <c r="T259" s="46"/>
      <c r="U259" s="13"/>
      <c r="V259" s="13"/>
      <c r="W259" s="13"/>
      <c r="X259" s="13"/>
      <c r="Y259" s="13"/>
      <c r="Z259" s="13"/>
      <c r="AA259" s="13"/>
      <c r="AB259" s="13"/>
      <c r="AC259" s="13"/>
    </row>
    <row r="260" ht="270.0" hidden="1" customHeight="1">
      <c r="A260" s="35">
        <v>257.0</v>
      </c>
      <c r="B260" s="36" t="s">
        <v>1809</v>
      </c>
      <c r="C260" s="37" t="s">
        <v>1810</v>
      </c>
      <c r="D260" s="38" t="s">
        <v>1811</v>
      </c>
      <c r="E260" s="38"/>
      <c r="F260" s="38" t="s">
        <v>1812</v>
      </c>
      <c r="G260" s="39" t="s">
        <v>231</v>
      </c>
      <c r="H260" s="49" t="s">
        <v>62</v>
      </c>
      <c r="I260" s="94" t="s">
        <v>63</v>
      </c>
      <c r="J260" s="55"/>
      <c r="K260" s="122"/>
      <c r="L260" s="123"/>
      <c r="M260" s="51" t="b">
        <v>0</v>
      </c>
      <c r="N260" s="118"/>
      <c r="O260" s="118"/>
      <c r="P260" s="118"/>
      <c r="Q260" s="118"/>
      <c r="R260" s="118"/>
      <c r="S260" s="118"/>
      <c r="T260" s="46"/>
      <c r="U260" s="13"/>
      <c r="V260" s="13"/>
      <c r="W260" s="13"/>
      <c r="X260" s="13"/>
      <c r="Y260" s="13"/>
      <c r="Z260" s="13"/>
      <c r="AA260" s="13"/>
      <c r="AB260" s="13"/>
      <c r="AC260" s="13"/>
    </row>
    <row r="261" ht="270.0" hidden="1" customHeight="1">
      <c r="A261" s="35">
        <v>258.0</v>
      </c>
      <c r="B261" s="36" t="s">
        <v>1813</v>
      </c>
      <c r="C261" s="37" t="s">
        <v>1814</v>
      </c>
      <c r="D261" s="38" t="s">
        <v>1815</v>
      </c>
      <c r="E261" s="38" t="s">
        <v>1816</v>
      </c>
      <c r="F261" s="38" t="s">
        <v>1817</v>
      </c>
      <c r="G261" s="39" t="s">
        <v>1818</v>
      </c>
      <c r="H261" s="136" t="s">
        <v>62</v>
      </c>
      <c r="I261" s="86" t="s">
        <v>63</v>
      </c>
      <c r="J261" s="55"/>
      <c r="K261" s="122"/>
      <c r="L261" s="123"/>
      <c r="M261" s="51" t="b">
        <v>0</v>
      </c>
      <c r="N261" s="118"/>
      <c r="O261" s="118"/>
      <c r="P261" s="118" t="s">
        <v>1819</v>
      </c>
      <c r="Q261" s="118"/>
      <c r="R261" s="118"/>
      <c r="S261" s="118"/>
      <c r="T261" s="46"/>
      <c r="U261" s="13"/>
      <c r="V261" s="13"/>
      <c r="W261" s="13"/>
      <c r="X261" s="13"/>
      <c r="Y261" s="13"/>
      <c r="Z261" s="13"/>
      <c r="AA261" s="13"/>
      <c r="AB261" s="13"/>
      <c r="AC261" s="13"/>
    </row>
    <row r="262" ht="16.5" customHeight="1">
      <c r="A262" s="35">
        <v>259.0</v>
      </c>
      <c r="B262" s="36" t="s">
        <v>1820</v>
      </c>
      <c r="C262" s="37" t="s">
        <v>1821</v>
      </c>
      <c r="D262" s="38" t="s">
        <v>1822</v>
      </c>
      <c r="E262" s="38"/>
      <c r="F262" s="38" t="s">
        <v>1823</v>
      </c>
      <c r="G262" s="39" t="s">
        <v>1824</v>
      </c>
      <c r="H262" s="49" t="s">
        <v>49</v>
      </c>
      <c r="I262" s="94" t="s">
        <v>39</v>
      </c>
      <c r="J262" s="39" t="s">
        <v>1825</v>
      </c>
      <c r="K262" s="95" t="s">
        <v>933</v>
      </c>
      <c r="L262" s="94" t="s">
        <v>1826</v>
      </c>
      <c r="M262" s="51" t="b">
        <v>1</v>
      </c>
      <c r="N262" s="128" t="s">
        <v>1827</v>
      </c>
      <c r="O262" s="130"/>
      <c r="P262" s="118"/>
      <c r="Q262" s="118"/>
      <c r="R262" s="118"/>
      <c r="S262" s="118"/>
      <c r="T262" s="46"/>
      <c r="U262" s="13"/>
      <c r="V262" s="13"/>
      <c r="W262" s="13"/>
      <c r="X262" s="13"/>
      <c r="Y262" s="13"/>
      <c r="Z262" s="13"/>
      <c r="AA262" s="13"/>
      <c r="AB262" s="13"/>
      <c r="AC262" s="13"/>
    </row>
    <row r="263" ht="126.0" customHeight="1">
      <c r="A263" s="35">
        <v>260.0</v>
      </c>
      <c r="B263" s="36" t="s">
        <v>1828</v>
      </c>
      <c r="C263" s="37" t="s">
        <v>1829</v>
      </c>
      <c r="D263" s="38" t="s">
        <v>1830</v>
      </c>
      <c r="E263" s="38"/>
      <c r="F263" s="38" t="s">
        <v>1831</v>
      </c>
      <c r="G263" s="39" t="s">
        <v>205</v>
      </c>
      <c r="H263" s="49" t="s">
        <v>38</v>
      </c>
      <c r="I263" s="39" t="s">
        <v>39</v>
      </c>
      <c r="J263" s="66" t="s">
        <v>151</v>
      </c>
      <c r="K263" s="107" t="s">
        <v>214</v>
      </c>
      <c r="L263" s="39" t="s">
        <v>206</v>
      </c>
      <c r="M263" s="51" t="b">
        <v>1</v>
      </c>
      <c r="N263" s="131" t="s">
        <v>1832</v>
      </c>
      <c r="O263" s="129" t="s">
        <v>485</v>
      </c>
      <c r="P263" s="118"/>
      <c r="Q263" s="118"/>
      <c r="R263" s="118"/>
      <c r="S263" s="118"/>
      <c r="T263" s="46"/>
      <c r="U263" s="13"/>
      <c r="V263" s="13"/>
      <c r="W263" s="13"/>
      <c r="X263" s="13"/>
      <c r="Y263" s="13"/>
      <c r="Z263" s="13"/>
      <c r="AA263" s="13"/>
      <c r="AB263" s="13"/>
      <c r="AC263" s="13"/>
    </row>
    <row r="264" ht="409.5" hidden="1" customHeight="1">
      <c r="A264" s="35">
        <v>261.0</v>
      </c>
      <c r="B264" s="36" t="s">
        <v>1833</v>
      </c>
      <c r="C264" s="37" t="s">
        <v>1834</v>
      </c>
      <c r="D264" s="38" t="s">
        <v>1835</v>
      </c>
      <c r="E264" s="38"/>
      <c r="F264" s="38" t="s">
        <v>1836</v>
      </c>
      <c r="G264" s="39" t="s">
        <v>231</v>
      </c>
      <c r="H264" s="49" t="s">
        <v>62</v>
      </c>
      <c r="I264" s="94" t="s">
        <v>63</v>
      </c>
      <c r="J264" s="55"/>
      <c r="K264" s="122"/>
      <c r="L264" s="123"/>
      <c r="M264" s="51" t="b">
        <v>0</v>
      </c>
      <c r="N264" s="118"/>
      <c r="O264" s="118"/>
      <c r="P264" s="118"/>
      <c r="Q264" s="118"/>
      <c r="R264" s="118"/>
      <c r="S264" s="118"/>
      <c r="T264" s="46"/>
      <c r="U264" s="13"/>
      <c r="V264" s="13"/>
      <c r="W264" s="13"/>
      <c r="X264" s="13"/>
      <c r="Y264" s="13"/>
      <c r="Z264" s="13"/>
      <c r="AA264" s="13"/>
      <c r="AB264" s="13"/>
      <c r="AC264" s="13"/>
    </row>
    <row r="265" ht="342.0" customHeight="1">
      <c r="A265" s="35">
        <v>262.0</v>
      </c>
      <c r="B265" s="36" t="s">
        <v>1837</v>
      </c>
      <c r="C265" s="37" t="s">
        <v>1838</v>
      </c>
      <c r="D265" s="38" t="s">
        <v>1830</v>
      </c>
      <c r="E265" s="38"/>
      <c r="F265" s="38" t="s">
        <v>1839</v>
      </c>
      <c r="G265" s="39" t="s">
        <v>1840</v>
      </c>
      <c r="H265" s="49" t="s">
        <v>49</v>
      </c>
      <c r="I265" s="86" t="s">
        <v>39</v>
      </c>
      <c r="J265" s="39" t="s">
        <v>1368</v>
      </c>
      <c r="K265" s="95" t="s">
        <v>173</v>
      </c>
      <c r="L265" s="94" t="s">
        <v>1025</v>
      </c>
      <c r="M265" s="51" t="b">
        <v>1</v>
      </c>
      <c r="N265" s="128" t="s">
        <v>1369</v>
      </c>
      <c r="O265" s="130"/>
      <c r="P265" s="118"/>
      <c r="Q265" s="118"/>
      <c r="R265" s="118"/>
      <c r="S265" s="118"/>
      <c r="T265" s="46"/>
      <c r="U265" s="13"/>
      <c r="V265" s="13"/>
      <c r="W265" s="13"/>
      <c r="X265" s="13"/>
      <c r="Y265" s="13"/>
      <c r="Z265" s="13"/>
      <c r="AA265" s="13"/>
      <c r="AB265" s="13"/>
      <c r="AC265" s="13"/>
    </row>
    <row r="266" ht="16.5" customHeight="1">
      <c r="A266" s="35">
        <v>263.0</v>
      </c>
      <c r="B266" s="36" t="s">
        <v>1841</v>
      </c>
      <c r="C266" s="37" t="s">
        <v>1842</v>
      </c>
      <c r="D266" s="38" t="s">
        <v>1843</v>
      </c>
      <c r="E266" s="38" t="s">
        <v>1844</v>
      </c>
      <c r="F266" s="38" t="s">
        <v>1845</v>
      </c>
      <c r="G266" s="39" t="s">
        <v>1846</v>
      </c>
      <c r="H266" s="49" t="s">
        <v>49</v>
      </c>
      <c r="I266" s="94" t="s">
        <v>39</v>
      </c>
      <c r="J266" s="91" t="s">
        <v>151</v>
      </c>
      <c r="K266" s="134" t="s">
        <v>1847</v>
      </c>
      <c r="L266" s="141" t="s">
        <v>1848</v>
      </c>
      <c r="M266" s="51" t="b">
        <v>1</v>
      </c>
      <c r="N266" s="142" t="s">
        <v>292</v>
      </c>
      <c r="O266" s="118"/>
      <c r="P266" s="118" t="s">
        <v>1849</v>
      </c>
      <c r="Q266" s="118"/>
      <c r="R266" s="118"/>
      <c r="S266" s="118"/>
      <c r="T266" s="46"/>
      <c r="U266" s="13"/>
      <c r="V266" s="13"/>
      <c r="W266" s="13"/>
      <c r="X266" s="13"/>
      <c r="Y266" s="13"/>
      <c r="Z266" s="13"/>
      <c r="AA266" s="13"/>
      <c r="AB266" s="13"/>
      <c r="AC266" s="13"/>
    </row>
    <row r="267" ht="360.0" customHeight="1">
      <c r="A267" s="35">
        <v>264.0</v>
      </c>
      <c r="B267" s="36" t="s">
        <v>1850</v>
      </c>
      <c r="C267" s="114" t="s">
        <v>1851</v>
      </c>
      <c r="D267" s="38" t="s">
        <v>1852</v>
      </c>
      <c r="E267" s="38" t="s">
        <v>1853</v>
      </c>
      <c r="F267" s="38" t="s">
        <v>1854</v>
      </c>
      <c r="G267" s="58" t="s">
        <v>1855</v>
      </c>
      <c r="H267" s="49" t="s">
        <v>49</v>
      </c>
      <c r="I267" s="94" t="s">
        <v>39</v>
      </c>
      <c r="J267" s="39" t="s">
        <v>1856</v>
      </c>
      <c r="K267" s="95" t="s">
        <v>152</v>
      </c>
      <c r="L267" s="94" t="s">
        <v>1857</v>
      </c>
      <c r="M267" s="51" t="b">
        <v>1</v>
      </c>
      <c r="N267" s="128" t="s">
        <v>1858</v>
      </c>
      <c r="O267" s="130"/>
      <c r="P267" s="118"/>
      <c r="Q267" s="118"/>
      <c r="R267" s="118"/>
      <c r="S267" s="118"/>
      <c r="T267" s="46"/>
      <c r="U267" s="13"/>
      <c r="V267" s="13"/>
      <c r="W267" s="13"/>
      <c r="X267" s="13"/>
      <c r="Y267" s="13"/>
      <c r="Z267" s="13"/>
      <c r="AA267" s="13"/>
      <c r="AB267" s="13"/>
      <c r="AC267" s="13"/>
    </row>
    <row r="268" ht="16.5" customHeight="1">
      <c r="A268" s="35">
        <v>265.0</v>
      </c>
      <c r="B268" s="36" t="s">
        <v>1859</v>
      </c>
      <c r="C268" s="37" t="s">
        <v>1860</v>
      </c>
      <c r="D268" s="38" t="s">
        <v>1861</v>
      </c>
      <c r="E268" s="38" t="s">
        <v>1862</v>
      </c>
      <c r="F268" s="38" t="s">
        <v>1863</v>
      </c>
      <c r="G268" s="39" t="s">
        <v>491</v>
      </c>
      <c r="H268" s="49" t="s">
        <v>49</v>
      </c>
      <c r="I268" s="94" t="s">
        <v>39</v>
      </c>
      <c r="J268" s="39" t="s">
        <v>492</v>
      </c>
      <c r="K268" s="41" t="s">
        <v>409</v>
      </c>
      <c r="L268" s="39" t="s">
        <v>493</v>
      </c>
      <c r="M268" s="51" t="b">
        <v>1</v>
      </c>
      <c r="N268" s="131" t="s">
        <v>494</v>
      </c>
      <c r="O268" s="129" t="s">
        <v>495</v>
      </c>
      <c r="P268" s="118"/>
      <c r="Q268" s="118"/>
      <c r="R268" s="118"/>
      <c r="S268" s="118"/>
      <c r="T268" s="46"/>
      <c r="U268" s="13"/>
      <c r="V268" s="13"/>
      <c r="W268" s="13"/>
      <c r="X268" s="13"/>
      <c r="Y268" s="13"/>
      <c r="Z268" s="13"/>
      <c r="AA268" s="13"/>
      <c r="AB268" s="13"/>
      <c r="AC268" s="13"/>
    </row>
    <row r="269" ht="198.0" customHeight="1">
      <c r="A269" s="35">
        <v>266.0</v>
      </c>
      <c r="B269" s="36" t="s">
        <v>1864</v>
      </c>
      <c r="C269" s="37" t="s">
        <v>1865</v>
      </c>
      <c r="D269" s="38" t="s">
        <v>1830</v>
      </c>
      <c r="E269" s="38"/>
      <c r="F269" s="38" t="s">
        <v>1866</v>
      </c>
      <c r="G269" s="39" t="s">
        <v>1867</v>
      </c>
      <c r="H269" s="49" t="s">
        <v>49</v>
      </c>
      <c r="I269" s="94" t="s">
        <v>39</v>
      </c>
      <c r="J269" s="39" t="s">
        <v>492</v>
      </c>
      <c r="K269" s="41" t="s">
        <v>409</v>
      </c>
      <c r="L269" s="39" t="s">
        <v>493</v>
      </c>
      <c r="M269" s="51" t="b">
        <v>1</v>
      </c>
      <c r="N269" s="131" t="s">
        <v>494</v>
      </c>
      <c r="O269" s="130"/>
      <c r="P269" s="118"/>
      <c r="Q269" s="118"/>
      <c r="R269" s="118"/>
      <c r="S269" s="118"/>
      <c r="T269" s="46"/>
      <c r="U269" s="13"/>
      <c r="V269" s="13"/>
      <c r="W269" s="13"/>
      <c r="X269" s="13"/>
      <c r="Y269" s="13"/>
      <c r="Z269" s="13"/>
      <c r="AA269" s="13"/>
      <c r="AB269" s="13"/>
      <c r="AC269" s="13"/>
    </row>
    <row r="270" ht="16.5" customHeight="1">
      <c r="A270" s="35">
        <v>267.0</v>
      </c>
      <c r="B270" s="36" t="s">
        <v>1868</v>
      </c>
      <c r="C270" s="37" t="s">
        <v>1869</v>
      </c>
      <c r="D270" s="38" t="s">
        <v>1870</v>
      </c>
      <c r="E270" s="38" t="s">
        <v>1871</v>
      </c>
      <c r="F270" s="38" t="s">
        <v>1872</v>
      </c>
      <c r="G270" s="39" t="s">
        <v>1873</v>
      </c>
      <c r="H270" s="49" t="s">
        <v>49</v>
      </c>
      <c r="I270" s="86" t="s">
        <v>39</v>
      </c>
      <c r="J270" s="39" t="s">
        <v>551</v>
      </c>
      <c r="K270" s="95" t="s">
        <v>1006</v>
      </c>
      <c r="L270" s="94" t="s">
        <v>1007</v>
      </c>
      <c r="M270" s="51" t="b">
        <v>1</v>
      </c>
      <c r="N270" s="128" t="s">
        <v>687</v>
      </c>
      <c r="O270" s="129" t="s">
        <v>688</v>
      </c>
      <c r="P270" s="118"/>
      <c r="Q270" s="118"/>
      <c r="R270" s="118"/>
      <c r="S270" s="118"/>
      <c r="T270" s="46"/>
      <c r="U270" s="13"/>
      <c r="V270" s="13"/>
      <c r="W270" s="13"/>
      <c r="X270" s="13"/>
      <c r="Y270" s="13"/>
      <c r="Z270" s="13"/>
      <c r="AA270" s="13"/>
      <c r="AB270" s="13"/>
      <c r="AC270" s="13"/>
    </row>
    <row r="271" ht="16.5" customHeight="1">
      <c r="A271" s="35">
        <v>268.0</v>
      </c>
      <c r="B271" s="36" t="s">
        <v>1874</v>
      </c>
      <c r="C271" s="37" t="s">
        <v>1875</v>
      </c>
      <c r="D271" s="38" t="s">
        <v>1876</v>
      </c>
      <c r="E271" s="38" t="s">
        <v>1877</v>
      </c>
      <c r="F271" s="38" t="s">
        <v>1878</v>
      </c>
      <c r="G271" s="39" t="s">
        <v>1879</v>
      </c>
      <c r="H271" s="49" t="s">
        <v>49</v>
      </c>
      <c r="I271" s="94" t="s">
        <v>39</v>
      </c>
      <c r="J271" s="94" t="s">
        <v>1880</v>
      </c>
      <c r="K271" s="95" t="s">
        <v>173</v>
      </c>
      <c r="L271" s="94" t="s">
        <v>424</v>
      </c>
      <c r="M271" s="51" t="b">
        <v>0</v>
      </c>
      <c r="N271" s="118"/>
      <c r="O271" s="118"/>
      <c r="P271" s="118" t="s">
        <v>1881</v>
      </c>
      <c r="Q271" s="118" t="s">
        <v>1882</v>
      </c>
      <c r="R271" s="118"/>
      <c r="S271" s="118"/>
      <c r="T271" s="46"/>
      <c r="U271" s="13"/>
      <c r="V271" s="13"/>
      <c r="W271" s="13"/>
      <c r="X271" s="13"/>
      <c r="Y271" s="13"/>
      <c r="Z271" s="13"/>
      <c r="AA271" s="13"/>
      <c r="AB271" s="13"/>
      <c r="AC271" s="13"/>
    </row>
    <row r="272" ht="16.5" customHeight="1">
      <c r="A272" s="35">
        <v>269.0</v>
      </c>
      <c r="B272" s="36" t="s">
        <v>1883</v>
      </c>
      <c r="C272" s="37" t="s">
        <v>1884</v>
      </c>
      <c r="D272" s="38" t="s">
        <v>1885</v>
      </c>
      <c r="E272" s="38" t="s">
        <v>1886</v>
      </c>
      <c r="F272" s="38" t="s">
        <v>1887</v>
      </c>
      <c r="G272" s="39" t="s">
        <v>1888</v>
      </c>
      <c r="H272" s="49" t="s">
        <v>49</v>
      </c>
      <c r="I272" s="39" t="s">
        <v>39</v>
      </c>
      <c r="J272" s="94" t="s">
        <v>422</v>
      </c>
      <c r="K272" s="92" t="s">
        <v>1889</v>
      </c>
      <c r="L272" s="143" t="s">
        <v>1890</v>
      </c>
      <c r="M272" s="51" t="b">
        <v>1</v>
      </c>
      <c r="N272" s="144" t="s">
        <v>1891</v>
      </c>
      <c r="O272" s="125"/>
      <c r="P272" s="125" t="s">
        <v>1892</v>
      </c>
      <c r="Q272" s="125" t="s">
        <v>1893</v>
      </c>
      <c r="R272" s="125"/>
      <c r="S272" s="118"/>
      <c r="T272" s="46"/>
      <c r="U272" s="13"/>
      <c r="V272" s="13"/>
      <c r="W272" s="13"/>
      <c r="X272" s="13"/>
      <c r="Y272" s="13"/>
      <c r="Z272" s="13"/>
      <c r="AA272" s="13"/>
      <c r="AB272" s="13"/>
      <c r="AC272" s="13"/>
    </row>
    <row r="273" ht="16.5" customHeight="1">
      <c r="A273" s="35">
        <v>270.0</v>
      </c>
      <c r="B273" s="36" t="s">
        <v>1894</v>
      </c>
      <c r="C273" s="37" t="s">
        <v>1895</v>
      </c>
      <c r="D273" s="38" t="s">
        <v>1896</v>
      </c>
      <c r="E273" s="38" t="s">
        <v>1897</v>
      </c>
      <c r="F273" s="38" t="s">
        <v>1898</v>
      </c>
      <c r="G273" s="39" t="s">
        <v>1899</v>
      </c>
      <c r="H273" s="49" t="s">
        <v>49</v>
      </c>
      <c r="I273" s="94" t="s">
        <v>39</v>
      </c>
      <c r="J273" s="39" t="s">
        <v>1581</v>
      </c>
      <c r="K273" s="95" t="s">
        <v>1900</v>
      </c>
      <c r="L273" s="94" t="s">
        <v>1901</v>
      </c>
      <c r="M273" s="51" t="b">
        <v>1</v>
      </c>
      <c r="N273" s="132" t="s">
        <v>1902</v>
      </c>
      <c r="O273" s="133"/>
      <c r="P273" s="125"/>
      <c r="Q273" s="125"/>
      <c r="R273" s="125"/>
      <c r="S273" s="118"/>
      <c r="T273" s="46"/>
      <c r="U273" s="13"/>
      <c r="V273" s="13"/>
      <c r="W273" s="13"/>
      <c r="X273" s="13"/>
      <c r="Y273" s="13"/>
      <c r="Z273" s="13"/>
      <c r="AA273" s="13"/>
      <c r="AB273" s="13"/>
      <c r="AC273" s="13"/>
    </row>
    <row r="274" ht="16.5" hidden="1" customHeight="1">
      <c r="A274" s="35">
        <v>271.0</v>
      </c>
      <c r="B274" s="36" t="s">
        <v>1903</v>
      </c>
      <c r="C274" s="37" t="s">
        <v>1904</v>
      </c>
      <c r="D274" s="38" t="s">
        <v>1905</v>
      </c>
      <c r="E274" s="38" t="s">
        <v>1906</v>
      </c>
      <c r="F274" s="38" t="s">
        <v>1831</v>
      </c>
      <c r="G274" s="55"/>
      <c r="H274" s="49" t="s">
        <v>62</v>
      </c>
      <c r="I274" s="94" t="s">
        <v>63</v>
      </c>
      <c r="J274" s="55"/>
      <c r="K274" s="122"/>
      <c r="L274" s="123"/>
      <c r="M274" s="51" t="b">
        <v>0</v>
      </c>
      <c r="N274" s="118"/>
      <c r="O274" s="118"/>
      <c r="P274" s="118"/>
      <c r="Q274" s="118"/>
      <c r="R274" s="118"/>
      <c r="S274" s="118"/>
      <c r="T274" s="46"/>
      <c r="U274" s="13"/>
      <c r="V274" s="13"/>
      <c r="W274" s="13"/>
      <c r="X274" s="13"/>
      <c r="Y274" s="13"/>
      <c r="Z274" s="13"/>
      <c r="AA274" s="13"/>
      <c r="AB274" s="13"/>
      <c r="AC274" s="13"/>
    </row>
    <row r="275" ht="126.0" customHeight="1">
      <c r="A275" s="35">
        <v>272.0</v>
      </c>
      <c r="B275" s="36" t="s">
        <v>1907</v>
      </c>
      <c r="C275" s="37" t="s">
        <v>1908</v>
      </c>
      <c r="D275" s="38" t="s">
        <v>1830</v>
      </c>
      <c r="E275" s="38"/>
      <c r="F275" s="38" t="s">
        <v>1831</v>
      </c>
      <c r="G275" s="39" t="s">
        <v>1909</v>
      </c>
      <c r="H275" s="49" t="s">
        <v>49</v>
      </c>
      <c r="I275" s="39" t="s">
        <v>39</v>
      </c>
      <c r="J275" s="39" t="s">
        <v>1910</v>
      </c>
      <c r="K275" s="95" t="s">
        <v>1150</v>
      </c>
      <c r="L275" s="94" t="s">
        <v>1911</v>
      </c>
      <c r="M275" s="51" t="b">
        <v>1</v>
      </c>
      <c r="N275" s="128" t="s">
        <v>1912</v>
      </c>
      <c r="O275" s="130"/>
      <c r="P275" s="118"/>
      <c r="Q275" s="118"/>
      <c r="R275" s="118"/>
      <c r="S275" s="118"/>
      <c r="T275" s="46"/>
      <c r="U275" s="13"/>
      <c r="V275" s="13"/>
      <c r="W275" s="13"/>
      <c r="X275" s="13"/>
      <c r="Y275" s="13"/>
      <c r="Z275" s="13"/>
      <c r="AA275" s="13"/>
      <c r="AB275" s="13"/>
      <c r="AC275" s="13"/>
    </row>
    <row r="276" ht="16.5" customHeight="1">
      <c r="A276" s="35">
        <v>273.0</v>
      </c>
      <c r="B276" s="36" t="s">
        <v>1913</v>
      </c>
      <c r="C276" s="37" t="s">
        <v>1914</v>
      </c>
      <c r="D276" s="38" t="s">
        <v>1915</v>
      </c>
      <c r="E276" s="38" t="s">
        <v>1916</v>
      </c>
      <c r="F276" s="38" t="s">
        <v>1917</v>
      </c>
      <c r="G276" s="39" t="s">
        <v>1918</v>
      </c>
      <c r="H276" s="49" t="s">
        <v>49</v>
      </c>
      <c r="I276" s="39" t="s">
        <v>39</v>
      </c>
      <c r="J276" s="139" t="s">
        <v>1919</v>
      </c>
      <c r="K276" s="145" t="s">
        <v>1920</v>
      </c>
      <c r="L276" s="146" t="s">
        <v>1921</v>
      </c>
      <c r="M276" s="51" t="b">
        <v>0</v>
      </c>
      <c r="N276" s="125"/>
      <c r="O276" s="125"/>
      <c r="P276" s="125" t="s">
        <v>1922</v>
      </c>
      <c r="Q276" s="125" t="s">
        <v>1923</v>
      </c>
      <c r="R276" s="125" t="s">
        <v>1924</v>
      </c>
      <c r="S276" s="118"/>
      <c r="T276" s="46"/>
      <c r="U276" s="13"/>
      <c r="V276" s="13"/>
      <c r="W276" s="13"/>
      <c r="X276" s="13"/>
      <c r="Y276" s="13"/>
      <c r="Z276" s="13"/>
      <c r="AA276" s="13"/>
      <c r="AB276" s="13"/>
      <c r="AC276" s="13"/>
    </row>
    <row r="277" ht="216.0" customHeight="1">
      <c r="A277" s="35">
        <v>274.0</v>
      </c>
      <c r="B277" s="36" t="s">
        <v>1925</v>
      </c>
      <c r="C277" s="114" t="s">
        <v>1926</v>
      </c>
      <c r="D277" s="38"/>
      <c r="E277" s="38"/>
      <c r="F277" s="38" t="s">
        <v>1927</v>
      </c>
      <c r="G277" s="39" t="s">
        <v>1928</v>
      </c>
      <c r="H277" s="49" t="s">
        <v>49</v>
      </c>
      <c r="I277" s="94" t="s">
        <v>39</v>
      </c>
      <c r="J277" s="93" t="s">
        <v>82</v>
      </c>
      <c r="K277" s="95" t="s">
        <v>1847</v>
      </c>
      <c r="L277" s="94" t="s">
        <v>1929</v>
      </c>
      <c r="M277" s="51" t="b">
        <v>0</v>
      </c>
      <c r="N277" s="147" t="s">
        <v>1930</v>
      </c>
      <c r="O277" s="118"/>
      <c r="P277" s="118" t="s">
        <v>1931</v>
      </c>
      <c r="Q277" s="118"/>
      <c r="R277" s="118"/>
      <c r="S277" s="118"/>
      <c r="T277" s="46"/>
      <c r="U277" s="13"/>
      <c r="V277" s="13"/>
      <c r="W277" s="13"/>
      <c r="X277" s="13"/>
      <c r="Y277" s="13"/>
      <c r="Z277" s="13"/>
      <c r="AA277" s="13"/>
      <c r="AB277" s="13"/>
      <c r="AC277" s="13"/>
    </row>
    <row r="278" ht="16.5" customHeight="1">
      <c r="A278" s="35">
        <v>275.0</v>
      </c>
      <c r="B278" s="36" t="s">
        <v>1932</v>
      </c>
      <c r="C278" s="37" t="s">
        <v>1933</v>
      </c>
      <c r="D278" s="38"/>
      <c r="E278" s="38"/>
      <c r="F278" s="38" t="s">
        <v>1934</v>
      </c>
      <c r="G278" s="39" t="s">
        <v>1935</v>
      </c>
      <c r="H278" s="49" t="s">
        <v>49</v>
      </c>
      <c r="I278" s="39" t="s">
        <v>39</v>
      </c>
      <c r="J278" s="148" t="s">
        <v>1936</v>
      </c>
      <c r="K278" s="149" t="s">
        <v>1937</v>
      </c>
      <c r="L278" s="150" t="s">
        <v>1938</v>
      </c>
      <c r="M278" s="51" t="b">
        <v>0</v>
      </c>
      <c r="N278" s="118"/>
      <c r="O278" s="118"/>
      <c r="P278" s="118" t="s">
        <v>1939</v>
      </c>
      <c r="Q278" s="118" t="s">
        <v>1940</v>
      </c>
      <c r="R278" s="118"/>
      <c r="S278" s="118"/>
      <c r="T278" s="46"/>
      <c r="U278" s="13"/>
      <c r="V278" s="13"/>
      <c r="W278" s="13"/>
      <c r="X278" s="13"/>
      <c r="Y278" s="13"/>
      <c r="Z278" s="13"/>
      <c r="AA278" s="13"/>
      <c r="AB278" s="13"/>
      <c r="AC278" s="13"/>
    </row>
    <row r="279" ht="16.5" customHeight="1">
      <c r="A279" s="35">
        <v>276.0</v>
      </c>
      <c r="B279" s="36" t="s">
        <v>1941</v>
      </c>
      <c r="C279" s="37" t="s">
        <v>1942</v>
      </c>
      <c r="D279" s="38"/>
      <c r="E279" s="38"/>
      <c r="F279" s="38" t="s">
        <v>1943</v>
      </c>
      <c r="G279" s="39" t="s">
        <v>1944</v>
      </c>
      <c r="H279" s="49" t="s">
        <v>49</v>
      </c>
      <c r="I279" s="39" t="s">
        <v>39</v>
      </c>
      <c r="J279" s="39" t="s">
        <v>916</v>
      </c>
      <c r="K279" s="41" t="s">
        <v>1240</v>
      </c>
      <c r="L279" s="39" t="s">
        <v>1241</v>
      </c>
      <c r="M279" s="51" t="b">
        <v>1</v>
      </c>
      <c r="N279" s="128" t="s">
        <v>1945</v>
      </c>
      <c r="O279" s="129" t="s">
        <v>1310</v>
      </c>
      <c r="P279" s="118"/>
      <c r="Q279" s="118"/>
      <c r="R279" s="118"/>
      <c r="S279" s="118"/>
      <c r="T279" s="46"/>
      <c r="U279" s="13"/>
      <c r="V279" s="13"/>
      <c r="W279" s="13"/>
      <c r="X279" s="13"/>
      <c r="Y279" s="13"/>
      <c r="Z279" s="13"/>
      <c r="AA279" s="13"/>
      <c r="AB279" s="13"/>
      <c r="AC279" s="13"/>
    </row>
    <row r="280" ht="16.5" customHeight="1">
      <c r="A280" s="35">
        <v>277.0</v>
      </c>
      <c r="B280" s="36" t="s">
        <v>1946</v>
      </c>
      <c r="C280" s="37" t="s">
        <v>1947</v>
      </c>
      <c r="D280" s="38"/>
      <c r="E280" s="38"/>
      <c r="F280" s="38" t="s">
        <v>1948</v>
      </c>
      <c r="G280" s="39" t="s">
        <v>1949</v>
      </c>
      <c r="H280" s="49" t="s">
        <v>49</v>
      </c>
      <c r="I280" s="39" t="s">
        <v>39</v>
      </c>
      <c r="J280" s="151" t="s">
        <v>1797</v>
      </c>
      <c r="K280" s="152" t="s">
        <v>1950</v>
      </c>
      <c r="L280" s="150" t="s">
        <v>1951</v>
      </c>
      <c r="M280" s="51" t="b">
        <v>0</v>
      </c>
      <c r="N280" s="118"/>
      <c r="O280" s="118"/>
      <c r="P280" s="118" t="s">
        <v>1952</v>
      </c>
      <c r="Q280" s="118" t="s">
        <v>1953</v>
      </c>
      <c r="R280" s="118"/>
      <c r="S280" s="118"/>
      <c r="T280" s="46"/>
      <c r="U280" s="13"/>
      <c r="V280" s="13"/>
      <c r="W280" s="13"/>
      <c r="X280" s="13"/>
      <c r="Y280" s="13"/>
      <c r="Z280" s="13"/>
      <c r="AA280" s="13"/>
      <c r="AB280" s="13"/>
      <c r="AC280" s="13"/>
    </row>
    <row r="281" ht="16.5" customHeight="1">
      <c r="A281" s="35">
        <v>278.0</v>
      </c>
      <c r="B281" s="36" t="s">
        <v>1954</v>
      </c>
      <c r="C281" s="37" t="s">
        <v>1955</v>
      </c>
      <c r="D281" s="38"/>
      <c r="E281" s="38"/>
      <c r="F281" s="38" t="s">
        <v>1956</v>
      </c>
      <c r="G281" s="39" t="s">
        <v>1708</v>
      </c>
      <c r="H281" s="49" t="s">
        <v>49</v>
      </c>
      <c r="I281" s="39" t="s">
        <v>39</v>
      </c>
      <c r="J281" s="139" t="s">
        <v>610</v>
      </c>
      <c r="K281" s="145" t="s">
        <v>1957</v>
      </c>
      <c r="L281" s="153" t="s">
        <v>1958</v>
      </c>
      <c r="M281" s="51" t="b">
        <v>0</v>
      </c>
      <c r="N281" s="125"/>
      <c r="O281" s="125"/>
      <c r="P281" s="125" t="s">
        <v>1959</v>
      </c>
      <c r="Q281" s="125" t="s">
        <v>1960</v>
      </c>
      <c r="R281" s="125" t="s">
        <v>1961</v>
      </c>
      <c r="S281" s="118"/>
      <c r="T281" s="46"/>
      <c r="U281" s="13"/>
      <c r="V281" s="13"/>
      <c r="W281" s="13"/>
      <c r="X281" s="13"/>
      <c r="Y281" s="13"/>
      <c r="Z281" s="13"/>
      <c r="AA281" s="13"/>
      <c r="AB281" s="13"/>
      <c r="AC281" s="13"/>
    </row>
    <row r="282" ht="180.0" customHeight="1">
      <c r="A282" s="35">
        <v>279.0</v>
      </c>
      <c r="B282" s="36" t="s">
        <v>1962</v>
      </c>
      <c r="C282" s="37" t="s">
        <v>1963</v>
      </c>
      <c r="D282" s="38"/>
      <c r="E282" s="38"/>
      <c r="F282" s="38" t="s">
        <v>1964</v>
      </c>
      <c r="G282" s="39" t="s">
        <v>1965</v>
      </c>
      <c r="H282" s="49" t="s">
        <v>49</v>
      </c>
      <c r="I282" s="94" t="s">
        <v>39</v>
      </c>
      <c r="J282" s="39" t="s">
        <v>610</v>
      </c>
      <c r="K282" s="95" t="s">
        <v>1966</v>
      </c>
      <c r="L282" s="59" t="s">
        <v>1967</v>
      </c>
      <c r="M282" s="51" t="b">
        <v>1</v>
      </c>
      <c r="N282" s="142" t="s">
        <v>106</v>
      </c>
      <c r="O282" s="130"/>
      <c r="P282" s="118"/>
      <c r="Q282" s="118"/>
      <c r="R282" s="118"/>
      <c r="S282" s="118"/>
      <c r="T282" s="46"/>
      <c r="U282" s="13"/>
      <c r="V282" s="13"/>
      <c r="W282" s="13"/>
      <c r="X282" s="13"/>
      <c r="Y282" s="13"/>
      <c r="Z282" s="13"/>
      <c r="AA282" s="13"/>
      <c r="AB282" s="13"/>
      <c r="AC282" s="13"/>
    </row>
    <row r="283" ht="126.0" hidden="1" customHeight="1">
      <c r="A283" s="35">
        <v>280.0</v>
      </c>
      <c r="B283" s="36" t="s">
        <v>1968</v>
      </c>
      <c r="C283" s="37" t="s">
        <v>1969</v>
      </c>
      <c r="D283" s="38"/>
      <c r="E283" s="38"/>
      <c r="F283" s="38" t="s">
        <v>1831</v>
      </c>
      <c r="G283" s="39" t="s">
        <v>231</v>
      </c>
      <c r="H283" s="49" t="s">
        <v>62</v>
      </c>
      <c r="I283" s="94" t="s">
        <v>63</v>
      </c>
      <c r="J283" s="55"/>
      <c r="K283" s="122"/>
      <c r="L283" s="123"/>
      <c r="M283" s="51" t="b">
        <v>0</v>
      </c>
      <c r="N283" s="118"/>
      <c r="O283" s="118"/>
      <c r="P283" s="118"/>
      <c r="Q283" s="118"/>
      <c r="R283" s="118"/>
      <c r="S283" s="118"/>
      <c r="T283" s="46"/>
      <c r="U283" s="13"/>
      <c r="V283" s="13"/>
      <c r="W283" s="13"/>
      <c r="X283" s="13"/>
      <c r="Y283" s="13"/>
      <c r="Z283" s="13"/>
      <c r="AA283" s="13"/>
      <c r="AB283" s="13"/>
      <c r="AC283" s="13"/>
    </row>
    <row r="284" ht="16.5" hidden="1" customHeight="1">
      <c r="A284" s="35">
        <v>281.0</v>
      </c>
      <c r="B284" s="36" t="s">
        <v>1970</v>
      </c>
      <c r="C284" s="37" t="s">
        <v>1971</v>
      </c>
      <c r="D284" s="38"/>
      <c r="E284" s="38"/>
      <c r="F284" s="38" t="s">
        <v>1972</v>
      </c>
      <c r="G284" s="39" t="s">
        <v>1973</v>
      </c>
      <c r="H284" s="49" t="s">
        <v>62</v>
      </c>
      <c r="I284" s="94" t="s">
        <v>63</v>
      </c>
      <c r="J284" s="55"/>
      <c r="K284" s="122"/>
      <c r="L284" s="123"/>
      <c r="M284" s="51" t="b">
        <v>0</v>
      </c>
      <c r="N284" s="118"/>
      <c r="O284" s="118"/>
      <c r="P284" s="118" t="s">
        <v>1974</v>
      </c>
      <c r="Q284" s="118"/>
      <c r="R284" s="118"/>
      <c r="S284" s="118"/>
      <c r="T284" s="46"/>
      <c r="U284" s="13"/>
      <c r="V284" s="13"/>
      <c r="W284" s="13"/>
      <c r="X284" s="13"/>
      <c r="Y284" s="13"/>
      <c r="Z284" s="13"/>
      <c r="AA284" s="13"/>
      <c r="AB284" s="13"/>
      <c r="AC284" s="13"/>
    </row>
    <row r="285" ht="16.5" customHeight="1">
      <c r="A285" s="35">
        <v>282.0</v>
      </c>
      <c r="B285" s="74" t="s">
        <v>1975</v>
      </c>
      <c r="C285" s="37" t="s">
        <v>1976</v>
      </c>
      <c r="D285" s="38"/>
      <c r="E285" s="38"/>
      <c r="F285" s="38" t="s">
        <v>1977</v>
      </c>
      <c r="G285" s="39" t="s">
        <v>1978</v>
      </c>
      <c r="H285" s="49" t="s">
        <v>49</v>
      </c>
      <c r="I285" s="94" t="s">
        <v>39</v>
      </c>
      <c r="J285" s="93" t="s">
        <v>1979</v>
      </c>
      <c r="K285" s="92" t="s">
        <v>1980</v>
      </c>
      <c r="L285" s="94"/>
      <c r="M285" s="51" t="b">
        <v>1</v>
      </c>
      <c r="N285" s="94" t="s">
        <v>1981</v>
      </c>
      <c r="O285" s="118"/>
      <c r="P285" s="118" t="s">
        <v>1982</v>
      </c>
      <c r="Q285" s="118" t="s">
        <v>1983</v>
      </c>
      <c r="R285" s="118"/>
      <c r="S285" s="118"/>
      <c r="T285" s="46"/>
      <c r="U285" s="13"/>
      <c r="V285" s="13"/>
      <c r="W285" s="13"/>
      <c r="X285" s="13"/>
      <c r="Y285" s="13"/>
      <c r="Z285" s="13"/>
      <c r="AA285" s="13"/>
      <c r="AB285" s="13"/>
      <c r="AC285" s="13"/>
    </row>
    <row r="286" ht="16.5" customHeight="1">
      <c r="A286" s="35">
        <v>283.0</v>
      </c>
      <c r="B286" s="36" t="s">
        <v>1984</v>
      </c>
      <c r="C286" s="37" t="s">
        <v>1985</v>
      </c>
      <c r="D286" s="38"/>
      <c r="E286" s="38"/>
      <c r="F286" s="38" t="s">
        <v>1986</v>
      </c>
      <c r="G286" s="39" t="s">
        <v>1987</v>
      </c>
      <c r="H286" s="49" t="s">
        <v>49</v>
      </c>
      <c r="I286" s="39" t="s">
        <v>39</v>
      </c>
      <c r="J286" s="94" t="s">
        <v>1988</v>
      </c>
      <c r="K286" s="92" t="s">
        <v>1989</v>
      </c>
      <c r="L286" s="112" t="s">
        <v>1990</v>
      </c>
      <c r="M286" s="51" t="b">
        <v>0</v>
      </c>
      <c r="N286" s="118"/>
      <c r="O286" s="118"/>
      <c r="P286" s="118" t="s">
        <v>1991</v>
      </c>
      <c r="Q286" s="118"/>
      <c r="R286" s="118"/>
      <c r="S286" s="118"/>
      <c r="T286" s="46"/>
      <c r="U286" s="13"/>
      <c r="V286" s="13"/>
      <c r="W286" s="13"/>
      <c r="X286" s="13"/>
      <c r="Y286" s="13"/>
      <c r="Z286" s="13"/>
      <c r="AA286" s="13"/>
      <c r="AB286" s="13"/>
      <c r="AC286" s="13"/>
    </row>
    <row r="287" ht="198.0" customHeight="1">
      <c r="A287" s="35">
        <v>284.0</v>
      </c>
      <c r="B287" s="36" t="s">
        <v>1992</v>
      </c>
      <c r="C287" s="37" t="s">
        <v>1993</v>
      </c>
      <c r="D287" s="38"/>
      <c r="E287" s="38"/>
      <c r="F287" s="38" t="s">
        <v>1994</v>
      </c>
      <c r="G287" s="48" t="s">
        <v>1733</v>
      </c>
      <c r="H287" s="49" t="s">
        <v>49</v>
      </c>
      <c r="I287" s="94" t="s">
        <v>39</v>
      </c>
      <c r="J287" s="39" t="s">
        <v>720</v>
      </c>
      <c r="K287" s="95" t="s">
        <v>745</v>
      </c>
      <c r="L287" s="135" t="s">
        <v>1734</v>
      </c>
      <c r="M287" s="51" t="b">
        <v>0</v>
      </c>
      <c r="N287" s="128" t="s">
        <v>1995</v>
      </c>
      <c r="O287" s="129" t="s">
        <v>1735</v>
      </c>
      <c r="P287" s="118"/>
      <c r="Q287" s="118"/>
      <c r="R287" s="118"/>
      <c r="S287" s="118"/>
      <c r="T287" s="46"/>
      <c r="U287" s="13"/>
      <c r="V287" s="13"/>
      <c r="W287" s="13"/>
      <c r="X287" s="13"/>
      <c r="Y287" s="13"/>
      <c r="Z287" s="13"/>
      <c r="AA287" s="13"/>
      <c r="AB287" s="13"/>
      <c r="AC287" s="13"/>
    </row>
    <row r="288" ht="288.0" customHeight="1">
      <c r="A288" s="35">
        <v>285.0</v>
      </c>
      <c r="B288" s="36" t="s">
        <v>1996</v>
      </c>
      <c r="C288" s="37" t="s">
        <v>1997</v>
      </c>
      <c r="D288" s="38"/>
      <c r="E288" s="38"/>
      <c r="F288" s="38" t="s">
        <v>1998</v>
      </c>
      <c r="G288" s="39" t="s">
        <v>1999</v>
      </c>
      <c r="H288" s="49" t="s">
        <v>49</v>
      </c>
      <c r="I288" s="94" t="s">
        <v>39</v>
      </c>
      <c r="J288" s="93" t="s">
        <v>1159</v>
      </c>
      <c r="K288" s="95" t="s">
        <v>173</v>
      </c>
      <c r="L288" s="154" t="s">
        <v>2000</v>
      </c>
      <c r="M288" s="51" t="b">
        <v>1</v>
      </c>
      <c r="N288" s="128" t="s">
        <v>1160</v>
      </c>
      <c r="O288" s="118"/>
      <c r="P288" s="118" t="s">
        <v>2001</v>
      </c>
      <c r="Q288" s="118"/>
      <c r="R288" s="118"/>
      <c r="S288" s="118"/>
      <c r="T288" s="46"/>
      <c r="U288" s="13"/>
      <c r="V288" s="13"/>
      <c r="W288" s="13"/>
      <c r="X288" s="13"/>
      <c r="Y288" s="13"/>
      <c r="Z288" s="13"/>
      <c r="AA288" s="13"/>
      <c r="AB288" s="13"/>
      <c r="AC288" s="13"/>
    </row>
    <row r="289" ht="16.5" customHeight="1">
      <c r="A289" s="35">
        <v>286.0</v>
      </c>
      <c r="B289" s="36" t="s">
        <v>2002</v>
      </c>
      <c r="C289" s="37" t="s">
        <v>2003</v>
      </c>
      <c r="D289" s="38" t="s">
        <v>2004</v>
      </c>
      <c r="E289" s="38" t="s">
        <v>2005</v>
      </c>
      <c r="F289" s="38" t="s">
        <v>2006</v>
      </c>
      <c r="G289" s="39" t="s">
        <v>2007</v>
      </c>
      <c r="H289" s="49" t="s">
        <v>49</v>
      </c>
      <c r="I289" s="94" t="s">
        <v>39</v>
      </c>
      <c r="J289" s="39" t="s">
        <v>657</v>
      </c>
      <c r="K289" s="95" t="s">
        <v>2008</v>
      </c>
      <c r="L289" s="94" t="s">
        <v>2009</v>
      </c>
      <c r="M289" s="51" t="b">
        <v>1</v>
      </c>
      <c r="N289" s="128" t="s">
        <v>2010</v>
      </c>
      <c r="O289" s="130"/>
      <c r="P289" s="118"/>
      <c r="Q289" s="118"/>
      <c r="R289" s="118"/>
      <c r="S289" s="118"/>
      <c r="T289" s="46"/>
      <c r="U289" s="13"/>
      <c r="V289" s="13"/>
      <c r="W289" s="13"/>
      <c r="X289" s="13"/>
      <c r="Y289" s="13"/>
      <c r="Z289" s="13"/>
      <c r="AA289" s="13"/>
      <c r="AB289" s="13"/>
      <c r="AC289" s="13"/>
    </row>
    <row r="290" ht="198.0" customHeight="1">
      <c r="A290" s="35">
        <v>287.0</v>
      </c>
      <c r="B290" s="36" t="s">
        <v>2011</v>
      </c>
      <c r="C290" s="37" t="s">
        <v>2012</v>
      </c>
      <c r="D290" s="38"/>
      <c r="E290" s="38"/>
      <c r="F290" s="38" t="s">
        <v>2013</v>
      </c>
      <c r="G290" s="48" t="s">
        <v>1733</v>
      </c>
      <c r="H290" s="49" t="s">
        <v>49</v>
      </c>
      <c r="I290" s="94" t="s">
        <v>39</v>
      </c>
      <c r="J290" s="39" t="s">
        <v>720</v>
      </c>
      <c r="K290" s="95" t="s">
        <v>745</v>
      </c>
      <c r="L290" s="135" t="s">
        <v>1734</v>
      </c>
      <c r="M290" s="51" t="b">
        <v>1</v>
      </c>
      <c r="N290" s="128" t="s">
        <v>747</v>
      </c>
      <c r="O290" s="129" t="s">
        <v>1735</v>
      </c>
      <c r="P290" s="118"/>
      <c r="Q290" s="118"/>
      <c r="R290" s="118"/>
      <c r="S290" s="118"/>
      <c r="T290" s="46"/>
      <c r="U290" s="13"/>
      <c r="V290" s="13"/>
      <c r="W290" s="13"/>
      <c r="X290" s="13"/>
      <c r="Y290" s="13"/>
      <c r="Z290" s="13"/>
      <c r="AA290" s="13"/>
      <c r="AB290" s="13"/>
      <c r="AC290" s="13"/>
    </row>
    <row r="291" ht="16.5" hidden="1" customHeight="1">
      <c r="A291" s="35">
        <v>288.0</v>
      </c>
      <c r="B291" s="36" t="s">
        <v>2014</v>
      </c>
      <c r="C291" s="37" t="s">
        <v>2015</v>
      </c>
      <c r="D291" s="38" t="s">
        <v>2016</v>
      </c>
      <c r="E291" s="38" t="s">
        <v>2017</v>
      </c>
      <c r="F291" s="38" t="s">
        <v>2018</v>
      </c>
      <c r="G291" s="39" t="s">
        <v>231</v>
      </c>
      <c r="H291" s="49" t="s">
        <v>62</v>
      </c>
      <c r="I291" s="94" t="s">
        <v>63</v>
      </c>
      <c r="J291" s="55"/>
      <c r="K291" s="122"/>
      <c r="L291" s="123"/>
      <c r="M291" s="51" t="b">
        <v>0</v>
      </c>
      <c r="N291" s="118"/>
      <c r="O291" s="118"/>
      <c r="P291" s="118"/>
      <c r="Q291" s="118"/>
      <c r="R291" s="118"/>
      <c r="S291" s="118"/>
      <c r="T291" s="46"/>
      <c r="U291" s="13"/>
      <c r="V291" s="13"/>
      <c r="W291" s="13"/>
      <c r="X291" s="13"/>
      <c r="Y291" s="13"/>
      <c r="Z291" s="13"/>
      <c r="AA291" s="13"/>
      <c r="AB291" s="13"/>
      <c r="AC291" s="13"/>
    </row>
    <row r="292" ht="16.5" hidden="1" customHeight="1">
      <c r="A292" s="35">
        <v>289.0</v>
      </c>
      <c r="B292" s="36" t="s">
        <v>2019</v>
      </c>
      <c r="C292" s="37" t="s">
        <v>2020</v>
      </c>
      <c r="D292" s="38" t="s">
        <v>2021</v>
      </c>
      <c r="E292" s="38"/>
      <c r="F292" s="38" t="s">
        <v>2022</v>
      </c>
      <c r="G292" s="39" t="s">
        <v>231</v>
      </c>
      <c r="H292" s="49" t="s">
        <v>62</v>
      </c>
      <c r="I292" s="94" t="s">
        <v>63</v>
      </c>
      <c r="J292" s="55"/>
      <c r="K292" s="122"/>
      <c r="L292" s="123"/>
      <c r="M292" s="51" t="b">
        <v>0</v>
      </c>
      <c r="N292" s="118"/>
      <c r="O292" s="118"/>
      <c r="P292" s="118"/>
      <c r="Q292" s="118"/>
      <c r="R292" s="118"/>
      <c r="S292" s="118"/>
      <c r="T292" s="46"/>
      <c r="U292" s="13"/>
      <c r="V292" s="13"/>
      <c r="W292" s="13"/>
      <c r="X292" s="13"/>
      <c r="Y292" s="13"/>
      <c r="Z292" s="13"/>
      <c r="AA292" s="13"/>
      <c r="AB292" s="13"/>
      <c r="AC292" s="13"/>
    </row>
    <row r="293" ht="126.0" hidden="1" customHeight="1">
      <c r="A293" s="35">
        <v>290.0</v>
      </c>
      <c r="B293" s="36" t="s">
        <v>2023</v>
      </c>
      <c r="C293" s="37" t="s">
        <v>2024</v>
      </c>
      <c r="D293" s="38" t="s">
        <v>1830</v>
      </c>
      <c r="E293" s="38"/>
      <c r="F293" s="38" t="s">
        <v>1831</v>
      </c>
      <c r="G293" s="39" t="s">
        <v>231</v>
      </c>
      <c r="H293" s="49" t="s">
        <v>62</v>
      </c>
      <c r="I293" s="94" t="s">
        <v>63</v>
      </c>
      <c r="J293" s="55"/>
      <c r="K293" s="122"/>
      <c r="L293" s="123"/>
      <c r="M293" s="51" t="b">
        <v>0</v>
      </c>
      <c r="N293" s="118"/>
      <c r="O293" s="118"/>
      <c r="P293" s="118"/>
      <c r="Q293" s="118"/>
      <c r="R293" s="118"/>
      <c r="S293" s="118"/>
      <c r="T293" s="46"/>
      <c r="U293" s="13"/>
      <c r="V293" s="13"/>
      <c r="W293" s="13"/>
      <c r="X293" s="13"/>
      <c r="Y293" s="13"/>
      <c r="Z293" s="13"/>
      <c r="AA293" s="13"/>
      <c r="AB293" s="13"/>
      <c r="AC293" s="13"/>
    </row>
    <row r="294" ht="126.0" hidden="1" customHeight="1">
      <c r="A294" s="35">
        <v>291.0</v>
      </c>
      <c r="B294" s="36" t="s">
        <v>2025</v>
      </c>
      <c r="C294" s="37" t="s">
        <v>2026</v>
      </c>
      <c r="D294" s="38" t="s">
        <v>1830</v>
      </c>
      <c r="E294" s="38"/>
      <c r="F294" s="38" t="s">
        <v>1831</v>
      </c>
      <c r="G294" s="39" t="s">
        <v>231</v>
      </c>
      <c r="H294" s="49" t="s">
        <v>62</v>
      </c>
      <c r="I294" s="94" t="s">
        <v>63</v>
      </c>
      <c r="J294" s="55"/>
      <c r="K294" s="122"/>
      <c r="L294" s="123"/>
      <c r="M294" s="51" t="b">
        <v>0</v>
      </c>
      <c r="N294" s="118"/>
      <c r="O294" s="118"/>
      <c r="P294" s="118"/>
      <c r="Q294" s="118"/>
      <c r="R294" s="118"/>
      <c r="S294" s="118"/>
      <c r="T294" s="46"/>
      <c r="U294" s="13"/>
      <c r="V294" s="13"/>
      <c r="W294" s="13"/>
      <c r="X294" s="13"/>
      <c r="Y294" s="13"/>
      <c r="Z294" s="13"/>
      <c r="AA294" s="13"/>
      <c r="AB294" s="13"/>
      <c r="AC294" s="13"/>
    </row>
    <row r="295" ht="16.5" customHeight="1">
      <c r="A295" s="35">
        <v>292.0</v>
      </c>
      <c r="B295" s="36" t="s">
        <v>2027</v>
      </c>
      <c r="C295" s="37" t="s">
        <v>2028</v>
      </c>
      <c r="D295" s="38" t="s">
        <v>2029</v>
      </c>
      <c r="E295" s="38" t="s">
        <v>2030</v>
      </c>
      <c r="F295" s="38" t="s">
        <v>2031</v>
      </c>
      <c r="G295" s="39" t="s">
        <v>2032</v>
      </c>
      <c r="H295" s="49" t="s">
        <v>49</v>
      </c>
      <c r="I295" s="86" t="s">
        <v>39</v>
      </c>
      <c r="J295" s="93" t="s">
        <v>289</v>
      </c>
      <c r="K295" s="95" t="s">
        <v>2033</v>
      </c>
      <c r="L295" s="94" t="s">
        <v>2034</v>
      </c>
      <c r="M295" s="51" t="b">
        <v>1</v>
      </c>
      <c r="N295" s="128" t="s">
        <v>2035</v>
      </c>
      <c r="O295" s="118"/>
      <c r="P295" s="118" t="s">
        <v>2036</v>
      </c>
      <c r="Q295" s="118"/>
      <c r="R295" s="118"/>
      <c r="S295" s="118"/>
      <c r="T295" s="46"/>
      <c r="U295" s="13"/>
      <c r="V295" s="13"/>
      <c r="W295" s="13"/>
      <c r="X295" s="13"/>
      <c r="Y295" s="13"/>
      <c r="Z295" s="13"/>
      <c r="AA295" s="13"/>
      <c r="AB295" s="13"/>
      <c r="AC295" s="13"/>
    </row>
    <row r="296" ht="360.0" hidden="1" customHeight="1">
      <c r="A296" s="35">
        <v>293.0</v>
      </c>
      <c r="B296" s="36" t="s">
        <v>2037</v>
      </c>
      <c r="C296" s="37" t="s">
        <v>2038</v>
      </c>
      <c r="D296" s="38" t="s">
        <v>1830</v>
      </c>
      <c r="E296" s="38"/>
      <c r="F296" s="38" t="s">
        <v>2039</v>
      </c>
      <c r="G296" s="39" t="s">
        <v>231</v>
      </c>
      <c r="H296" s="49" t="s">
        <v>62</v>
      </c>
      <c r="I296" s="94" t="s">
        <v>63</v>
      </c>
      <c r="J296" s="65"/>
      <c r="K296" s="122"/>
      <c r="L296" s="155"/>
      <c r="M296" s="156" t="b">
        <v>0</v>
      </c>
      <c r="N296" s="157" t="s">
        <v>2040</v>
      </c>
      <c r="O296" s="158" t="s">
        <v>2041</v>
      </c>
      <c r="P296" s="118"/>
      <c r="Q296" s="118"/>
      <c r="R296" s="118"/>
      <c r="S296" s="118"/>
      <c r="T296" s="46"/>
      <c r="U296" s="13"/>
      <c r="V296" s="13"/>
      <c r="W296" s="13"/>
      <c r="X296" s="13"/>
      <c r="Y296" s="13"/>
      <c r="Z296" s="13"/>
      <c r="AA296" s="13"/>
      <c r="AB296" s="13"/>
      <c r="AC296" s="13"/>
    </row>
    <row r="297" ht="16.5" hidden="1" customHeight="1">
      <c r="A297" s="35">
        <v>294.0</v>
      </c>
      <c r="B297" s="36" t="s">
        <v>2042</v>
      </c>
      <c r="C297" s="37" t="s">
        <v>2043</v>
      </c>
      <c r="D297" s="38" t="s">
        <v>2044</v>
      </c>
      <c r="E297" s="38" t="s">
        <v>2045</v>
      </c>
      <c r="F297" s="38" t="s">
        <v>2046</v>
      </c>
      <c r="G297" s="39" t="s">
        <v>231</v>
      </c>
      <c r="H297" s="49" t="s">
        <v>62</v>
      </c>
      <c r="I297" s="94" t="s">
        <v>63</v>
      </c>
      <c r="J297" s="55"/>
      <c r="K297" s="122"/>
      <c r="L297" s="123"/>
      <c r="M297" s="51" t="b">
        <v>0</v>
      </c>
      <c r="N297" s="118"/>
      <c r="O297" s="118"/>
      <c r="P297" s="118"/>
      <c r="Q297" s="118"/>
      <c r="R297" s="118"/>
      <c r="S297" s="118"/>
      <c r="T297" s="46"/>
      <c r="U297" s="13"/>
      <c r="V297" s="13"/>
      <c r="W297" s="13"/>
      <c r="X297" s="13"/>
      <c r="Y297" s="13"/>
      <c r="Z297" s="13"/>
      <c r="AA297" s="13"/>
      <c r="AB297" s="13"/>
      <c r="AC297" s="13"/>
    </row>
    <row r="298" ht="16.5" hidden="1" customHeight="1">
      <c r="A298" s="35">
        <v>295.0</v>
      </c>
      <c r="B298" s="36" t="s">
        <v>2047</v>
      </c>
      <c r="C298" s="37" t="s">
        <v>2048</v>
      </c>
      <c r="D298" s="38" t="s">
        <v>1830</v>
      </c>
      <c r="E298" s="38"/>
      <c r="F298" s="38" t="s">
        <v>1898</v>
      </c>
      <c r="G298" s="39" t="s">
        <v>231</v>
      </c>
      <c r="H298" s="49" t="s">
        <v>62</v>
      </c>
      <c r="I298" s="94" t="s">
        <v>63</v>
      </c>
      <c r="J298" s="55"/>
      <c r="K298" s="122"/>
      <c r="L298" s="123"/>
      <c r="M298" s="51" t="b">
        <v>0</v>
      </c>
      <c r="N298" s="118"/>
      <c r="O298" s="118"/>
      <c r="P298" s="118"/>
      <c r="Q298" s="118"/>
      <c r="R298" s="118"/>
      <c r="S298" s="118"/>
      <c r="T298" s="46"/>
      <c r="U298" s="13"/>
      <c r="V298" s="13"/>
      <c r="W298" s="13"/>
      <c r="X298" s="13"/>
      <c r="Y298" s="13"/>
      <c r="Z298" s="13"/>
      <c r="AA298" s="13"/>
      <c r="AB298" s="13"/>
      <c r="AC298" s="13"/>
    </row>
    <row r="299" ht="16.5" hidden="1" customHeight="1">
      <c r="A299" s="159">
        <v>296.0</v>
      </c>
      <c r="B299" s="160" t="s">
        <v>2049</v>
      </c>
      <c r="C299" s="161" t="s">
        <v>2050</v>
      </c>
      <c r="D299" s="162" t="s">
        <v>1830</v>
      </c>
      <c r="E299" s="162"/>
      <c r="F299" s="162" t="s">
        <v>1898</v>
      </c>
      <c r="G299" s="58" t="s">
        <v>231</v>
      </c>
      <c r="H299" s="49" t="s">
        <v>62</v>
      </c>
      <c r="I299" s="94" t="s">
        <v>63</v>
      </c>
      <c r="J299" s="55"/>
      <c r="K299" s="122"/>
      <c r="L299" s="123"/>
      <c r="M299" s="51" t="b">
        <v>0</v>
      </c>
      <c r="N299" s="118"/>
      <c r="O299" s="118"/>
      <c r="P299" s="118"/>
      <c r="Q299" s="118"/>
      <c r="R299" s="118"/>
      <c r="S299" s="118"/>
      <c r="T299" s="46"/>
      <c r="U299" s="13"/>
      <c r="V299" s="13"/>
      <c r="W299" s="13"/>
      <c r="X299" s="13"/>
      <c r="Y299" s="13"/>
      <c r="Z299" s="13"/>
      <c r="AA299" s="13"/>
      <c r="AB299" s="13"/>
      <c r="AC299" s="13"/>
    </row>
    <row r="300" ht="360.0" customHeight="1">
      <c r="A300" s="35">
        <v>297.0</v>
      </c>
      <c r="B300" s="36" t="s">
        <v>2051</v>
      </c>
      <c r="C300" s="36"/>
      <c r="D300" s="38"/>
      <c r="E300" s="38"/>
      <c r="F300" s="38" t="s">
        <v>2052</v>
      </c>
      <c r="G300" s="39" t="s">
        <v>2053</v>
      </c>
      <c r="H300" s="49" t="s">
        <v>49</v>
      </c>
      <c r="I300" s="39" t="s">
        <v>39</v>
      </c>
      <c r="J300" s="93" t="s">
        <v>534</v>
      </c>
      <c r="K300" s="92" t="s">
        <v>214</v>
      </c>
      <c r="L300" s="94" t="s">
        <v>2054</v>
      </c>
      <c r="M300" s="51" t="b">
        <v>1</v>
      </c>
      <c r="N300" s="163" t="s">
        <v>2055</v>
      </c>
      <c r="O300" s="118"/>
      <c r="P300" s="118" t="s">
        <v>2056</v>
      </c>
      <c r="Q300" s="118"/>
      <c r="R300" s="118"/>
      <c r="S300" s="118"/>
      <c r="T300" s="46"/>
      <c r="U300" s="13"/>
      <c r="V300" s="13"/>
      <c r="W300" s="13"/>
      <c r="X300" s="13"/>
      <c r="Y300" s="13"/>
      <c r="Z300" s="13"/>
      <c r="AA300" s="13"/>
      <c r="AB300" s="13"/>
      <c r="AC300" s="13"/>
    </row>
    <row r="301" ht="16.5" hidden="1" customHeight="1">
      <c r="A301" s="35">
        <v>298.0</v>
      </c>
      <c r="B301" s="36" t="s">
        <v>2057</v>
      </c>
      <c r="C301" s="36"/>
      <c r="D301" s="38" t="s">
        <v>1830</v>
      </c>
      <c r="E301" s="38"/>
      <c r="F301" s="38" t="s">
        <v>2058</v>
      </c>
      <c r="G301" s="39" t="s">
        <v>231</v>
      </c>
      <c r="H301" s="49" t="s">
        <v>62</v>
      </c>
      <c r="I301" s="94" t="s">
        <v>63</v>
      </c>
      <c r="J301" s="55"/>
      <c r="K301" s="122"/>
      <c r="L301" s="123"/>
      <c r="M301" s="51" t="b">
        <v>0</v>
      </c>
      <c r="N301" s="118"/>
      <c r="O301" s="118"/>
      <c r="P301" s="118"/>
      <c r="Q301" s="118"/>
      <c r="R301" s="118"/>
      <c r="S301" s="118"/>
      <c r="T301" s="46"/>
      <c r="U301" s="13"/>
      <c r="V301" s="13"/>
      <c r="W301" s="13"/>
      <c r="X301" s="13"/>
      <c r="Y301" s="13"/>
      <c r="Z301" s="13"/>
      <c r="AA301" s="13"/>
      <c r="AB301" s="13"/>
      <c r="AC301" s="13"/>
    </row>
    <row r="302" ht="360.0" customHeight="1">
      <c r="A302" s="35">
        <v>299.0</v>
      </c>
      <c r="B302" s="36" t="s">
        <v>2059</v>
      </c>
      <c r="C302" s="36"/>
      <c r="D302" s="38" t="s">
        <v>1830</v>
      </c>
      <c r="E302" s="38"/>
      <c r="F302" s="38" t="s">
        <v>1022</v>
      </c>
      <c r="G302" s="39" t="s">
        <v>1023</v>
      </c>
      <c r="H302" s="49" t="s">
        <v>49</v>
      </c>
      <c r="I302" s="86" t="s">
        <v>39</v>
      </c>
      <c r="J302" s="39" t="s">
        <v>1368</v>
      </c>
      <c r="K302" s="95" t="s">
        <v>173</v>
      </c>
      <c r="L302" s="94" t="s">
        <v>1025</v>
      </c>
      <c r="M302" s="51" t="b">
        <v>1</v>
      </c>
      <c r="N302" s="128" t="s">
        <v>1369</v>
      </c>
      <c r="O302" s="129" t="s">
        <v>1370</v>
      </c>
      <c r="P302" s="118"/>
      <c r="Q302" s="118"/>
      <c r="R302" s="118"/>
      <c r="S302" s="118"/>
      <c r="T302" s="46"/>
      <c r="U302" s="13"/>
      <c r="V302" s="13"/>
      <c r="W302" s="13"/>
      <c r="X302" s="13"/>
      <c r="Y302" s="13"/>
      <c r="Z302" s="13"/>
      <c r="AA302" s="13"/>
      <c r="AB302" s="13"/>
      <c r="AC302" s="13"/>
    </row>
    <row r="303" ht="16.5" hidden="1" customHeight="1">
      <c r="A303" s="35">
        <v>300.0</v>
      </c>
      <c r="B303" s="36" t="s">
        <v>2060</v>
      </c>
      <c r="C303" s="36"/>
      <c r="D303" s="38" t="s">
        <v>2061</v>
      </c>
      <c r="E303" s="38"/>
      <c r="F303" s="38" t="s">
        <v>2062</v>
      </c>
      <c r="G303" s="39" t="s">
        <v>231</v>
      </c>
      <c r="H303" s="49" t="s">
        <v>62</v>
      </c>
      <c r="I303" s="94" t="s">
        <v>63</v>
      </c>
      <c r="J303" s="55"/>
      <c r="K303" s="122"/>
      <c r="L303" s="123"/>
      <c r="M303" s="51" t="b">
        <v>0</v>
      </c>
      <c r="N303" s="118"/>
      <c r="O303" s="118"/>
      <c r="P303" s="118"/>
      <c r="Q303" s="118"/>
      <c r="R303" s="118"/>
      <c r="S303" s="118"/>
      <c r="T303" s="46"/>
      <c r="U303" s="13"/>
      <c r="V303" s="13"/>
      <c r="W303" s="13"/>
      <c r="X303" s="13"/>
      <c r="Y303" s="13"/>
      <c r="Z303" s="13"/>
      <c r="AA303" s="13"/>
      <c r="AB303" s="13"/>
      <c r="AC303" s="13"/>
    </row>
    <row r="304" ht="16.5" hidden="1" customHeight="1">
      <c r="A304" s="35">
        <v>301.0</v>
      </c>
      <c r="B304" s="36" t="s">
        <v>2063</v>
      </c>
      <c r="C304" s="36"/>
      <c r="D304" s="38" t="s">
        <v>2064</v>
      </c>
      <c r="E304" s="38" t="s">
        <v>2065</v>
      </c>
      <c r="F304" s="38" t="s">
        <v>1831</v>
      </c>
      <c r="G304" s="39" t="s">
        <v>231</v>
      </c>
      <c r="H304" s="49" t="s">
        <v>62</v>
      </c>
      <c r="I304" s="94" t="s">
        <v>63</v>
      </c>
      <c r="J304" s="55"/>
      <c r="K304" s="122"/>
      <c r="L304" s="123"/>
      <c r="M304" s="51" t="b">
        <v>0</v>
      </c>
      <c r="N304" s="118"/>
      <c r="O304" s="118"/>
      <c r="P304" s="118"/>
      <c r="Q304" s="118"/>
      <c r="R304" s="118"/>
      <c r="S304" s="118"/>
      <c r="T304" s="46"/>
      <c r="U304" s="13"/>
      <c r="V304" s="13"/>
      <c r="W304" s="13"/>
      <c r="X304" s="13"/>
      <c r="Y304" s="13"/>
      <c r="Z304" s="13"/>
      <c r="AA304" s="13"/>
      <c r="AB304" s="13"/>
      <c r="AC304" s="13"/>
    </row>
    <row r="305" ht="16.5" hidden="1" customHeight="1">
      <c r="A305" s="35">
        <v>302.0</v>
      </c>
      <c r="B305" s="36" t="s">
        <v>2066</v>
      </c>
      <c r="C305" s="36"/>
      <c r="D305" s="38" t="s">
        <v>2067</v>
      </c>
      <c r="E305" s="38" t="s">
        <v>2068</v>
      </c>
      <c r="F305" s="38" t="s">
        <v>2069</v>
      </c>
      <c r="G305" s="39" t="s">
        <v>231</v>
      </c>
      <c r="H305" s="49" t="s">
        <v>62</v>
      </c>
      <c r="I305" s="94" t="s">
        <v>63</v>
      </c>
      <c r="J305" s="55"/>
      <c r="K305" s="122"/>
      <c r="L305" s="123"/>
      <c r="M305" s="51" t="b">
        <v>0</v>
      </c>
      <c r="N305" s="118"/>
      <c r="O305" s="118"/>
      <c r="P305" s="118"/>
      <c r="Q305" s="118"/>
      <c r="R305" s="118"/>
      <c r="S305" s="118"/>
      <c r="T305" s="46"/>
      <c r="U305" s="13"/>
      <c r="V305" s="13"/>
      <c r="W305" s="13"/>
      <c r="X305" s="13"/>
      <c r="Y305" s="13"/>
      <c r="Z305" s="13"/>
      <c r="AA305" s="13"/>
      <c r="AB305" s="13"/>
      <c r="AC305" s="13"/>
    </row>
    <row r="306" ht="16.5" customHeight="1">
      <c r="A306" s="35">
        <v>303.0</v>
      </c>
      <c r="B306" s="36" t="s">
        <v>2070</v>
      </c>
      <c r="C306" s="36"/>
      <c r="D306" s="38" t="s">
        <v>2071</v>
      </c>
      <c r="E306" s="38" t="s">
        <v>2072</v>
      </c>
      <c r="F306" s="38" t="s">
        <v>2073</v>
      </c>
      <c r="G306" s="39" t="s">
        <v>2074</v>
      </c>
      <c r="H306" s="49" t="s">
        <v>49</v>
      </c>
      <c r="I306" s="94" t="s">
        <v>39</v>
      </c>
      <c r="J306" s="39" t="s">
        <v>492</v>
      </c>
      <c r="K306" s="41" t="s">
        <v>173</v>
      </c>
      <c r="L306" s="39" t="s">
        <v>2075</v>
      </c>
      <c r="M306" s="51" t="b">
        <v>1</v>
      </c>
      <c r="N306" s="142" t="s">
        <v>292</v>
      </c>
      <c r="O306" s="130"/>
      <c r="P306" s="118"/>
      <c r="Q306" s="118"/>
      <c r="R306" s="118"/>
      <c r="S306" s="118"/>
      <c r="T306" s="46"/>
      <c r="U306" s="13"/>
      <c r="V306" s="13"/>
      <c r="W306" s="13"/>
      <c r="X306" s="13"/>
      <c r="Y306" s="13"/>
      <c r="Z306" s="13"/>
      <c r="AA306" s="13"/>
      <c r="AB306" s="13"/>
      <c r="AC306" s="13"/>
    </row>
    <row r="307" ht="16.5" customHeight="1">
      <c r="A307" s="35">
        <v>304.0</v>
      </c>
      <c r="B307" s="36" t="s">
        <v>2076</v>
      </c>
      <c r="C307" s="36"/>
      <c r="D307" s="38" t="s">
        <v>2077</v>
      </c>
      <c r="E307" s="38" t="s">
        <v>2078</v>
      </c>
      <c r="F307" s="38" t="s">
        <v>2079</v>
      </c>
      <c r="G307" s="39" t="s">
        <v>2080</v>
      </c>
      <c r="H307" s="49" t="s">
        <v>49</v>
      </c>
      <c r="I307" s="94" t="s">
        <v>39</v>
      </c>
      <c r="J307" s="39" t="s">
        <v>492</v>
      </c>
      <c r="K307" s="41" t="s">
        <v>152</v>
      </c>
      <c r="L307" s="39" t="s">
        <v>2081</v>
      </c>
      <c r="M307" s="51" t="b">
        <v>1</v>
      </c>
      <c r="N307" s="142" t="s">
        <v>292</v>
      </c>
      <c r="O307" s="130"/>
      <c r="P307" s="118"/>
      <c r="Q307" s="118"/>
      <c r="R307" s="118"/>
      <c r="S307" s="118"/>
      <c r="T307" s="46"/>
      <c r="U307" s="13"/>
      <c r="V307" s="13"/>
      <c r="W307" s="13"/>
      <c r="X307" s="13"/>
      <c r="Y307" s="13"/>
      <c r="Z307" s="13"/>
      <c r="AA307" s="13"/>
      <c r="AB307" s="13"/>
      <c r="AC307" s="13"/>
    </row>
    <row r="308" ht="16.5" customHeight="1">
      <c r="A308" s="35">
        <v>305.0</v>
      </c>
      <c r="B308" s="36" t="s">
        <v>2082</v>
      </c>
      <c r="C308" s="36"/>
      <c r="D308" s="38" t="s">
        <v>2083</v>
      </c>
      <c r="E308" s="38" t="s">
        <v>2084</v>
      </c>
      <c r="F308" s="38" t="s">
        <v>2085</v>
      </c>
      <c r="G308" s="39" t="s">
        <v>2086</v>
      </c>
      <c r="H308" s="49" t="s">
        <v>49</v>
      </c>
      <c r="I308" s="94" t="s">
        <v>39</v>
      </c>
      <c r="J308" s="93" t="s">
        <v>856</v>
      </c>
      <c r="K308" s="95" t="s">
        <v>2087</v>
      </c>
      <c r="L308" s="94" t="s">
        <v>2088</v>
      </c>
      <c r="M308" s="51" t="b">
        <v>1</v>
      </c>
      <c r="N308" s="128" t="s">
        <v>2089</v>
      </c>
      <c r="O308" s="118"/>
      <c r="P308" s="118" t="s">
        <v>2090</v>
      </c>
      <c r="Q308" s="118"/>
      <c r="R308" s="118"/>
      <c r="S308" s="118"/>
      <c r="T308" s="46"/>
      <c r="U308" s="13"/>
      <c r="V308" s="13"/>
      <c r="W308" s="13"/>
      <c r="X308" s="13"/>
      <c r="Y308" s="13"/>
      <c r="Z308" s="13"/>
      <c r="AA308" s="13"/>
      <c r="AB308" s="13"/>
      <c r="AC308" s="13"/>
    </row>
    <row r="309" ht="16.5" customHeight="1">
      <c r="A309" s="35">
        <v>306.0</v>
      </c>
      <c r="B309" s="36" t="s">
        <v>2091</v>
      </c>
      <c r="C309" s="36"/>
      <c r="D309" s="38" t="s">
        <v>2092</v>
      </c>
      <c r="E309" s="38" t="s">
        <v>1862</v>
      </c>
      <c r="F309" s="38" t="s">
        <v>2093</v>
      </c>
      <c r="G309" s="39" t="s">
        <v>491</v>
      </c>
      <c r="H309" s="49" t="s">
        <v>49</v>
      </c>
      <c r="I309" s="94" t="s">
        <v>39</v>
      </c>
      <c r="J309" s="39" t="s">
        <v>492</v>
      </c>
      <c r="K309" s="41" t="s">
        <v>409</v>
      </c>
      <c r="L309" s="39" t="s">
        <v>493</v>
      </c>
      <c r="M309" s="51" t="b">
        <v>1</v>
      </c>
      <c r="N309" s="128" t="s">
        <v>494</v>
      </c>
      <c r="O309" s="129" t="s">
        <v>495</v>
      </c>
      <c r="P309" s="118"/>
      <c r="Q309" s="118"/>
      <c r="R309" s="118"/>
      <c r="S309" s="118"/>
      <c r="T309" s="46"/>
      <c r="U309" s="13"/>
      <c r="V309" s="13"/>
      <c r="W309" s="13"/>
      <c r="X309" s="13"/>
      <c r="Y309" s="13"/>
      <c r="Z309" s="13"/>
      <c r="AA309" s="13"/>
      <c r="AB309" s="13"/>
      <c r="AC309" s="13"/>
    </row>
    <row r="310" ht="180.0" customHeight="1">
      <c r="A310" s="35">
        <v>307.0</v>
      </c>
      <c r="B310" s="36" t="s">
        <v>2094</v>
      </c>
      <c r="C310" s="36"/>
      <c r="D310" s="38" t="s">
        <v>1830</v>
      </c>
      <c r="E310" s="38"/>
      <c r="F310" s="38" t="s">
        <v>2095</v>
      </c>
      <c r="G310" s="39" t="s">
        <v>2096</v>
      </c>
      <c r="H310" s="49" t="s">
        <v>49</v>
      </c>
      <c r="I310" s="94" t="s">
        <v>39</v>
      </c>
      <c r="J310" s="49" t="s">
        <v>492</v>
      </c>
      <c r="K310" s="41" t="s">
        <v>641</v>
      </c>
      <c r="L310" s="39" t="s">
        <v>2097</v>
      </c>
      <c r="M310" s="51" t="b">
        <v>1</v>
      </c>
      <c r="N310" s="142" t="s">
        <v>292</v>
      </c>
      <c r="O310" s="130"/>
      <c r="P310" s="118"/>
      <c r="Q310" s="118"/>
      <c r="R310" s="118"/>
      <c r="S310" s="118"/>
      <c r="T310" s="46"/>
      <c r="U310" s="13"/>
      <c r="V310" s="13"/>
      <c r="W310" s="13"/>
      <c r="X310" s="13"/>
      <c r="Y310" s="13"/>
      <c r="Z310" s="13"/>
      <c r="AA310" s="13"/>
      <c r="AB310" s="13"/>
      <c r="AC310" s="13"/>
    </row>
    <row r="311" ht="16.5" customHeight="1">
      <c r="A311" s="35">
        <v>308.0</v>
      </c>
      <c r="B311" s="36" t="s">
        <v>2098</v>
      </c>
      <c r="C311" s="36"/>
      <c r="D311" s="38" t="s">
        <v>2099</v>
      </c>
      <c r="E311" s="38" t="s">
        <v>2100</v>
      </c>
      <c r="F311" s="38" t="s">
        <v>2101</v>
      </c>
      <c r="G311" s="39" t="s">
        <v>2102</v>
      </c>
      <c r="H311" s="49" t="s">
        <v>49</v>
      </c>
      <c r="I311" s="94" t="s">
        <v>39</v>
      </c>
      <c r="J311" s="49" t="s">
        <v>492</v>
      </c>
      <c r="K311" s="41" t="s">
        <v>641</v>
      </c>
      <c r="L311" s="39" t="s">
        <v>2103</v>
      </c>
      <c r="M311" s="51" t="b">
        <v>1</v>
      </c>
      <c r="N311" s="142" t="s">
        <v>292</v>
      </c>
      <c r="O311" s="130"/>
      <c r="P311" s="118"/>
      <c r="Q311" s="118"/>
      <c r="R311" s="118"/>
      <c r="S311" s="118"/>
      <c r="T311" s="46"/>
      <c r="U311" s="13"/>
      <c r="V311" s="13"/>
      <c r="W311" s="13"/>
      <c r="X311" s="13"/>
      <c r="Y311" s="13"/>
      <c r="Z311" s="13"/>
      <c r="AA311" s="13"/>
      <c r="AB311" s="13"/>
      <c r="AC311" s="13"/>
    </row>
    <row r="312" ht="16.5" customHeight="1">
      <c r="A312" s="35">
        <v>309.0</v>
      </c>
      <c r="B312" s="36" t="s">
        <v>2104</v>
      </c>
      <c r="C312" s="36"/>
      <c r="D312" s="38" t="s">
        <v>2105</v>
      </c>
      <c r="E312" s="38" t="s">
        <v>2106</v>
      </c>
      <c r="F312" s="38" t="s">
        <v>2107</v>
      </c>
      <c r="G312" s="39" t="s">
        <v>2108</v>
      </c>
      <c r="H312" s="49" t="s">
        <v>49</v>
      </c>
      <c r="I312" s="94" t="s">
        <v>39</v>
      </c>
      <c r="J312" s="49" t="s">
        <v>492</v>
      </c>
      <c r="K312" s="41" t="s">
        <v>2109</v>
      </c>
      <c r="L312" s="39" t="s">
        <v>2110</v>
      </c>
      <c r="M312" s="51" t="b">
        <v>1</v>
      </c>
      <c r="N312" s="142" t="s">
        <v>292</v>
      </c>
      <c r="O312" s="130"/>
      <c r="P312" s="118" t="s">
        <v>2111</v>
      </c>
      <c r="Q312" s="118"/>
      <c r="R312" s="118"/>
      <c r="S312" s="118"/>
      <c r="T312" s="46"/>
      <c r="U312" s="13"/>
      <c r="V312" s="13"/>
      <c r="W312" s="13"/>
      <c r="X312" s="13"/>
      <c r="Y312" s="13"/>
      <c r="Z312" s="13"/>
      <c r="AA312" s="13"/>
      <c r="AB312" s="13"/>
      <c r="AC312" s="13"/>
    </row>
    <row r="313" ht="16.5" customHeight="1">
      <c r="A313" s="35">
        <v>310.0</v>
      </c>
      <c r="B313" s="36" t="s">
        <v>2112</v>
      </c>
      <c r="C313" s="36"/>
      <c r="D313" s="38" t="s">
        <v>2113</v>
      </c>
      <c r="E313" s="38" t="s">
        <v>2114</v>
      </c>
      <c r="F313" s="38" t="s">
        <v>2115</v>
      </c>
      <c r="G313" s="39" t="s">
        <v>2116</v>
      </c>
      <c r="H313" s="49" t="s">
        <v>49</v>
      </c>
      <c r="I313" s="94" t="s">
        <v>39</v>
      </c>
      <c r="J313" s="49" t="s">
        <v>492</v>
      </c>
      <c r="K313" s="41" t="s">
        <v>51</v>
      </c>
      <c r="L313" s="39" t="s">
        <v>2117</v>
      </c>
      <c r="M313" s="51" t="b">
        <v>1</v>
      </c>
      <c r="N313" s="142" t="s">
        <v>292</v>
      </c>
      <c r="O313" s="130"/>
      <c r="P313" s="118" t="s">
        <v>2118</v>
      </c>
      <c r="Q313" s="118"/>
      <c r="R313" s="118"/>
      <c r="S313" s="118"/>
      <c r="T313" s="46"/>
      <c r="U313" s="13"/>
      <c r="V313" s="13"/>
      <c r="W313" s="13"/>
      <c r="X313" s="13"/>
      <c r="Y313" s="13"/>
      <c r="Z313" s="13"/>
      <c r="AA313" s="13"/>
      <c r="AB313" s="13"/>
      <c r="AC313" s="13"/>
    </row>
    <row r="314" ht="16.5" customHeight="1">
      <c r="A314" s="35">
        <v>311.0</v>
      </c>
      <c r="B314" s="36" t="s">
        <v>2119</v>
      </c>
      <c r="C314" s="36"/>
      <c r="D314" s="38" t="s">
        <v>2120</v>
      </c>
      <c r="E314" s="38" t="s">
        <v>2121</v>
      </c>
      <c r="F314" s="38" t="s">
        <v>2122</v>
      </c>
      <c r="G314" s="39" t="s">
        <v>2123</v>
      </c>
      <c r="H314" s="49" t="s">
        <v>49</v>
      </c>
      <c r="I314" s="94" t="s">
        <v>39</v>
      </c>
      <c r="J314" s="49" t="s">
        <v>492</v>
      </c>
      <c r="K314" s="41" t="s">
        <v>721</v>
      </c>
      <c r="L314" s="39" t="s">
        <v>2124</v>
      </c>
      <c r="M314" s="51" t="b">
        <v>1</v>
      </c>
      <c r="N314" s="142" t="s">
        <v>292</v>
      </c>
      <c r="O314" s="130"/>
      <c r="P314" s="118"/>
      <c r="Q314" s="118"/>
      <c r="R314" s="118"/>
      <c r="S314" s="118"/>
      <c r="T314" s="46"/>
      <c r="U314" s="13"/>
      <c r="V314" s="13"/>
      <c r="W314" s="13"/>
      <c r="X314" s="13"/>
      <c r="Y314" s="13"/>
      <c r="Z314" s="13"/>
      <c r="AA314" s="13"/>
      <c r="AB314" s="13"/>
      <c r="AC314" s="13"/>
    </row>
    <row r="315" ht="16.5" customHeight="1">
      <c r="A315" s="35">
        <v>312.0</v>
      </c>
      <c r="B315" s="36" t="s">
        <v>2125</v>
      </c>
      <c r="C315" s="36"/>
      <c r="D315" s="38" t="s">
        <v>2126</v>
      </c>
      <c r="E315" s="38" t="s">
        <v>2127</v>
      </c>
      <c r="F315" s="38" t="s">
        <v>2128</v>
      </c>
      <c r="G315" s="39" t="s">
        <v>2129</v>
      </c>
      <c r="H315" s="49" t="s">
        <v>49</v>
      </c>
      <c r="I315" s="94" t="s">
        <v>39</v>
      </c>
      <c r="J315" s="39" t="s">
        <v>2130</v>
      </c>
      <c r="K315" s="95" t="s">
        <v>1097</v>
      </c>
      <c r="L315" s="94" t="s">
        <v>2131</v>
      </c>
      <c r="M315" s="51" t="b">
        <v>1</v>
      </c>
      <c r="N315" s="132" t="s">
        <v>2132</v>
      </c>
      <c r="O315" s="133"/>
      <c r="P315" s="125"/>
      <c r="Q315" s="118"/>
      <c r="R315" s="118"/>
      <c r="S315" s="118"/>
      <c r="T315" s="46"/>
      <c r="U315" s="13"/>
      <c r="V315" s="13"/>
      <c r="W315" s="13"/>
      <c r="X315" s="13"/>
      <c r="Y315" s="13"/>
      <c r="Z315" s="13"/>
      <c r="AA315" s="13"/>
      <c r="AB315" s="13"/>
      <c r="AC315" s="13"/>
    </row>
    <row r="316" ht="16.5" customHeight="1">
      <c r="A316" s="35">
        <v>313.0</v>
      </c>
      <c r="B316" s="36" t="s">
        <v>2133</v>
      </c>
      <c r="C316" s="36"/>
      <c r="D316" s="38" t="s">
        <v>2134</v>
      </c>
      <c r="E316" s="38" t="s">
        <v>2135</v>
      </c>
      <c r="F316" s="38" t="s">
        <v>2136</v>
      </c>
      <c r="G316" s="48" t="s">
        <v>1733</v>
      </c>
      <c r="H316" s="49" t="s">
        <v>49</v>
      </c>
      <c r="I316" s="94" t="s">
        <v>39</v>
      </c>
      <c r="J316" s="39" t="s">
        <v>720</v>
      </c>
      <c r="K316" s="95" t="s">
        <v>745</v>
      </c>
      <c r="L316" s="135" t="s">
        <v>1734</v>
      </c>
      <c r="M316" s="51" t="b">
        <v>1</v>
      </c>
      <c r="N316" s="128" t="s">
        <v>747</v>
      </c>
      <c r="O316" s="129" t="s">
        <v>1735</v>
      </c>
      <c r="P316" s="118"/>
      <c r="Q316" s="118"/>
      <c r="R316" s="118"/>
      <c r="S316" s="118"/>
      <c r="T316" s="46"/>
      <c r="U316" s="13"/>
      <c r="V316" s="13"/>
      <c r="W316" s="13"/>
      <c r="X316" s="13"/>
      <c r="Y316" s="13"/>
      <c r="Z316" s="13"/>
      <c r="AA316" s="13"/>
      <c r="AB316" s="13"/>
      <c r="AC316" s="13"/>
    </row>
    <row r="317" ht="16.5" customHeight="1">
      <c r="A317" s="35">
        <v>314.0</v>
      </c>
      <c r="B317" s="36" t="s">
        <v>2137</v>
      </c>
      <c r="C317" s="36"/>
      <c r="D317" s="38" t="s">
        <v>1830</v>
      </c>
      <c r="E317" s="38"/>
      <c r="F317" s="38" t="s">
        <v>2138</v>
      </c>
      <c r="G317" s="39" t="s">
        <v>2139</v>
      </c>
      <c r="H317" s="49" t="s">
        <v>49</v>
      </c>
      <c r="I317" s="86" t="s">
        <v>39</v>
      </c>
      <c r="J317" s="39" t="s">
        <v>2140</v>
      </c>
      <c r="K317" s="95" t="s">
        <v>933</v>
      </c>
      <c r="L317" s="94" t="s">
        <v>2141</v>
      </c>
      <c r="M317" s="51" t="b">
        <v>1</v>
      </c>
      <c r="N317" s="128" t="s">
        <v>2142</v>
      </c>
      <c r="O317" s="130"/>
      <c r="P317" s="118"/>
      <c r="Q317" s="118"/>
      <c r="R317" s="118"/>
      <c r="S317" s="118"/>
      <c r="T317" s="46"/>
      <c r="U317" s="13"/>
      <c r="V317" s="13"/>
      <c r="W317" s="13"/>
      <c r="X317" s="13"/>
      <c r="Y317" s="13"/>
      <c r="Z317" s="13"/>
      <c r="AA317" s="13"/>
      <c r="AB317" s="13"/>
      <c r="AC317" s="13"/>
    </row>
    <row r="318" ht="16.5" customHeight="1">
      <c r="A318" s="35">
        <v>315.0</v>
      </c>
      <c r="B318" s="36" t="s">
        <v>2143</v>
      </c>
      <c r="C318" s="36"/>
      <c r="D318" s="38" t="s">
        <v>2144</v>
      </c>
      <c r="E318" s="38" t="s">
        <v>2145</v>
      </c>
      <c r="F318" s="38" t="s">
        <v>2146</v>
      </c>
      <c r="G318" s="39" t="s">
        <v>2147</v>
      </c>
      <c r="H318" s="49" t="s">
        <v>49</v>
      </c>
      <c r="I318" s="94" t="s">
        <v>39</v>
      </c>
      <c r="J318" s="39" t="s">
        <v>657</v>
      </c>
      <c r="K318" s="95" t="s">
        <v>2008</v>
      </c>
      <c r="L318" s="94" t="s">
        <v>2009</v>
      </c>
      <c r="M318" s="51" t="b">
        <v>1</v>
      </c>
      <c r="N318" s="128" t="s">
        <v>2148</v>
      </c>
      <c r="O318" s="130"/>
      <c r="P318" s="118"/>
      <c r="Q318" s="118"/>
      <c r="R318" s="118"/>
      <c r="S318" s="118"/>
      <c r="T318" s="46"/>
      <c r="U318" s="13"/>
      <c r="V318" s="13"/>
      <c r="W318" s="13"/>
      <c r="X318" s="13"/>
      <c r="Y318" s="13"/>
      <c r="Z318" s="13"/>
      <c r="AA318" s="13"/>
      <c r="AB318" s="13"/>
      <c r="AC318" s="13"/>
    </row>
    <row r="319">
      <c r="A319" s="35">
        <v>316.0</v>
      </c>
      <c r="B319" s="36" t="s">
        <v>2149</v>
      </c>
      <c r="C319" s="36"/>
      <c r="D319" s="38" t="s">
        <v>1830</v>
      </c>
      <c r="E319" s="38"/>
      <c r="F319" s="38" t="s">
        <v>1831</v>
      </c>
      <c r="G319" s="39" t="s">
        <v>2150</v>
      </c>
      <c r="H319" s="49" t="s">
        <v>49</v>
      </c>
      <c r="I319" s="94" t="s">
        <v>39</v>
      </c>
      <c r="J319" s="39" t="s">
        <v>121</v>
      </c>
      <c r="K319" s="95" t="s">
        <v>2151</v>
      </c>
      <c r="L319" s="94" t="s">
        <v>2152</v>
      </c>
      <c r="M319" s="51" t="b">
        <v>1</v>
      </c>
      <c r="N319" s="128" t="s">
        <v>2153</v>
      </c>
      <c r="O319" s="130"/>
      <c r="P319" s="118"/>
      <c r="Q319" s="118"/>
      <c r="R319" s="118"/>
      <c r="S319" s="118"/>
      <c r="T319" s="46"/>
      <c r="U319" s="13"/>
      <c r="V319" s="13"/>
      <c r="W319" s="13"/>
      <c r="X319" s="13"/>
      <c r="Y319" s="13"/>
      <c r="Z319" s="13"/>
      <c r="AA319" s="13"/>
      <c r="AB319" s="13"/>
      <c r="AC319" s="13"/>
    </row>
    <row r="320" ht="126.0" hidden="1" customHeight="1">
      <c r="A320" s="35">
        <v>317.0</v>
      </c>
      <c r="B320" s="36" t="s">
        <v>2154</v>
      </c>
      <c r="C320" s="36"/>
      <c r="D320" s="38" t="s">
        <v>2155</v>
      </c>
      <c r="E320" s="38"/>
      <c r="F320" s="38" t="s">
        <v>1831</v>
      </c>
      <c r="G320" s="39" t="s">
        <v>231</v>
      </c>
      <c r="H320" s="49" t="s">
        <v>62</v>
      </c>
      <c r="I320" s="94" t="s">
        <v>63</v>
      </c>
      <c r="J320" s="55"/>
      <c r="K320" s="122"/>
      <c r="L320" s="123"/>
      <c r="M320" s="51" t="b">
        <v>0</v>
      </c>
      <c r="N320" s="118"/>
      <c r="O320" s="118"/>
      <c r="P320" s="118"/>
      <c r="Q320" s="118"/>
      <c r="R320" s="118"/>
      <c r="S320" s="118"/>
      <c r="T320" s="46"/>
      <c r="U320" s="13"/>
      <c r="V320" s="13"/>
      <c r="W320" s="13"/>
      <c r="X320" s="13"/>
      <c r="Y320" s="13"/>
      <c r="Z320" s="13"/>
      <c r="AA320" s="13"/>
      <c r="AB320" s="13"/>
      <c r="AC320" s="13"/>
    </row>
    <row r="321" ht="16.5" customHeight="1">
      <c r="A321" s="35">
        <v>318.0</v>
      </c>
      <c r="B321" s="36" t="s">
        <v>2156</v>
      </c>
      <c r="C321" s="36"/>
      <c r="D321" s="38" t="s">
        <v>1830</v>
      </c>
      <c r="E321" s="38"/>
      <c r="F321" s="38" t="s">
        <v>2157</v>
      </c>
      <c r="G321" s="39" t="s">
        <v>2158</v>
      </c>
      <c r="H321" s="49" t="s">
        <v>49</v>
      </c>
      <c r="I321" s="94" t="s">
        <v>39</v>
      </c>
      <c r="J321" s="39" t="s">
        <v>2159</v>
      </c>
      <c r="K321" s="95" t="s">
        <v>173</v>
      </c>
      <c r="L321" s="94" t="s">
        <v>2160</v>
      </c>
      <c r="M321" s="51" t="b">
        <v>1</v>
      </c>
      <c r="N321" s="128" t="s">
        <v>2161</v>
      </c>
      <c r="O321" s="130"/>
      <c r="P321" s="118"/>
      <c r="Q321" s="118"/>
      <c r="R321" s="118"/>
      <c r="S321" s="118"/>
      <c r="T321" s="46"/>
      <c r="U321" s="13"/>
      <c r="V321" s="13"/>
      <c r="W321" s="13"/>
      <c r="X321" s="13"/>
      <c r="Y321" s="13"/>
      <c r="Z321" s="13"/>
      <c r="AA321" s="13"/>
      <c r="AB321" s="13"/>
      <c r="AC321" s="13"/>
    </row>
    <row r="322" ht="36.0" hidden="1" customHeight="1">
      <c r="A322" s="35">
        <v>319.0</v>
      </c>
      <c r="B322" s="36" t="s">
        <v>2162</v>
      </c>
      <c r="C322" s="36"/>
      <c r="D322" s="38" t="s">
        <v>1830</v>
      </c>
      <c r="E322" s="38"/>
      <c r="F322" s="38" t="s">
        <v>2163</v>
      </c>
      <c r="G322" s="39" t="s">
        <v>231</v>
      </c>
      <c r="H322" s="49" t="s">
        <v>62</v>
      </c>
      <c r="I322" s="94" t="s">
        <v>63</v>
      </c>
      <c r="J322" s="55"/>
      <c r="K322" s="122"/>
      <c r="L322" s="123"/>
      <c r="M322" s="51" t="b">
        <v>0</v>
      </c>
      <c r="N322" s="118"/>
      <c r="O322" s="118"/>
      <c r="P322" s="118"/>
      <c r="Q322" s="118"/>
      <c r="R322" s="118"/>
      <c r="S322" s="118"/>
      <c r="T322" s="46"/>
      <c r="U322" s="13"/>
      <c r="V322" s="13"/>
      <c r="W322" s="13"/>
      <c r="X322" s="13"/>
      <c r="Y322" s="13"/>
      <c r="Z322" s="13"/>
      <c r="AA322" s="13"/>
      <c r="AB322" s="13"/>
      <c r="AC322" s="13"/>
    </row>
    <row r="323" ht="16.5" customHeight="1">
      <c r="A323" s="35">
        <v>320.0</v>
      </c>
      <c r="B323" s="36" t="s">
        <v>2164</v>
      </c>
      <c r="C323" s="36"/>
      <c r="D323" s="38" t="s">
        <v>2165</v>
      </c>
      <c r="E323" s="38" t="s">
        <v>2166</v>
      </c>
      <c r="F323" s="38" t="s">
        <v>2157</v>
      </c>
      <c r="G323" s="48" t="s">
        <v>2167</v>
      </c>
      <c r="H323" s="49" t="s">
        <v>49</v>
      </c>
      <c r="I323" s="94" t="s">
        <v>39</v>
      </c>
      <c r="J323" s="39" t="s">
        <v>2168</v>
      </c>
      <c r="K323" s="95" t="s">
        <v>2169</v>
      </c>
      <c r="L323" s="59" t="s">
        <v>2170</v>
      </c>
      <c r="M323" s="51" t="b">
        <v>1</v>
      </c>
      <c r="N323" s="132" t="s">
        <v>2171</v>
      </c>
      <c r="O323" s="125"/>
      <c r="P323" s="125" t="s">
        <v>2172</v>
      </c>
      <c r="Q323" s="125" t="s">
        <v>2173</v>
      </c>
      <c r="R323" s="118"/>
      <c r="S323" s="118"/>
      <c r="T323" s="46"/>
      <c r="U323" s="13"/>
      <c r="V323" s="13"/>
      <c r="W323" s="13"/>
      <c r="X323" s="13"/>
      <c r="Y323" s="13"/>
      <c r="Z323" s="13"/>
      <c r="AA323" s="13"/>
      <c r="AB323" s="13"/>
      <c r="AC323" s="13"/>
    </row>
    <row r="324" ht="16.5" customHeight="1">
      <c r="A324" s="35">
        <v>321.0</v>
      </c>
      <c r="B324" s="36" t="s">
        <v>2174</v>
      </c>
      <c r="C324" s="36"/>
      <c r="D324" s="38" t="s">
        <v>2175</v>
      </c>
      <c r="E324" s="38" t="s">
        <v>2176</v>
      </c>
      <c r="F324" s="38" t="s">
        <v>2177</v>
      </c>
      <c r="G324" s="39" t="s">
        <v>2178</v>
      </c>
      <c r="H324" s="49" t="s">
        <v>49</v>
      </c>
      <c r="I324" s="94" t="s">
        <v>39</v>
      </c>
      <c r="J324" s="39" t="s">
        <v>2179</v>
      </c>
      <c r="K324" s="95" t="s">
        <v>453</v>
      </c>
      <c r="L324" s="94" t="s">
        <v>2180</v>
      </c>
      <c r="M324" s="51" t="b">
        <v>1</v>
      </c>
      <c r="N324" s="128" t="s">
        <v>2181</v>
      </c>
      <c r="O324" s="130"/>
      <c r="P324" s="118"/>
      <c r="Q324" s="118"/>
      <c r="R324" s="118"/>
      <c r="S324" s="118"/>
      <c r="T324" s="46"/>
      <c r="U324" s="13"/>
      <c r="V324" s="13"/>
      <c r="W324" s="13"/>
      <c r="X324" s="13"/>
      <c r="Y324" s="13"/>
      <c r="Z324" s="13"/>
      <c r="AA324" s="13"/>
      <c r="AB324" s="13"/>
      <c r="AC324" s="13"/>
    </row>
    <row r="325">
      <c r="A325" s="35">
        <v>322.0</v>
      </c>
      <c r="B325" s="36" t="s">
        <v>2182</v>
      </c>
      <c r="C325" s="36"/>
      <c r="D325" s="38"/>
      <c r="E325" s="38"/>
      <c r="F325" s="38" t="s">
        <v>2183</v>
      </c>
      <c r="G325" s="39" t="s">
        <v>2184</v>
      </c>
      <c r="H325" s="49" t="s">
        <v>49</v>
      </c>
      <c r="I325" s="94" t="s">
        <v>39</v>
      </c>
      <c r="J325" s="39" t="s">
        <v>492</v>
      </c>
      <c r="K325" s="67" t="s">
        <v>238</v>
      </c>
      <c r="L325" s="39" t="s">
        <v>1540</v>
      </c>
      <c r="M325" s="51" t="b">
        <v>1</v>
      </c>
      <c r="N325" s="131" t="s">
        <v>1541</v>
      </c>
      <c r="O325" s="164" t="s">
        <v>1542</v>
      </c>
      <c r="P325" s="165" t="s">
        <v>2185</v>
      </c>
      <c r="Q325" s="118"/>
      <c r="R325" s="118"/>
      <c r="S325" s="118"/>
      <c r="T325" s="46"/>
      <c r="U325" s="13"/>
      <c r="V325" s="13"/>
      <c r="W325" s="13"/>
      <c r="X325" s="13"/>
      <c r="Y325" s="13"/>
      <c r="Z325" s="13"/>
      <c r="AA325" s="13"/>
      <c r="AB325" s="13"/>
      <c r="AC325" s="13"/>
    </row>
    <row r="326" ht="16.5" hidden="1" customHeight="1">
      <c r="A326" s="35">
        <v>323.0</v>
      </c>
      <c r="B326" s="36" t="s">
        <v>2186</v>
      </c>
      <c r="C326" s="36"/>
      <c r="D326" s="38" t="s">
        <v>1830</v>
      </c>
      <c r="E326" s="38"/>
      <c r="F326" s="38" t="s">
        <v>2157</v>
      </c>
      <c r="G326" s="39" t="s">
        <v>231</v>
      </c>
      <c r="H326" s="49" t="s">
        <v>62</v>
      </c>
      <c r="I326" s="94" t="s">
        <v>63</v>
      </c>
      <c r="J326" s="55"/>
      <c r="K326" s="122"/>
      <c r="L326" s="123"/>
      <c r="M326" s="51" t="b">
        <v>0</v>
      </c>
      <c r="N326" s="118"/>
      <c r="O326" s="118"/>
      <c r="P326" s="118"/>
      <c r="Q326" s="118"/>
      <c r="R326" s="118"/>
      <c r="S326" s="118"/>
      <c r="T326" s="46"/>
      <c r="U326" s="13"/>
      <c r="V326" s="13"/>
      <c r="W326" s="13"/>
      <c r="X326" s="13"/>
      <c r="Y326" s="13"/>
      <c r="Z326" s="13"/>
      <c r="AA326" s="13"/>
      <c r="AB326" s="13"/>
      <c r="AC326" s="13"/>
    </row>
    <row r="327" ht="16.5" customHeight="1">
      <c r="A327" s="35">
        <v>324.0</v>
      </c>
      <c r="B327" s="36" t="s">
        <v>2187</v>
      </c>
      <c r="C327" s="36"/>
      <c r="D327" s="38" t="s">
        <v>2188</v>
      </c>
      <c r="E327" s="38" t="s">
        <v>2189</v>
      </c>
      <c r="F327" s="38" t="s">
        <v>2190</v>
      </c>
      <c r="G327" s="39" t="s">
        <v>2191</v>
      </c>
      <c r="H327" s="49" t="s">
        <v>49</v>
      </c>
      <c r="I327" s="94" t="s">
        <v>39</v>
      </c>
      <c r="J327" s="93" t="s">
        <v>2192</v>
      </c>
      <c r="K327" s="95" t="s">
        <v>2193</v>
      </c>
      <c r="L327" s="59" t="s">
        <v>2194</v>
      </c>
      <c r="M327" s="51" t="b">
        <v>1</v>
      </c>
      <c r="N327" s="166" t="s">
        <v>2195</v>
      </c>
      <c r="O327" s="138"/>
      <c r="P327" s="138" t="s">
        <v>2196</v>
      </c>
      <c r="Q327" s="118"/>
      <c r="R327" s="118"/>
      <c r="S327" s="118"/>
      <c r="T327" s="46"/>
      <c r="U327" s="13"/>
      <c r="V327" s="13"/>
      <c r="W327" s="13"/>
      <c r="X327" s="13"/>
      <c r="Y327" s="13"/>
      <c r="Z327" s="13"/>
      <c r="AA327" s="13"/>
      <c r="AB327" s="13"/>
      <c r="AC327" s="13"/>
    </row>
    <row r="328" ht="16.5" customHeight="1">
      <c r="A328" s="35">
        <v>325.0</v>
      </c>
      <c r="B328" s="36" t="s">
        <v>2197</v>
      </c>
      <c r="C328" s="36"/>
      <c r="D328" s="38" t="s">
        <v>2198</v>
      </c>
      <c r="E328" s="38" t="s">
        <v>2199</v>
      </c>
      <c r="F328" s="38" t="s">
        <v>2200</v>
      </c>
      <c r="G328" s="39" t="s">
        <v>2201</v>
      </c>
      <c r="H328" s="49" t="s">
        <v>49</v>
      </c>
      <c r="I328" s="39" t="s">
        <v>39</v>
      </c>
      <c r="J328" s="94" t="s">
        <v>2202</v>
      </c>
      <c r="K328" s="92" t="s">
        <v>2203</v>
      </c>
      <c r="L328" s="143" t="s">
        <v>2204</v>
      </c>
      <c r="M328" s="51" t="b">
        <v>1</v>
      </c>
      <c r="N328" s="132" t="s">
        <v>2205</v>
      </c>
      <c r="O328" s="125"/>
      <c r="P328" s="125" t="s">
        <v>2206</v>
      </c>
      <c r="Q328" s="125"/>
      <c r="R328" s="125" t="e">
        <v>#VALUE!</v>
      </c>
      <c r="S328" s="118"/>
      <c r="T328" s="46"/>
      <c r="U328" s="13"/>
      <c r="V328" s="13"/>
      <c r="W328" s="13"/>
      <c r="X328" s="13"/>
      <c r="Y328" s="13"/>
      <c r="Z328" s="13"/>
      <c r="AA328" s="13"/>
      <c r="AB328" s="13"/>
      <c r="AC328" s="13"/>
    </row>
    <row r="329" ht="126.0" hidden="1" customHeight="1">
      <c r="A329" s="35">
        <v>326.0</v>
      </c>
      <c r="B329" s="36" t="s">
        <v>2207</v>
      </c>
      <c r="C329" s="36"/>
      <c r="D329" s="38"/>
      <c r="E329" s="38"/>
      <c r="F329" s="38" t="s">
        <v>1831</v>
      </c>
      <c r="G329" s="39" t="s">
        <v>231</v>
      </c>
      <c r="H329" s="49" t="s">
        <v>62</v>
      </c>
      <c r="I329" s="94" t="s">
        <v>63</v>
      </c>
      <c r="J329" s="65"/>
      <c r="K329" s="122"/>
      <c r="L329" s="123"/>
      <c r="M329" s="51" t="b">
        <v>0</v>
      </c>
      <c r="N329" s="118"/>
      <c r="O329" s="118"/>
      <c r="P329" s="118"/>
      <c r="Q329" s="118"/>
      <c r="R329" s="118"/>
      <c r="S329" s="118"/>
      <c r="T329" s="46"/>
      <c r="U329" s="13"/>
      <c r="V329" s="13"/>
      <c r="W329" s="13"/>
      <c r="X329" s="13"/>
      <c r="Y329" s="13"/>
      <c r="Z329" s="13"/>
      <c r="AA329" s="13"/>
      <c r="AB329" s="13"/>
      <c r="AC329" s="13"/>
    </row>
    <row r="330" ht="16.5" customHeight="1">
      <c r="A330" s="35">
        <v>327.0</v>
      </c>
      <c r="B330" s="36" t="s">
        <v>2208</v>
      </c>
      <c r="C330" s="36"/>
      <c r="D330" s="38" t="s">
        <v>2209</v>
      </c>
      <c r="E330" s="38" t="s">
        <v>2210</v>
      </c>
      <c r="F330" s="38" t="s">
        <v>2211</v>
      </c>
      <c r="G330" s="39" t="s">
        <v>2212</v>
      </c>
      <c r="H330" s="49" t="s">
        <v>49</v>
      </c>
      <c r="I330" s="94" t="s">
        <v>39</v>
      </c>
      <c r="J330" s="39" t="s">
        <v>620</v>
      </c>
      <c r="K330" s="134" t="s">
        <v>2213</v>
      </c>
      <c r="L330" s="42" t="s">
        <v>2214</v>
      </c>
      <c r="M330" s="51" t="b">
        <v>0</v>
      </c>
      <c r="N330" s="125"/>
      <c r="O330" s="125"/>
      <c r="P330" s="125" t="s">
        <v>2215</v>
      </c>
      <c r="Q330" s="125" t="s">
        <v>2216</v>
      </c>
      <c r="R330" s="125"/>
      <c r="S330" s="118"/>
      <c r="T330" s="46"/>
      <c r="U330" s="13"/>
      <c r="V330" s="13"/>
      <c r="W330" s="13"/>
      <c r="X330" s="13"/>
      <c r="Y330" s="13"/>
      <c r="Z330" s="13"/>
      <c r="AA330" s="13"/>
      <c r="AB330" s="13"/>
      <c r="AC330" s="13"/>
    </row>
    <row r="331" ht="16.5" customHeight="1">
      <c r="A331" s="35">
        <v>328.0</v>
      </c>
      <c r="B331" s="36" t="s">
        <v>2217</v>
      </c>
      <c r="C331" s="36"/>
      <c r="D331" s="38" t="s">
        <v>1830</v>
      </c>
      <c r="E331" s="38"/>
      <c r="F331" s="38" t="s">
        <v>2218</v>
      </c>
      <c r="G331" s="39" t="s">
        <v>2219</v>
      </c>
      <c r="H331" s="49" t="s">
        <v>49</v>
      </c>
      <c r="I331" s="94" t="s">
        <v>39</v>
      </c>
      <c r="J331" s="39" t="s">
        <v>1159</v>
      </c>
      <c r="K331" s="95" t="s">
        <v>173</v>
      </c>
      <c r="L331" s="59" t="s">
        <v>2220</v>
      </c>
      <c r="M331" s="51" t="b">
        <v>1</v>
      </c>
      <c r="N331" s="128" t="s">
        <v>1160</v>
      </c>
      <c r="O331" s="130"/>
      <c r="P331" s="118"/>
      <c r="Q331" s="118"/>
      <c r="R331" s="118"/>
      <c r="S331" s="118"/>
      <c r="T331" s="46"/>
      <c r="U331" s="13"/>
      <c r="V331" s="13"/>
      <c r="W331" s="13"/>
      <c r="X331" s="13"/>
      <c r="Y331" s="13"/>
      <c r="Z331" s="13"/>
      <c r="AA331" s="13"/>
      <c r="AB331" s="13"/>
      <c r="AC331" s="13"/>
    </row>
    <row r="332" ht="16.5" customHeight="1">
      <c r="A332" s="35">
        <v>329.0</v>
      </c>
      <c r="B332" s="36" t="s">
        <v>1340</v>
      </c>
      <c r="C332" s="36"/>
      <c r="D332" s="38" t="s">
        <v>2221</v>
      </c>
      <c r="E332" s="38" t="s">
        <v>2222</v>
      </c>
      <c r="F332" s="38" t="s">
        <v>2223</v>
      </c>
      <c r="G332" s="39" t="s">
        <v>693</v>
      </c>
      <c r="H332" s="49" t="s">
        <v>49</v>
      </c>
      <c r="I332" s="39" t="s">
        <v>39</v>
      </c>
      <c r="J332" s="59" t="s">
        <v>694</v>
      </c>
      <c r="K332" s="67" t="s">
        <v>695</v>
      </c>
      <c r="L332" s="59" t="s">
        <v>696</v>
      </c>
      <c r="M332" s="51" t="b">
        <v>1</v>
      </c>
      <c r="N332" s="132" t="s">
        <v>697</v>
      </c>
      <c r="O332" s="132" t="s">
        <v>698</v>
      </c>
      <c r="P332" s="125" t="s">
        <v>2224</v>
      </c>
      <c r="Q332" s="125" t="s">
        <v>2225</v>
      </c>
      <c r="R332" s="118"/>
      <c r="S332" s="118"/>
      <c r="T332" s="46"/>
      <c r="U332" s="13"/>
      <c r="V332" s="13"/>
      <c r="W332" s="13"/>
      <c r="X332" s="13"/>
      <c r="Y332" s="13"/>
      <c r="Z332" s="13"/>
      <c r="AA332" s="13"/>
      <c r="AB332" s="13"/>
      <c r="AC332" s="13"/>
    </row>
    <row r="333" ht="16.5" customHeight="1">
      <c r="A333" s="35">
        <v>330.0</v>
      </c>
      <c r="B333" s="36" t="s">
        <v>2226</v>
      </c>
      <c r="C333" s="36"/>
      <c r="D333" s="38" t="s">
        <v>2227</v>
      </c>
      <c r="E333" s="38"/>
      <c r="F333" s="38" t="s">
        <v>2228</v>
      </c>
      <c r="G333" s="39" t="s">
        <v>2229</v>
      </c>
      <c r="H333" s="49" t="s">
        <v>49</v>
      </c>
      <c r="I333" s="94" t="s">
        <v>39</v>
      </c>
      <c r="J333" s="39" t="s">
        <v>1760</v>
      </c>
      <c r="K333" s="95" t="s">
        <v>214</v>
      </c>
      <c r="L333" s="59" t="s">
        <v>2230</v>
      </c>
      <c r="M333" s="51" t="b">
        <v>1</v>
      </c>
      <c r="N333" s="128" t="s">
        <v>2231</v>
      </c>
      <c r="O333" s="130"/>
      <c r="P333" s="118"/>
      <c r="Q333" s="118"/>
      <c r="R333" s="118"/>
      <c r="S333" s="118"/>
      <c r="T333" s="46"/>
      <c r="U333" s="13"/>
      <c r="V333" s="13"/>
      <c r="W333" s="13"/>
      <c r="X333" s="13"/>
      <c r="Y333" s="13"/>
      <c r="Z333" s="13"/>
      <c r="AA333" s="13"/>
      <c r="AB333" s="13"/>
      <c r="AC333" s="13"/>
    </row>
    <row r="334" ht="16.5" customHeight="1">
      <c r="A334" s="35">
        <v>331.0</v>
      </c>
      <c r="B334" s="36" t="s">
        <v>2232</v>
      </c>
      <c r="C334" s="36"/>
      <c r="D334" s="38" t="s">
        <v>2233</v>
      </c>
      <c r="E334" s="38" t="s">
        <v>2234</v>
      </c>
      <c r="F334" s="38" t="s">
        <v>2235</v>
      </c>
      <c r="G334" s="39" t="s">
        <v>2236</v>
      </c>
      <c r="H334" s="49" t="s">
        <v>49</v>
      </c>
      <c r="I334" s="94" t="s">
        <v>39</v>
      </c>
      <c r="J334" s="39" t="s">
        <v>1574</v>
      </c>
      <c r="K334" s="95" t="s">
        <v>93</v>
      </c>
      <c r="L334" s="59" t="s">
        <v>2237</v>
      </c>
      <c r="M334" s="51" t="b">
        <v>1</v>
      </c>
      <c r="N334" s="128" t="s">
        <v>1576</v>
      </c>
      <c r="O334" s="130"/>
      <c r="P334" s="118"/>
      <c r="Q334" s="118"/>
      <c r="R334" s="118"/>
      <c r="S334" s="118"/>
      <c r="T334" s="46"/>
      <c r="U334" s="13"/>
      <c r="V334" s="13"/>
      <c r="W334" s="13"/>
      <c r="X334" s="13"/>
      <c r="Y334" s="13"/>
      <c r="Z334" s="13"/>
      <c r="AA334" s="13"/>
      <c r="AB334" s="13"/>
      <c r="AC334" s="13"/>
    </row>
    <row r="335" ht="126.0" customHeight="1">
      <c r="A335" s="35">
        <v>332.0</v>
      </c>
      <c r="B335" s="36" t="s">
        <v>2238</v>
      </c>
      <c r="C335" s="36"/>
      <c r="D335" s="38"/>
      <c r="E335" s="38"/>
      <c r="F335" s="38" t="s">
        <v>1831</v>
      </c>
      <c r="G335" s="39" t="s">
        <v>2239</v>
      </c>
      <c r="H335" s="49" t="s">
        <v>38</v>
      </c>
      <c r="I335" s="94" t="s">
        <v>39</v>
      </c>
      <c r="J335" s="91" t="s">
        <v>151</v>
      </c>
      <c r="K335" s="92" t="s">
        <v>122</v>
      </c>
      <c r="L335" s="93" t="s">
        <v>705</v>
      </c>
      <c r="M335" s="51" t="b">
        <v>1</v>
      </c>
      <c r="N335" s="131" t="s">
        <v>502</v>
      </c>
      <c r="O335" s="130"/>
      <c r="P335" s="118"/>
      <c r="Q335" s="118"/>
      <c r="R335" s="118"/>
      <c r="S335" s="118"/>
      <c r="T335" s="46"/>
      <c r="U335" s="13"/>
      <c r="V335" s="13"/>
      <c r="W335" s="13"/>
      <c r="X335" s="13"/>
      <c r="Y335" s="13"/>
      <c r="Z335" s="13"/>
      <c r="AA335" s="13"/>
      <c r="AB335" s="13"/>
      <c r="AC335" s="13"/>
    </row>
    <row r="336" ht="16.5" customHeight="1">
      <c r="A336" s="35">
        <v>333.0</v>
      </c>
      <c r="B336" s="36" t="s">
        <v>2240</v>
      </c>
      <c r="C336" s="36"/>
      <c r="D336" s="38"/>
      <c r="E336" s="38"/>
      <c r="F336" s="38" t="s">
        <v>2241</v>
      </c>
      <c r="G336" s="39" t="s">
        <v>2242</v>
      </c>
      <c r="H336" s="49" t="s">
        <v>49</v>
      </c>
      <c r="I336" s="94" t="s">
        <v>39</v>
      </c>
      <c r="J336" s="39" t="s">
        <v>492</v>
      </c>
      <c r="K336" s="41" t="s">
        <v>409</v>
      </c>
      <c r="L336" s="39" t="s">
        <v>493</v>
      </c>
      <c r="M336" s="51" t="b">
        <v>1</v>
      </c>
      <c r="N336" s="131" t="s">
        <v>494</v>
      </c>
      <c r="O336" s="164" t="s">
        <v>495</v>
      </c>
      <c r="P336" s="165" t="s">
        <v>2243</v>
      </c>
      <c r="Q336" s="118"/>
      <c r="R336" s="118"/>
      <c r="S336" s="118"/>
      <c r="T336" s="46"/>
      <c r="U336" s="13"/>
      <c r="V336" s="13"/>
      <c r="W336" s="13"/>
      <c r="X336" s="13"/>
      <c r="Y336" s="13"/>
      <c r="Z336" s="13"/>
      <c r="AA336" s="13"/>
      <c r="AB336" s="13"/>
      <c r="AC336" s="13"/>
    </row>
    <row r="337" ht="16.5" customHeight="1">
      <c r="A337" s="35">
        <v>334.0</v>
      </c>
      <c r="B337" s="36" t="s">
        <v>2244</v>
      </c>
      <c r="C337" s="36"/>
      <c r="D337" s="38"/>
      <c r="E337" s="38"/>
      <c r="F337" s="38" t="s">
        <v>1628</v>
      </c>
      <c r="G337" s="39" t="s">
        <v>1629</v>
      </c>
      <c r="H337" s="49" t="s">
        <v>49</v>
      </c>
      <c r="I337" s="94" t="s">
        <v>39</v>
      </c>
      <c r="J337" s="39" t="s">
        <v>964</v>
      </c>
      <c r="K337" s="95" t="s">
        <v>173</v>
      </c>
      <c r="L337" s="94" t="s">
        <v>1630</v>
      </c>
      <c r="M337" s="51" t="b">
        <v>1</v>
      </c>
      <c r="N337" s="128" t="s">
        <v>966</v>
      </c>
      <c r="O337" s="129" t="s">
        <v>1631</v>
      </c>
      <c r="P337" s="118"/>
      <c r="Q337" s="118"/>
      <c r="R337" s="118"/>
      <c r="S337" s="118"/>
      <c r="T337" s="46"/>
      <c r="U337" s="13"/>
      <c r="V337" s="13"/>
      <c r="W337" s="13"/>
      <c r="X337" s="13"/>
      <c r="Y337" s="13"/>
      <c r="Z337" s="13"/>
      <c r="AA337" s="13"/>
      <c r="AB337" s="13"/>
      <c r="AC337" s="13"/>
    </row>
    <row r="338" ht="126.0" hidden="1" customHeight="1">
      <c r="A338" s="35">
        <v>335.0</v>
      </c>
      <c r="B338" s="36" t="s">
        <v>2245</v>
      </c>
      <c r="C338" s="36"/>
      <c r="D338" s="38"/>
      <c r="E338" s="38"/>
      <c r="F338" s="38" t="s">
        <v>1831</v>
      </c>
      <c r="G338" s="39" t="s">
        <v>231</v>
      </c>
      <c r="H338" s="49" t="s">
        <v>62</v>
      </c>
      <c r="I338" s="94" t="s">
        <v>63</v>
      </c>
      <c r="J338" s="55"/>
      <c r="K338" s="122"/>
      <c r="L338" s="123"/>
      <c r="M338" s="51" t="b">
        <v>0</v>
      </c>
      <c r="N338" s="118"/>
      <c r="O338" s="118"/>
      <c r="P338" s="118"/>
      <c r="Q338" s="118"/>
      <c r="R338" s="118"/>
      <c r="S338" s="118"/>
      <c r="T338" s="46"/>
      <c r="U338" s="13"/>
      <c r="V338" s="13"/>
      <c r="W338" s="13"/>
      <c r="X338" s="13"/>
      <c r="Y338" s="13"/>
      <c r="Z338" s="13"/>
      <c r="AA338" s="13"/>
      <c r="AB338" s="13"/>
      <c r="AC338" s="13"/>
    </row>
    <row r="339" ht="16.5" customHeight="1">
      <c r="A339" s="35">
        <v>336.0</v>
      </c>
      <c r="B339" s="36" t="s">
        <v>2246</v>
      </c>
      <c r="C339" s="36"/>
      <c r="D339" s="38" t="s">
        <v>2247</v>
      </c>
      <c r="E339" s="38" t="s">
        <v>2248</v>
      </c>
      <c r="F339" s="38" t="s">
        <v>2249</v>
      </c>
      <c r="G339" s="39" t="s">
        <v>2250</v>
      </c>
      <c r="H339" s="49" t="s">
        <v>49</v>
      </c>
      <c r="I339" s="94" t="s">
        <v>39</v>
      </c>
      <c r="J339" s="39" t="s">
        <v>2251</v>
      </c>
      <c r="K339" s="95" t="s">
        <v>2252</v>
      </c>
      <c r="L339" s="94" t="s">
        <v>2253</v>
      </c>
      <c r="M339" s="51" t="b">
        <v>1</v>
      </c>
      <c r="N339" s="128" t="s">
        <v>2254</v>
      </c>
      <c r="O339" s="130"/>
      <c r="P339" s="118"/>
      <c r="Q339" s="118"/>
      <c r="R339" s="118"/>
      <c r="S339" s="118"/>
      <c r="T339" s="46"/>
      <c r="U339" s="13"/>
      <c r="V339" s="13"/>
      <c r="W339" s="13"/>
      <c r="X339" s="13"/>
      <c r="Y339" s="13"/>
      <c r="Z339" s="13"/>
      <c r="AA339" s="13"/>
      <c r="AB339" s="13"/>
      <c r="AC339" s="13"/>
    </row>
    <row r="340" ht="360.0" customHeight="1">
      <c r="A340" s="35">
        <v>337.0</v>
      </c>
      <c r="B340" s="36" t="s">
        <v>2255</v>
      </c>
      <c r="C340" s="36"/>
      <c r="D340" s="38" t="s">
        <v>2256</v>
      </c>
      <c r="E340" s="38" t="s">
        <v>2257</v>
      </c>
      <c r="F340" s="38" t="s">
        <v>2258</v>
      </c>
      <c r="G340" s="39" t="s">
        <v>1879</v>
      </c>
      <c r="H340" s="49" t="s">
        <v>49</v>
      </c>
      <c r="I340" s="94" t="s">
        <v>39</v>
      </c>
      <c r="J340" s="70" t="s">
        <v>1880</v>
      </c>
      <c r="K340" s="95" t="s">
        <v>173</v>
      </c>
      <c r="L340" s="94" t="s">
        <v>424</v>
      </c>
      <c r="M340" s="51" t="b">
        <v>0</v>
      </c>
      <c r="N340" s="118"/>
      <c r="O340" s="118"/>
      <c r="P340" s="118" t="s">
        <v>2259</v>
      </c>
      <c r="Q340" s="118" t="s">
        <v>2260</v>
      </c>
      <c r="R340" s="118"/>
      <c r="S340" s="118"/>
      <c r="T340" s="46"/>
      <c r="U340" s="13"/>
      <c r="V340" s="13"/>
      <c r="W340" s="13"/>
      <c r="X340" s="13"/>
      <c r="Y340" s="13"/>
      <c r="Z340" s="13"/>
      <c r="AA340" s="13"/>
      <c r="AB340" s="13"/>
      <c r="AC340" s="13"/>
    </row>
    <row r="341" ht="360.0" customHeight="1">
      <c r="A341" s="35">
        <v>338.0</v>
      </c>
      <c r="B341" s="36" t="s">
        <v>2261</v>
      </c>
      <c r="C341" s="36"/>
      <c r="D341" s="38"/>
      <c r="E341" s="38"/>
      <c r="F341" s="38" t="s">
        <v>1022</v>
      </c>
      <c r="G341" s="39" t="s">
        <v>1023</v>
      </c>
      <c r="H341" s="49" t="s">
        <v>49</v>
      </c>
      <c r="I341" s="86" t="s">
        <v>39</v>
      </c>
      <c r="J341" s="39" t="s">
        <v>1368</v>
      </c>
      <c r="K341" s="95" t="s">
        <v>173</v>
      </c>
      <c r="L341" s="94" t="s">
        <v>1025</v>
      </c>
      <c r="M341" s="51" t="b">
        <v>1</v>
      </c>
      <c r="N341" s="128" t="s">
        <v>1369</v>
      </c>
      <c r="O341" s="129" t="s">
        <v>1370</v>
      </c>
      <c r="P341" s="118"/>
      <c r="Q341" s="118"/>
      <c r="R341" s="118"/>
      <c r="S341" s="118"/>
      <c r="T341" s="46"/>
      <c r="U341" s="13"/>
      <c r="V341" s="13"/>
      <c r="W341" s="13"/>
      <c r="X341" s="13"/>
      <c r="Y341" s="13"/>
      <c r="Z341" s="13"/>
      <c r="AA341" s="13"/>
      <c r="AB341" s="13"/>
      <c r="AC341" s="13"/>
    </row>
    <row r="342" ht="16.5" hidden="1" customHeight="1">
      <c r="A342" s="35">
        <v>339.0</v>
      </c>
      <c r="B342" s="36" t="s">
        <v>2262</v>
      </c>
      <c r="C342" s="36"/>
      <c r="D342" s="38" t="s">
        <v>2263</v>
      </c>
      <c r="E342" s="38" t="s">
        <v>2264</v>
      </c>
      <c r="F342" s="38" t="s">
        <v>2265</v>
      </c>
      <c r="G342" s="39" t="s">
        <v>2266</v>
      </c>
      <c r="H342" s="49" t="s">
        <v>62</v>
      </c>
      <c r="I342" s="94" t="s">
        <v>63</v>
      </c>
      <c r="J342" s="55"/>
      <c r="K342" s="122"/>
      <c r="L342" s="123"/>
      <c r="M342" s="51" t="b">
        <v>0</v>
      </c>
      <c r="N342" s="118"/>
      <c r="O342" s="118"/>
      <c r="P342" s="118"/>
      <c r="Q342" s="118"/>
      <c r="R342" s="118"/>
      <c r="S342" s="118"/>
      <c r="T342" s="46"/>
      <c r="U342" s="13"/>
      <c r="V342" s="13"/>
      <c r="W342" s="13"/>
      <c r="X342" s="13"/>
      <c r="Y342" s="13"/>
      <c r="Z342" s="13"/>
      <c r="AA342" s="13"/>
      <c r="AB342" s="13"/>
      <c r="AC342" s="13"/>
    </row>
    <row r="343" ht="16.5" customHeight="1">
      <c r="A343" s="35">
        <v>340.0</v>
      </c>
      <c r="B343" s="36" t="s">
        <v>2267</v>
      </c>
      <c r="C343" s="36"/>
      <c r="D343" s="38" t="s">
        <v>2268</v>
      </c>
      <c r="E343" s="38"/>
      <c r="F343" s="38" t="s">
        <v>2269</v>
      </c>
      <c r="G343" s="39" t="s">
        <v>2270</v>
      </c>
      <c r="H343" s="49" t="s">
        <v>49</v>
      </c>
      <c r="I343" s="94" t="s">
        <v>39</v>
      </c>
      <c r="J343" s="39" t="s">
        <v>1125</v>
      </c>
      <c r="K343" s="95" t="s">
        <v>2271</v>
      </c>
      <c r="L343" s="59" t="s">
        <v>2272</v>
      </c>
      <c r="M343" s="51" t="b">
        <v>1</v>
      </c>
      <c r="N343" s="128" t="s">
        <v>2273</v>
      </c>
      <c r="O343" s="130"/>
      <c r="P343" s="118"/>
      <c r="Q343" s="118"/>
      <c r="R343" s="118"/>
      <c r="S343" s="118"/>
      <c r="T343" s="46"/>
      <c r="U343" s="117" t="s">
        <v>2274</v>
      </c>
      <c r="V343" s="13"/>
      <c r="W343" s="13"/>
      <c r="X343" s="13"/>
      <c r="Y343" s="13"/>
      <c r="Z343" s="13"/>
      <c r="AA343" s="13"/>
      <c r="AB343" s="13"/>
      <c r="AC343" s="13"/>
    </row>
    <row r="344" ht="16.5" customHeight="1">
      <c r="A344" s="35">
        <v>341.0</v>
      </c>
      <c r="B344" s="36" t="s">
        <v>2275</v>
      </c>
      <c r="C344" s="36"/>
      <c r="D344" s="38" t="s">
        <v>2276</v>
      </c>
      <c r="E344" s="38" t="s">
        <v>2277</v>
      </c>
      <c r="F344" s="38" t="s">
        <v>2278</v>
      </c>
      <c r="G344" s="39" t="s">
        <v>2279</v>
      </c>
      <c r="H344" s="49" t="s">
        <v>49</v>
      </c>
      <c r="I344" s="94" t="s">
        <v>39</v>
      </c>
      <c r="J344" s="94" t="s">
        <v>620</v>
      </c>
      <c r="K344" s="95" t="s">
        <v>2280</v>
      </c>
      <c r="L344" s="94" t="s">
        <v>2281</v>
      </c>
      <c r="M344" s="51" t="b">
        <v>1</v>
      </c>
      <c r="N344" s="132" t="s">
        <v>2282</v>
      </c>
      <c r="O344" s="125"/>
      <c r="P344" s="125" t="s">
        <v>2283</v>
      </c>
      <c r="Q344" s="118"/>
      <c r="R344" s="118"/>
      <c r="S344" s="118"/>
      <c r="T344" s="46"/>
      <c r="U344" s="13"/>
      <c r="V344" s="13"/>
      <c r="W344" s="13"/>
      <c r="X344" s="13"/>
      <c r="Y344" s="13"/>
      <c r="Z344" s="13"/>
      <c r="AA344" s="13"/>
      <c r="AB344" s="13"/>
      <c r="AC344" s="13"/>
    </row>
    <row r="345" ht="16.5" customHeight="1">
      <c r="A345" s="35">
        <v>342.0</v>
      </c>
      <c r="B345" s="36" t="s">
        <v>2284</v>
      </c>
      <c r="C345" s="36"/>
      <c r="D345" s="38" t="s">
        <v>2285</v>
      </c>
      <c r="E345" s="38" t="s">
        <v>2286</v>
      </c>
      <c r="F345" s="38" t="s">
        <v>2287</v>
      </c>
      <c r="G345" s="39" t="s">
        <v>2288</v>
      </c>
      <c r="H345" s="49" t="s">
        <v>49</v>
      </c>
      <c r="I345" s="94" t="s">
        <v>39</v>
      </c>
      <c r="J345" s="39" t="s">
        <v>2289</v>
      </c>
      <c r="K345" s="95" t="s">
        <v>2290</v>
      </c>
      <c r="L345" s="94" t="s">
        <v>2291</v>
      </c>
      <c r="M345" s="51" t="b">
        <v>1</v>
      </c>
      <c r="N345" s="142" t="s">
        <v>314</v>
      </c>
      <c r="O345" s="130"/>
      <c r="P345" s="118"/>
      <c r="Q345" s="118"/>
      <c r="R345" s="118"/>
      <c r="S345" s="118"/>
      <c r="T345" s="46"/>
      <c r="U345" s="13"/>
      <c r="V345" s="13"/>
      <c r="W345" s="13"/>
      <c r="X345" s="13"/>
      <c r="Y345" s="13"/>
      <c r="Z345" s="13"/>
      <c r="AA345" s="13"/>
      <c r="AB345" s="13"/>
      <c r="AC345" s="13"/>
    </row>
    <row r="346" ht="36.0" hidden="1" customHeight="1">
      <c r="A346" s="35">
        <v>343.0</v>
      </c>
      <c r="B346" s="36" t="s">
        <v>2292</v>
      </c>
      <c r="C346" s="36"/>
      <c r="D346" s="38" t="s">
        <v>1830</v>
      </c>
      <c r="E346" s="38"/>
      <c r="F346" s="38" t="s">
        <v>1898</v>
      </c>
      <c r="G346" s="39" t="s">
        <v>231</v>
      </c>
      <c r="H346" s="49" t="s">
        <v>62</v>
      </c>
      <c r="I346" s="94" t="s">
        <v>63</v>
      </c>
      <c r="J346" s="55"/>
      <c r="K346" s="122"/>
      <c r="L346" s="123"/>
      <c r="M346" s="51" t="b">
        <v>0</v>
      </c>
      <c r="N346" s="118"/>
      <c r="O346" s="118"/>
      <c r="P346" s="118"/>
      <c r="Q346" s="118"/>
      <c r="R346" s="118"/>
      <c r="S346" s="118"/>
      <c r="T346" s="46"/>
      <c r="U346" s="13"/>
      <c r="V346" s="13"/>
      <c r="W346" s="13"/>
      <c r="X346" s="13"/>
      <c r="Y346" s="13"/>
      <c r="Z346" s="13"/>
      <c r="AA346" s="13"/>
      <c r="AB346" s="13"/>
      <c r="AC346" s="13"/>
    </row>
    <row r="347" ht="36.0" hidden="1" customHeight="1">
      <c r="A347" s="35">
        <v>344.0</v>
      </c>
      <c r="B347" s="36" t="s">
        <v>2293</v>
      </c>
      <c r="C347" s="36"/>
      <c r="D347" s="38" t="s">
        <v>1830</v>
      </c>
      <c r="E347" s="38"/>
      <c r="F347" s="38" t="s">
        <v>1898</v>
      </c>
      <c r="G347" s="39" t="s">
        <v>231</v>
      </c>
      <c r="H347" s="49" t="s">
        <v>62</v>
      </c>
      <c r="I347" s="94" t="s">
        <v>63</v>
      </c>
      <c r="J347" s="55"/>
      <c r="K347" s="122"/>
      <c r="L347" s="123"/>
      <c r="M347" s="51" t="b">
        <v>0</v>
      </c>
      <c r="N347" s="118"/>
      <c r="O347" s="118"/>
      <c r="P347" s="118"/>
      <c r="Q347" s="118"/>
      <c r="R347" s="118"/>
      <c r="S347" s="118"/>
      <c r="T347" s="46"/>
      <c r="U347" s="13"/>
      <c r="V347" s="13"/>
      <c r="W347" s="13"/>
      <c r="X347" s="13"/>
      <c r="Y347" s="13"/>
      <c r="Z347" s="13"/>
      <c r="AA347" s="13"/>
      <c r="AB347" s="13"/>
      <c r="AC347" s="13"/>
    </row>
    <row r="348" ht="16.5" hidden="1" customHeight="1">
      <c r="A348" s="35">
        <v>345.0</v>
      </c>
      <c r="B348" s="36" t="s">
        <v>2294</v>
      </c>
      <c r="C348" s="36"/>
      <c r="D348" s="38" t="s">
        <v>2295</v>
      </c>
      <c r="E348" s="38" t="s">
        <v>2296</v>
      </c>
      <c r="F348" s="38" t="s">
        <v>2297</v>
      </c>
      <c r="G348" s="48" t="s">
        <v>2298</v>
      </c>
      <c r="H348" s="49" t="s">
        <v>62</v>
      </c>
      <c r="I348" s="94" t="s">
        <v>63</v>
      </c>
      <c r="J348" s="65"/>
      <c r="K348" s="167"/>
      <c r="L348" s="155"/>
      <c r="M348" s="51" t="b">
        <v>0</v>
      </c>
      <c r="N348" s="132"/>
      <c r="O348" s="133"/>
      <c r="P348" s="125"/>
      <c r="Q348" s="118"/>
      <c r="R348" s="118"/>
      <c r="S348" s="118"/>
      <c r="T348" s="46"/>
      <c r="U348" s="13"/>
      <c r="V348" s="13"/>
      <c r="W348" s="13"/>
      <c r="X348" s="13"/>
      <c r="Y348" s="13"/>
      <c r="Z348" s="13"/>
      <c r="AA348" s="13"/>
      <c r="AB348" s="13"/>
      <c r="AC348" s="13"/>
    </row>
    <row r="349" ht="16.5" customHeight="1">
      <c r="A349" s="35">
        <v>346.0</v>
      </c>
      <c r="B349" s="36" t="s">
        <v>2299</v>
      </c>
      <c r="C349" s="36"/>
      <c r="D349" s="38" t="s">
        <v>2300</v>
      </c>
      <c r="E349" s="38" t="s">
        <v>2301</v>
      </c>
      <c r="F349" s="38" t="s">
        <v>2302</v>
      </c>
      <c r="G349" s="39" t="s">
        <v>2303</v>
      </c>
      <c r="H349" s="49" t="s">
        <v>49</v>
      </c>
      <c r="I349" s="94" t="s">
        <v>39</v>
      </c>
      <c r="J349" s="39" t="s">
        <v>620</v>
      </c>
      <c r="K349" s="95" t="s">
        <v>2304</v>
      </c>
      <c r="L349" s="59" t="s">
        <v>2305</v>
      </c>
      <c r="M349" s="51" t="b">
        <v>1</v>
      </c>
      <c r="N349" s="128" t="s">
        <v>2306</v>
      </c>
      <c r="O349" s="130"/>
      <c r="P349" s="118"/>
      <c r="Q349" s="118"/>
      <c r="R349" s="118"/>
      <c r="S349" s="118"/>
      <c r="T349" s="46"/>
      <c r="U349" s="13"/>
      <c r="V349" s="13"/>
      <c r="W349" s="13"/>
      <c r="X349" s="13"/>
      <c r="Y349" s="13"/>
      <c r="Z349" s="13"/>
      <c r="AA349" s="13"/>
      <c r="AB349" s="13"/>
      <c r="AC349" s="13"/>
    </row>
    <row r="350" ht="16.5" hidden="1" customHeight="1">
      <c r="A350" s="35">
        <v>347.0</v>
      </c>
      <c r="B350" s="36" t="s">
        <v>2307</v>
      </c>
      <c r="C350" s="36"/>
      <c r="D350" s="38" t="s">
        <v>2308</v>
      </c>
      <c r="E350" s="38" t="s">
        <v>2309</v>
      </c>
      <c r="F350" s="38" t="s">
        <v>1831</v>
      </c>
      <c r="G350" s="39" t="s">
        <v>231</v>
      </c>
      <c r="H350" s="49" t="s">
        <v>62</v>
      </c>
      <c r="I350" s="94" t="s">
        <v>63</v>
      </c>
      <c r="J350" s="55"/>
      <c r="K350" s="122"/>
      <c r="L350" s="123"/>
      <c r="M350" s="51" t="b">
        <v>0</v>
      </c>
      <c r="N350" s="118"/>
      <c r="O350" s="118"/>
      <c r="P350" s="118"/>
      <c r="Q350" s="118"/>
      <c r="R350" s="118"/>
      <c r="S350" s="118"/>
      <c r="T350" s="46"/>
      <c r="U350" s="13"/>
      <c r="V350" s="13"/>
      <c r="W350" s="13"/>
      <c r="X350" s="13"/>
      <c r="Y350" s="13"/>
      <c r="Z350" s="13"/>
      <c r="AA350" s="13"/>
      <c r="AB350" s="13"/>
      <c r="AC350" s="13"/>
    </row>
    <row r="351" ht="16.5" customHeight="1">
      <c r="A351" s="35">
        <v>348.0</v>
      </c>
      <c r="B351" s="36" t="s">
        <v>2310</v>
      </c>
      <c r="C351" s="36"/>
      <c r="D351" s="38" t="s">
        <v>2311</v>
      </c>
      <c r="E351" s="38" t="s">
        <v>2312</v>
      </c>
      <c r="F351" s="38" t="s">
        <v>2313</v>
      </c>
      <c r="G351" s="39" t="s">
        <v>2314</v>
      </c>
      <c r="H351" s="49" t="s">
        <v>49</v>
      </c>
      <c r="I351" s="94" t="s">
        <v>39</v>
      </c>
      <c r="J351" s="39" t="s">
        <v>588</v>
      </c>
      <c r="K351" s="95" t="s">
        <v>1150</v>
      </c>
      <c r="L351" s="94" t="s">
        <v>2315</v>
      </c>
      <c r="M351" s="51" t="b">
        <v>1</v>
      </c>
      <c r="N351" s="128" t="s">
        <v>2316</v>
      </c>
      <c r="O351" s="130"/>
      <c r="P351" s="118"/>
      <c r="Q351" s="118"/>
      <c r="R351" s="118"/>
      <c r="S351" s="118"/>
      <c r="T351" s="46"/>
      <c r="U351" s="13"/>
      <c r="V351" s="13"/>
      <c r="W351" s="13"/>
      <c r="X351" s="13"/>
      <c r="Y351" s="13"/>
      <c r="Z351" s="13"/>
      <c r="AA351" s="13"/>
      <c r="AB351" s="13"/>
      <c r="AC351" s="13"/>
    </row>
    <row r="352" ht="16.5" customHeight="1">
      <c r="A352" s="35">
        <v>349.0</v>
      </c>
      <c r="B352" s="36" t="s">
        <v>2317</v>
      </c>
      <c r="C352" s="36"/>
      <c r="D352" s="38" t="s">
        <v>2318</v>
      </c>
      <c r="E352" s="38" t="s">
        <v>2319</v>
      </c>
      <c r="F352" s="38" t="s">
        <v>2320</v>
      </c>
      <c r="G352" s="39" t="s">
        <v>2321</v>
      </c>
      <c r="H352" s="49" t="s">
        <v>49</v>
      </c>
      <c r="I352" s="94" t="s">
        <v>39</v>
      </c>
      <c r="J352" s="59" t="s">
        <v>610</v>
      </c>
      <c r="K352" s="92" t="s">
        <v>2322</v>
      </c>
      <c r="L352" s="62" t="s">
        <v>2323</v>
      </c>
      <c r="M352" s="51" t="b">
        <v>0</v>
      </c>
      <c r="N352" s="125"/>
      <c r="O352" s="125"/>
      <c r="P352" s="125" t="s">
        <v>2324</v>
      </c>
      <c r="Q352" s="125" t="s">
        <v>2325</v>
      </c>
      <c r="R352" s="118" t="s">
        <v>2326</v>
      </c>
      <c r="S352" s="118"/>
      <c r="T352" s="46"/>
      <c r="U352" s="13"/>
      <c r="V352" s="13"/>
      <c r="W352" s="13"/>
      <c r="X352" s="13"/>
      <c r="Y352" s="13"/>
      <c r="Z352" s="13"/>
      <c r="AA352" s="13"/>
      <c r="AB352" s="13"/>
      <c r="AC352" s="13"/>
    </row>
    <row r="353" ht="16.5" hidden="1" customHeight="1">
      <c r="A353" s="35">
        <v>350.0</v>
      </c>
      <c r="B353" s="36" t="s">
        <v>2327</v>
      </c>
      <c r="C353" s="36"/>
      <c r="D353" s="38" t="s">
        <v>2328</v>
      </c>
      <c r="E353" s="38" t="s">
        <v>2329</v>
      </c>
      <c r="F353" s="38" t="s">
        <v>2330</v>
      </c>
      <c r="G353" s="39" t="s">
        <v>231</v>
      </c>
      <c r="H353" s="49" t="s">
        <v>62</v>
      </c>
      <c r="I353" s="94" t="s">
        <v>63</v>
      </c>
      <c r="J353" s="55"/>
      <c r="K353" s="122"/>
      <c r="L353" s="123"/>
      <c r="M353" s="51" t="b">
        <v>0</v>
      </c>
      <c r="N353" s="118"/>
      <c r="O353" s="118"/>
      <c r="P353" s="118"/>
      <c r="Q353" s="118"/>
      <c r="R353" s="118"/>
      <c r="S353" s="118"/>
      <c r="T353" s="46"/>
      <c r="U353" s="13"/>
      <c r="V353" s="13"/>
      <c r="W353" s="13"/>
      <c r="X353" s="13"/>
      <c r="Y353" s="13"/>
      <c r="Z353" s="13"/>
      <c r="AA353" s="13"/>
      <c r="AB353" s="13"/>
      <c r="AC353" s="13"/>
    </row>
    <row r="354" ht="16.5" customHeight="1">
      <c r="A354" s="35">
        <v>351.0</v>
      </c>
      <c r="B354" s="36" t="s">
        <v>2331</v>
      </c>
      <c r="C354" s="36"/>
      <c r="D354" s="38" t="s">
        <v>2332</v>
      </c>
      <c r="E354" s="38" t="s">
        <v>2333</v>
      </c>
      <c r="F354" s="38" t="s">
        <v>2334</v>
      </c>
      <c r="G354" s="39" t="s">
        <v>2335</v>
      </c>
      <c r="H354" s="49" t="s">
        <v>49</v>
      </c>
      <c r="I354" s="94" t="s">
        <v>39</v>
      </c>
      <c r="J354" s="39" t="s">
        <v>2336</v>
      </c>
      <c r="K354" s="95" t="s">
        <v>2337</v>
      </c>
      <c r="L354" s="94" t="s">
        <v>2338</v>
      </c>
      <c r="M354" s="51" t="b">
        <v>1</v>
      </c>
      <c r="N354" s="128" t="s">
        <v>2339</v>
      </c>
      <c r="O354" s="118"/>
      <c r="P354" s="118" t="s">
        <v>2340</v>
      </c>
      <c r="Q354" s="118" t="s">
        <v>2341</v>
      </c>
      <c r="R354" s="118"/>
      <c r="S354" s="118"/>
      <c r="T354" s="46"/>
      <c r="U354" s="13"/>
      <c r="V354" s="13"/>
      <c r="W354" s="13"/>
      <c r="X354" s="13"/>
      <c r="Y354" s="13"/>
      <c r="Z354" s="13"/>
      <c r="AA354" s="13"/>
      <c r="AB354" s="13"/>
      <c r="AC354" s="13"/>
    </row>
    <row r="355" ht="16.5" customHeight="1">
      <c r="A355" s="35">
        <v>352.0</v>
      </c>
      <c r="B355" s="36" t="s">
        <v>2342</v>
      </c>
      <c r="C355" s="36"/>
      <c r="D355" s="38"/>
      <c r="E355" s="38"/>
      <c r="F355" s="38" t="s">
        <v>2343</v>
      </c>
      <c r="G355" s="39" t="s">
        <v>587</v>
      </c>
      <c r="H355" s="49" t="s">
        <v>49</v>
      </c>
      <c r="I355" s="39" t="s">
        <v>39</v>
      </c>
      <c r="J355" s="39" t="s">
        <v>588</v>
      </c>
      <c r="K355" s="41" t="s">
        <v>173</v>
      </c>
      <c r="L355" s="39" t="s">
        <v>589</v>
      </c>
      <c r="M355" s="51" t="b">
        <v>1</v>
      </c>
      <c r="N355" s="131" t="s">
        <v>1533</v>
      </c>
      <c r="O355" s="164" t="s">
        <v>591</v>
      </c>
      <c r="P355" s="165" t="s">
        <v>2344</v>
      </c>
      <c r="Q355" s="118"/>
      <c r="R355" s="118"/>
      <c r="S355" s="118"/>
      <c r="T355" s="46"/>
      <c r="U355" s="13"/>
      <c r="V355" s="13"/>
      <c r="W355" s="13"/>
      <c r="X355" s="13"/>
      <c r="Y355" s="13"/>
      <c r="Z355" s="13"/>
      <c r="AA355" s="13"/>
      <c r="AB355" s="13"/>
      <c r="AC355" s="13"/>
    </row>
    <row r="356" ht="16.5" customHeight="1">
      <c r="A356" s="35">
        <v>353.0</v>
      </c>
      <c r="B356" s="36" t="s">
        <v>2345</v>
      </c>
      <c r="C356" s="36"/>
      <c r="D356" s="38" t="s">
        <v>1830</v>
      </c>
      <c r="E356" s="38"/>
      <c r="F356" s="38" t="s">
        <v>2157</v>
      </c>
      <c r="G356" s="39" t="s">
        <v>182</v>
      </c>
      <c r="H356" s="49" t="s">
        <v>49</v>
      </c>
      <c r="I356" s="39" t="s">
        <v>39</v>
      </c>
      <c r="J356" s="39" t="s">
        <v>172</v>
      </c>
      <c r="K356" s="41" t="s">
        <v>173</v>
      </c>
      <c r="L356" s="39" t="s">
        <v>174</v>
      </c>
      <c r="M356" s="51" t="b">
        <v>1</v>
      </c>
      <c r="N356" s="128" t="s">
        <v>175</v>
      </c>
      <c r="O356" s="130"/>
      <c r="P356" s="118"/>
      <c r="Q356" s="118"/>
      <c r="R356" s="118"/>
      <c r="S356" s="118"/>
      <c r="T356" s="46"/>
      <c r="U356" s="13"/>
      <c r="V356" s="13"/>
      <c r="W356" s="13"/>
      <c r="X356" s="13"/>
      <c r="Y356" s="13"/>
      <c r="Z356" s="13"/>
      <c r="AA356" s="13"/>
      <c r="AB356" s="13"/>
      <c r="AC356" s="13"/>
    </row>
    <row r="357" ht="16.5" hidden="1" customHeight="1">
      <c r="A357" s="35">
        <v>354.0</v>
      </c>
      <c r="B357" s="36" t="s">
        <v>2346</v>
      </c>
      <c r="C357" s="36"/>
      <c r="D357" s="38" t="s">
        <v>1830</v>
      </c>
      <c r="E357" s="38"/>
      <c r="F357" s="38" t="s">
        <v>2157</v>
      </c>
      <c r="G357" s="39" t="s">
        <v>231</v>
      </c>
      <c r="H357" s="49" t="s">
        <v>62</v>
      </c>
      <c r="I357" s="94" t="s">
        <v>63</v>
      </c>
      <c r="J357" s="55"/>
      <c r="K357" s="122"/>
      <c r="L357" s="123"/>
      <c r="M357" s="51" t="b">
        <v>0</v>
      </c>
      <c r="N357" s="118"/>
      <c r="O357" s="118"/>
      <c r="P357" s="118"/>
      <c r="Q357" s="118"/>
      <c r="R357" s="118"/>
      <c r="S357" s="118"/>
      <c r="T357" s="46"/>
      <c r="U357" s="13"/>
      <c r="V357" s="13"/>
      <c r="W357" s="13"/>
      <c r="X357" s="13"/>
      <c r="Y357" s="13"/>
      <c r="Z357" s="13"/>
      <c r="AA357" s="13"/>
      <c r="AB357" s="13"/>
      <c r="AC357" s="13"/>
    </row>
    <row r="358" ht="16.5" hidden="1" customHeight="1">
      <c r="A358" s="35">
        <v>355.0</v>
      </c>
      <c r="B358" s="36" t="s">
        <v>2347</v>
      </c>
      <c r="C358" s="36"/>
      <c r="D358" s="38" t="s">
        <v>2348</v>
      </c>
      <c r="E358" s="38"/>
      <c r="F358" s="38" t="s">
        <v>1831</v>
      </c>
      <c r="G358" s="39" t="s">
        <v>231</v>
      </c>
      <c r="H358" s="49" t="s">
        <v>62</v>
      </c>
      <c r="I358" s="94" t="s">
        <v>63</v>
      </c>
      <c r="J358" s="55"/>
      <c r="K358" s="122"/>
      <c r="L358" s="123"/>
      <c r="M358" s="51" t="b">
        <v>0</v>
      </c>
      <c r="N358" s="118"/>
      <c r="O358" s="118"/>
      <c r="P358" s="118"/>
      <c r="Q358" s="118"/>
      <c r="R358" s="118"/>
      <c r="S358" s="118"/>
      <c r="T358" s="46"/>
      <c r="U358" s="13"/>
      <c r="V358" s="13"/>
      <c r="W358" s="13"/>
      <c r="X358" s="13"/>
      <c r="Y358" s="13"/>
      <c r="Z358" s="13"/>
      <c r="AA358" s="13"/>
      <c r="AB358" s="13"/>
      <c r="AC358" s="13"/>
    </row>
    <row r="359" ht="126.0" hidden="1" customHeight="1">
      <c r="A359" s="35">
        <v>356.0</v>
      </c>
      <c r="B359" s="36" t="s">
        <v>2349</v>
      </c>
      <c r="C359" s="36"/>
      <c r="D359" s="38"/>
      <c r="E359" s="38"/>
      <c r="F359" s="38" t="s">
        <v>1831</v>
      </c>
      <c r="G359" s="39" t="s">
        <v>231</v>
      </c>
      <c r="H359" s="49" t="s">
        <v>62</v>
      </c>
      <c r="I359" s="94" t="s">
        <v>63</v>
      </c>
      <c r="J359" s="55"/>
      <c r="K359" s="122"/>
      <c r="L359" s="123"/>
      <c r="M359" s="51" t="b">
        <v>0</v>
      </c>
      <c r="N359" s="118"/>
      <c r="O359" s="118"/>
      <c r="P359" s="118"/>
      <c r="Q359" s="118"/>
      <c r="R359" s="118"/>
      <c r="S359" s="118"/>
      <c r="T359" s="46"/>
      <c r="U359" s="13"/>
      <c r="V359" s="13"/>
      <c r="W359" s="13"/>
      <c r="X359" s="13"/>
      <c r="Y359" s="13"/>
      <c r="Z359" s="13"/>
      <c r="AA359" s="13"/>
      <c r="AB359" s="13"/>
      <c r="AC359" s="13"/>
    </row>
    <row r="360" ht="16.5" hidden="1" customHeight="1">
      <c r="A360" s="35">
        <v>357.0</v>
      </c>
      <c r="B360" s="36" t="s">
        <v>2350</v>
      </c>
      <c r="C360" s="36"/>
      <c r="D360" s="38" t="s">
        <v>1830</v>
      </c>
      <c r="E360" s="38"/>
      <c r="F360" s="38" t="s">
        <v>2351</v>
      </c>
      <c r="G360" s="39" t="s">
        <v>2352</v>
      </c>
      <c r="H360" s="136" t="s">
        <v>62</v>
      </c>
      <c r="I360" s="94" t="s">
        <v>63</v>
      </c>
      <c r="J360" s="55"/>
      <c r="K360" s="122"/>
      <c r="L360" s="123"/>
      <c r="M360" s="51" t="b">
        <v>0</v>
      </c>
      <c r="N360" s="118"/>
      <c r="O360" s="118"/>
      <c r="P360" s="118" t="s">
        <v>2353</v>
      </c>
      <c r="Q360" s="118" t="s">
        <v>2354</v>
      </c>
      <c r="R360" s="118" t="s">
        <v>2355</v>
      </c>
      <c r="S360" s="118"/>
      <c r="T360" s="46"/>
      <c r="U360" s="13"/>
      <c r="V360" s="13"/>
      <c r="W360" s="13"/>
      <c r="X360" s="13"/>
      <c r="Y360" s="13"/>
      <c r="Z360" s="13"/>
      <c r="AA360" s="13"/>
      <c r="AB360" s="13"/>
      <c r="AC360" s="13"/>
    </row>
    <row r="361" ht="16.5" customHeight="1">
      <c r="A361" s="35">
        <v>358.0</v>
      </c>
      <c r="B361" s="36" t="s">
        <v>2356</v>
      </c>
      <c r="C361" s="36"/>
      <c r="D361" s="38" t="s">
        <v>2357</v>
      </c>
      <c r="E361" s="38" t="s">
        <v>2358</v>
      </c>
      <c r="F361" s="38" t="s">
        <v>2359</v>
      </c>
      <c r="G361" s="39" t="s">
        <v>2360</v>
      </c>
      <c r="H361" s="49" t="s">
        <v>49</v>
      </c>
      <c r="I361" s="39" t="s">
        <v>39</v>
      </c>
      <c r="J361" s="94" t="s">
        <v>610</v>
      </c>
      <c r="K361" s="92" t="s">
        <v>2361</v>
      </c>
      <c r="L361" s="35" t="s">
        <v>2362</v>
      </c>
      <c r="M361" s="51" t="b">
        <v>1</v>
      </c>
      <c r="N361" s="128" t="s">
        <v>2363</v>
      </c>
      <c r="O361" s="118"/>
      <c r="P361" s="118" t="s">
        <v>2364</v>
      </c>
      <c r="Q361" s="118" t="s">
        <v>2365</v>
      </c>
      <c r="R361" s="118"/>
      <c r="S361" s="118"/>
      <c r="T361" s="46"/>
      <c r="U361" s="13"/>
      <c r="V361" s="13"/>
      <c r="W361" s="13"/>
      <c r="X361" s="13"/>
      <c r="Y361" s="13"/>
      <c r="Z361" s="13"/>
      <c r="AA361" s="13"/>
      <c r="AB361" s="13"/>
      <c r="AC361" s="13"/>
    </row>
    <row r="362" ht="16.5" customHeight="1">
      <c r="A362" s="35">
        <v>359.0</v>
      </c>
      <c r="B362" s="36" t="s">
        <v>2366</v>
      </c>
      <c r="C362" s="36"/>
      <c r="D362" s="38" t="s">
        <v>2367</v>
      </c>
      <c r="E362" s="38"/>
      <c r="F362" s="38" t="s">
        <v>2368</v>
      </c>
      <c r="G362" s="39" t="s">
        <v>2369</v>
      </c>
      <c r="H362" s="49" t="s">
        <v>49</v>
      </c>
      <c r="I362" s="94" t="s">
        <v>39</v>
      </c>
      <c r="J362" s="39" t="s">
        <v>1760</v>
      </c>
      <c r="K362" s="95" t="s">
        <v>2370</v>
      </c>
      <c r="L362" s="59" t="s">
        <v>2371</v>
      </c>
      <c r="M362" s="51" t="b">
        <v>1</v>
      </c>
      <c r="N362" s="128" t="s">
        <v>2372</v>
      </c>
      <c r="O362" s="118"/>
      <c r="P362" s="118" t="s">
        <v>2373</v>
      </c>
      <c r="Q362" s="118" t="s">
        <v>2374</v>
      </c>
      <c r="R362" s="118"/>
      <c r="S362" s="118"/>
      <c r="T362" s="46"/>
      <c r="U362" s="13"/>
      <c r="V362" s="13"/>
      <c r="W362" s="13"/>
      <c r="X362" s="13"/>
      <c r="Y362" s="13"/>
      <c r="Z362" s="13"/>
      <c r="AA362" s="13"/>
      <c r="AB362" s="13"/>
      <c r="AC362" s="13"/>
    </row>
    <row r="363" ht="126.0" hidden="1" customHeight="1">
      <c r="A363" s="35">
        <v>360.0</v>
      </c>
      <c r="B363" s="36" t="s">
        <v>2375</v>
      </c>
      <c r="C363" s="36"/>
      <c r="D363" s="38"/>
      <c r="E363" s="38"/>
      <c r="F363" s="38" t="s">
        <v>1831</v>
      </c>
      <c r="G363" s="39" t="s">
        <v>231</v>
      </c>
      <c r="H363" s="49" t="s">
        <v>62</v>
      </c>
      <c r="I363" s="94" t="s">
        <v>63</v>
      </c>
      <c r="J363" s="55"/>
      <c r="K363" s="122"/>
      <c r="L363" s="123"/>
      <c r="M363" s="51" t="b">
        <v>0</v>
      </c>
      <c r="N363" s="118"/>
      <c r="O363" s="118"/>
      <c r="P363" s="118"/>
      <c r="Q363" s="118"/>
      <c r="R363" s="118"/>
      <c r="S363" s="118"/>
      <c r="T363" s="46"/>
      <c r="U363" s="13"/>
      <c r="V363" s="13"/>
      <c r="W363" s="13"/>
      <c r="X363" s="13"/>
      <c r="Y363" s="13"/>
      <c r="Z363" s="13"/>
      <c r="AA363" s="13"/>
      <c r="AB363" s="13"/>
      <c r="AC363" s="13"/>
    </row>
    <row r="364" ht="342.0" customHeight="1">
      <c r="A364" s="35">
        <v>361.0</v>
      </c>
      <c r="B364" s="36" t="s">
        <v>1202</v>
      </c>
      <c r="C364" s="101"/>
      <c r="D364" s="38"/>
      <c r="E364" s="38"/>
      <c r="F364" s="38" t="s">
        <v>461</v>
      </c>
      <c r="G364" s="39" t="s">
        <v>2376</v>
      </c>
      <c r="H364" s="49" t="s">
        <v>49</v>
      </c>
      <c r="I364" s="94" t="s">
        <v>39</v>
      </c>
      <c r="J364" s="91" t="s">
        <v>462</v>
      </c>
      <c r="K364" s="92" t="s">
        <v>463</v>
      </c>
      <c r="L364" s="93" t="s">
        <v>464</v>
      </c>
      <c r="M364" s="51" t="b">
        <v>1</v>
      </c>
      <c r="N364" s="57" t="s">
        <v>465</v>
      </c>
      <c r="O364" s="124" t="s">
        <v>1205</v>
      </c>
      <c r="P364" s="168"/>
      <c r="Q364" s="118"/>
      <c r="R364" s="118"/>
      <c r="S364" s="118"/>
      <c r="T364" s="46"/>
      <c r="U364" s="13"/>
      <c r="V364" s="13"/>
      <c r="W364" s="13"/>
      <c r="X364" s="13"/>
      <c r="Y364" s="13"/>
      <c r="Z364" s="13"/>
      <c r="AA364" s="13"/>
      <c r="AB364" s="13"/>
      <c r="AC364" s="13"/>
    </row>
    <row r="365" ht="16.5" customHeight="1">
      <c r="A365" s="35">
        <v>362.0</v>
      </c>
      <c r="B365" s="36" t="s">
        <v>1206</v>
      </c>
      <c r="C365" s="101"/>
      <c r="D365" s="38" t="s">
        <v>2377</v>
      </c>
      <c r="E365" s="38" t="s">
        <v>1209</v>
      </c>
      <c r="F365" s="38" t="s">
        <v>2157</v>
      </c>
      <c r="G365" s="39" t="s">
        <v>2378</v>
      </c>
      <c r="H365" s="49" t="s">
        <v>49</v>
      </c>
      <c r="I365" s="94" t="s">
        <v>39</v>
      </c>
      <c r="J365" s="39" t="s">
        <v>422</v>
      </c>
      <c r="K365" s="95" t="s">
        <v>1211</v>
      </c>
      <c r="L365" s="169" t="s">
        <v>1487</v>
      </c>
      <c r="M365" s="51" t="b">
        <v>1</v>
      </c>
      <c r="N365" s="142" t="s">
        <v>292</v>
      </c>
      <c r="O365" s="124" t="s">
        <v>1213</v>
      </c>
      <c r="P365" s="125"/>
      <c r="Q365" s="118"/>
      <c r="R365" s="118"/>
      <c r="S365" s="118"/>
      <c r="T365" s="46"/>
      <c r="U365" s="13"/>
      <c r="V365" s="13"/>
      <c r="W365" s="13"/>
      <c r="X365" s="13"/>
      <c r="Y365" s="13"/>
      <c r="Z365" s="13"/>
      <c r="AA365" s="13"/>
      <c r="AB365" s="13"/>
      <c r="AC365" s="13"/>
    </row>
    <row r="366" ht="409.5" hidden="1" customHeight="1">
      <c r="A366" s="35">
        <v>363.0</v>
      </c>
      <c r="B366" s="36" t="s">
        <v>2379</v>
      </c>
      <c r="C366" s="36"/>
      <c r="D366" s="38" t="s">
        <v>2380</v>
      </c>
      <c r="E366" s="38"/>
      <c r="F366" s="38" t="s">
        <v>2381</v>
      </c>
      <c r="G366" s="39" t="s">
        <v>231</v>
      </c>
      <c r="H366" s="49" t="s">
        <v>62</v>
      </c>
      <c r="I366" s="94" t="s">
        <v>63</v>
      </c>
      <c r="J366" s="55"/>
      <c r="K366" s="122"/>
      <c r="L366" s="123"/>
      <c r="M366" s="51" t="b">
        <v>0</v>
      </c>
      <c r="N366" s="118"/>
      <c r="O366" s="118"/>
      <c r="P366" s="118"/>
      <c r="Q366" s="118"/>
      <c r="R366" s="118"/>
      <c r="S366" s="118"/>
      <c r="T366" s="46"/>
      <c r="U366" s="13"/>
      <c r="V366" s="13"/>
      <c r="W366" s="13"/>
      <c r="X366" s="13"/>
      <c r="Y366" s="13"/>
      <c r="Z366" s="13"/>
      <c r="AA366" s="13"/>
      <c r="AB366" s="13"/>
      <c r="AC366" s="13"/>
    </row>
    <row r="367" ht="90.0" hidden="1" customHeight="1">
      <c r="A367" s="35">
        <v>364.0</v>
      </c>
      <c r="B367" s="36" t="s">
        <v>2382</v>
      </c>
      <c r="C367" s="36"/>
      <c r="D367" s="38" t="s">
        <v>2383</v>
      </c>
      <c r="E367" s="38"/>
      <c r="F367" s="38" t="s">
        <v>2384</v>
      </c>
      <c r="G367" s="39" t="s">
        <v>231</v>
      </c>
      <c r="H367" s="49" t="s">
        <v>62</v>
      </c>
      <c r="I367" s="94" t="s">
        <v>63</v>
      </c>
      <c r="J367" s="55"/>
      <c r="K367" s="122"/>
      <c r="L367" s="123"/>
      <c r="M367" s="51" t="b">
        <v>0</v>
      </c>
      <c r="N367" s="118"/>
      <c r="O367" s="118"/>
      <c r="P367" s="118"/>
      <c r="Q367" s="118"/>
      <c r="R367" s="118"/>
      <c r="S367" s="118"/>
      <c r="T367" s="46"/>
      <c r="U367" s="13"/>
      <c r="V367" s="13"/>
      <c r="W367" s="13"/>
      <c r="X367" s="13"/>
      <c r="Y367" s="13"/>
      <c r="Z367" s="13"/>
      <c r="AA367" s="13"/>
      <c r="AB367" s="13"/>
      <c r="AC367" s="13"/>
    </row>
    <row r="368">
      <c r="A368" s="35">
        <v>365.0</v>
      </c>
      <c r="B368" s="74" t="s">
        <v>1224</v>
      </c>
      <c r="C368" s="101"/>
      <c r="D368" s="38"/>
      <c r="E368" s="38"/>
      <c r="F368" s="38" t="s">
        <v>1228</v>
      </c>
      <c r="G368" s="39" t="s">
        <v>2385</v>
      </c>
      <c r="H368" s="49" t="s">
        <v>49</v>
      </c>
      <c r="I368" s="39" t="s">
        <v>39</v>
      </c>
      <c r="J368" s="91" t="s">
        <v>151</v>
      </c>
      <c r="K368" s="107" t="s">
        <v>641</v>
      </c>
      <c r="L368" s="39" t="s">
        <v>2386</v>
      </c>
      <c r="M368" s="51" t="b">
        <v>1</v>
      </c>
      <c r="N368" s="61" t="s">
        <v>292</v>
      </c>
      <c r="O368" s="64" t="s">
        <v>1231</v>
      </c>
      <c r="P368" s="35" t="s">
        <v>2387</v>
      </c>
      <c r="Q368" s="35" t="s">
        <v>2388</v>
      </c>
      <c r="R368" s="118"/>
      <c r="S368" s="118"/>
      <c r="T368" s="46"/>
      <c r="U368" s="13"/>
      <c r="V368" s="13"/>
      <c r="W368" s="13"/>
      <c r="X368" s="13"/>
      <c r="Y368" s="13"/>
      <c r="Z368" s="13"/>
      <c r="AA368" s="13"/>
      <c r="AB368" s="13"/>
      <c r="AC368" s="13"/>
    </row>
    <row r="369" ht="16.5" customHeight="1">
      <c r="A369" s="35">
        <v>366.0</v>
      </c>
      <c r="B369" s="36" t="s">
        <v>1234</v>
      </c>
      <c r="C369" s="101"/>
      <c r="D369" s="38"/>
      <c r="E369" s="38"/>
      <c r="F369" s="38" t="s">
        <v>1407</v>
      </c>
      <c r="G369" s="39" t="s">
        <v>1308</v>
      </c>
      <c r="H369" s="49" t="s">
        <v>49</v>
      </c>
      <c r="I369" s="39" t="s">
        <v>39</v>
      </c>
      <c r="J369" s="39" t="s">
        <v>916</v>
      </c>
      <c r="K369" s="41" t="s">
        <v>1240</v>
      </c>
      <c r="L369" s="39" t="s">
        <v>2389</v>
      </c>
      <c r="M369" s="51" t="b">
        <v>0</v>
      </c>
      <c r="N369" s="170" t="s">
        <v>1242</v>
      </c>
      <c r="O369" s="129" t="s">
        <v>1243</v>
      </c>
      <c r="P369" s="118"/>
      <c r="Q369" s="118"/>
      <c r="R369" s="118"/>
      <c r="S369" s="118"/>
      <c r="T369" s="46"/>
      <c r="U369" s="13"/>
      <c r="V369" s="13"/>
      <c r="W369" s="13"/>
      <c r="X369" s="13"/>
      <c r="Y369" s="13"/>
      <c r="Z369" s="13"/>
      <c r="AA369" s="13"/>
      <c r="AB369" s="13"/>
      <c r="AC369" s="13"/>
    </row>
    <row r="370" ht="16.5" customHeight="1">
      <c r="A370" s="35">
        <v>367.0</v>
      </c>
      <c r="B370" s="36" t="s">
        <v>2390</v>
      </c>
      <c r="C370" s="36"/>
      <c r="D370" s="38"/>
      <c r="E370" s="38"/>
      <c r="F370" s="38" t="s">
        <v>2391</v>
      </c>
      <c r="G370" s="39" t="s">
        <v>2392</v>
      </c>
      <c r="H370" s="49" t="s">
        <v>49</v>
      </c>
      <c r="I370" s="39" t="s">
        <v>39</v>
      </c>
      <c r="J370" s="139" t="s">
        <v>610</v>
      </c>
      <c r="K370" s="145" t="s">
        <v>2393</v>
      </c>
      <c r="L370" s="112" t="s">
        <v>2394</v>
      </c>
      <c r="M370" s="51" t="b">
        <v>0</v>
      </c>
      <c r="N370" s="125"/>
      <c r="O370" s="125"/>
      <c r="P370" s="125" t="s">
        <v>2395</v>
      </c>
      <c r="Q370" s="125" t="s">
        <v>2396</v>
      </c>
      <c r="R370" s="125" t="s">
        <v>2397</v>
      </c>
      <c r="S370" s="118" t="s">
        <v>2398</v>
      </c>
      <c r="T370" s="46"/>
      <c r="U370" s="13"/>
      <c r="V370" s="13"/>
      <c r="W370" s="13"/>
      <c r="X370" s="13"/>
      <c r="Y370" s="13"/>
      <c r="Z370" s="13"/>
      <c r="AA370" s="13"/>
      <c r="AB370" s="13"/>
      <c r="AC370" s="13"/>
    </row>
    <row r="371" ht="126.0" hidden="1" customHeight="1">
      <c r="A371" s="35">
        <v>368.0</v>
      </c>
      <c r="B371" s="36" t="s">
        <v>2399</v>
      </c>
      <c r="C371" s="36"/>
      <c r="D371" s="38"/>
      <c r="E371" s="38"/>
      <c r="F371" s="38" t="s">
        <v>1831</v>
      </c>
      <c r="G371" s="39" t="s">
        <v>231</v>
      </c>
      <c r="H371" s="49" t="s">
        <v>62</v>
      </c>
      <c r="I371" s="94" t="s">
        <v>63</v>
      </c>
      <c r="J371" s="55"/>
      <c r="K371" s="122"/>
      <c r="L371" s="123"/>
      <c r="M371" s="51" t="b">
        <v>0</v>
      </c>
      <c r="N371" s="118"/>
      <c r="O371" s="118"/>
      <c r="P371" s="118"/>
      <c r="Q371" s="118"/>
      <c r="R371" s="118"/>
      <c r="S371" s="118"/>
      <c r="T371" s="46"/>
      <c r="U371" s="13"/>
      <c r="V371" s="13"/>
      <c r="W371" s="13"/>
      <c r="X371" s="13"/>
      <c r="Y371" s="13"/>
      <c r="Z371" s="13"/>
      <c r="AA371" s="13"/>
      <c r="AB371" s="13"/>
      <c r="AC371" s="13"/>
    </row>
    <row r="372" ht="16.5" customHeight="1">
      <c r="A372" s="35">
        <v>369.0</v>
      </c>
      <c r="B372" s="36" t="s">
        <v>2400</v>
      </c>
      <c r="C372" s="101"/>
      <c r="D372" s="38" t="s">
        <v>2401</v>
      </c>
      <c r="E372" s="38" t="s">
        <v>2402</v>
      </c>
      <c r="F372" s="38" t="s">
        <v>2403</v>
      </c>
      <c r="G372" s="39" t="s">
        <v>2404</v>
      </c>
      <c r="H372" s="49" t="s">
        <v>49</v>
      </c>
      <c r="I372" s="94" t="s">
        <v>39</v>
      </c>
      <c r="J372" s="39" t="s">
        <v>172</v>
      </c>
      <c r="K372" s="95" t="s">
        <v>453</v>
      </c>
      <c r="L372" s="94" t="s">
        <v>2405</v>
      </c>
      <c r="M372" s="51" t="b">
        <v>1</v>
      </c>
      <c r="N372" s="128" t="s">
        <v>2406</v>
      </c>
      <c r="O372" s="130"/>
      <c r="P372" s="118"/>
      <c r="Q372" s="118"/>
      <c r="R372" s="118"/>
      <c r="S372" s="118"/>
      <c r="T372" s="46"/>
      <c r="U372" s="13"/>
      <c r="V372" s="13"/>
      <c r="W372" s="13"/>
      <c r="X372" s="13"/>
      <c r="Y372" s="13"/>
      <c r="Z372" s="13"/>
      <c r="AA372" s="13"/>
      <c r="AB372" s="13"/>
      <c r="AC372" s="13"/>
    </row>
    <row r="373" ht="16.5" customHeight="1">
      <c r="A373" s="35">
        <v>370.0</v>
      </c>
      <c r="B373" s="36" t="s">
        <v>1264</v>
      </c>
      <c r="C373" s="36"/>
      <c r="D373" s="38"/>
      <c r="E373" s="38"/>
      <c r="F373" s="38" t="s">
        <v>2407</v>
      </c>
      <c r="G373" s="39" t="s">
        <v>491</v>
      </c>
      <c r="H373" s="49" t="s">
        <v>49</v>
      </c>
      <c r="I373" s="94" t="s">
        <v>39</v>
      </c>
      <c r="J373" s="39" t="s">
        <v>492</v>
      </c>
      <c r="K373" s="41" t="s">
        <v>409</v>
      </c>
      <c r="L373" s="39" t="s">
        <v>493</v>
      </c>
      <c r="M373" s="51" t="b">
        <v>1</v>
      </c>
      <c r="N373" s="131" t="s">
        <v>494</v>
      </c>
      <c r="O373" s="129" t="s">
        <v>495</v>
      </c>
      <c r="P373" s="118"/>
      <c r="Q373" s="118"/>
      <c r="R373" s="118"/>
      <c r="S373" s="118"/>
      <c r="T373" s="46"/>
      <c r="U373" s="13"/>
      <c r="V373" s="13"/>
      <c r="W373" s="13"/>
      <c r="X373" s="13"/>
      <c r="Y373" s="13"/>
      <c r="Z373" s="13"/>
      <c r="AA373" s="13"/>
      <c r="AB373" s="13"/>
      <c r="AC373" s="13"/>
    </row>
    <row r="374" ht="409.5" hidden="1" customHeight="1">
      <c r="A374" s="35">
        <v>371.0</v>
      </c>
      <c r="B374" s="101" t="s">
        <v>2408</v>
      </c>
      <c r="C374" s="101"/>
      <c r="D374" s="38" t="s">
        <v>2409</v>
      </c>
      <c r="E374" s="38" t="s">
        <v>2410</v>
      </c>
      <c r="F374" s="38" t="s">
        <v>1831</v>
      </c>
      <c r="G374" s="39" t="s">
        <v>231</v>
      </c>
      <c r="H374" s="49" t="s">
        <v>62</v>
      </c>
      <c r="I374" s="94" t="s">
        <v>63</v>
      </c>
      <c r="J374" s="55"/>
      <c r="K374" s="122"/>
      <c r="L374" s="123"/>
      <c r="M374" s="51" t="b">
        <v>0</v>
      </c>
      <c r="N374" s="118"/>
      <c r="O374" s="118"/>
      <c r="P374" s="118"/>
      <c r="Q374" s="118"/>
      <c r="R374" s="118"/>
      <c r="S374" s="118"/>
      <c r="T374" s="46"/>
      <c r="U374" s="13"/>
      <c r="V374" s="13"/>
      <c r="W374" s="13"/>
      <c r="X374" s="13"/>
      <c r="Y374" s="13"/>
      <c r="Z374" s="13"/>
      <c r="AA374" s="13"/>
      <c r="AB374" s="13"/>
      <c r="AC374" s="13"/>
    </row>
    <row r="375" ht="16.5" hidden="1" customHeight="1">
      <c r="A375" s="35">
        <v>372.0</v>
      </c>
      <c r="B375" s="36" t="s">
        <v>2411</v>
      </c>
      <c r="C375" s="36"/>
      <c r="D375" s="38" t="s">
        <v>1830</v>
      </c>
      <c r="E375" s="38"/>
      <c r="F375" s="38" t="s">
        <v>2412</v>
      </c>
      <c r="G375" s="39" t="s">
        <v>2266</v>
      </c>
      <c r="H375" s="49" t="s">
        <v>62</v>
      </c>
      <c r="I375" s="94" t="s">
        <v>63</v>
      </c>
      <c r="J375" s="55"/>
      <c r="K375" s="122"/>
      <c r="L375" s="171"/>
      <c r="M375" s="51" t="b">
        <v>0</v>
      </c>
      <c r="N375" s="125"/>
      <c r="O375" s="125"/>
      <c r="P375" s="125" t="s">
        <v>2413</v>
      </c>
      <c r="Q375" s="118"/>
      <c r="R375" s="118"/>
      <c r="S375" s="118"/>
      <c r="T375" s="46"/>
      <c r="U375" s="13"/>
      <c r="V375" s="13"/>
      <c r="W375" s="13"/>
      <c r="X375" s="13"/>
      <c r="Y375" s="13"/>
      <c r="Z375" s="13"/>
      <c r="AA375" s="13"/>
      <c r="AB375" s="13"/>
      <c r="AC375" s="13"/>
    </row>
    <row r="376" ht="144.0" hidden="1" customHeight="1">
      <c r="A376" s="35">
        <v>373.0</v>
      </c>
      <c r="B376" s="36" t="s">
        <v>2414</v>
      </c>
      <c r="C376" s="36"/>
      <c r="D376" s="38" t="s">
        <v>1830</v>
      </c>
      <c r="E376" s="38"/>
      <c r="F376" s="38" t="s">
        <v>1831</v>
      </c>
      <c r="G376" s="39" t="s">
        <v>231</v>
      </c>
      <c r="H376" s="49" t="s">
        <v>62</v>
      </c>
      <c r="I376" s="94" t="s">
        <v>63</v>
      </c>
      <c r="J376" s="55"/>
      <c r="K376" s="122"/>
      <c r="L376" s="123"/>
      <c r="M376" s="51" t="b">
        <v>0</v>
      </c>
      <c r="N376" s="118"/>
      <c r="O376" s="118"/>
      <c r="P376" s="118"/>
      <c r="Q376" s="118"/>
      <c r="R376" s="118"/>
      <c r="S376" s="118"/>
      <c r="T376" s="46"/>
      <c r="U376" s="13"/>
      <c r="V376" s="13"/>
      <c r="W376" s="13"/>
      <c r="X376" s="13"/>
      <c r="Y376" s="13"/>
      <c r="Z376" s="13"/>
      <c r="AA376" s="13"/>
      <c r="AB376" s="13"/>
      <c r="AC376" s="13"/>
    </row>
    <row r="377" ht="198.0" hidden="1" customHeight="1">
      <c r="A377" s="35">
        <v>374.0</v>
      </c>
      <c r="B377" s="36" t="s">
        <v>2415</v>
      </c>
      <c r="C377" s="36"/>
      <c r="D377" s="38" t="s">
        <v>1830</v>
      </c>
      <c r="E377" s="38"/>
      <c r="F377" s="38" t="s">
        <v>2416</v>
      </c>
      <c r="G377" s="39" t="s">
        <v>231</v>
      </c>
      <c r="H377" s="49" t="s">
        <v>62</v>
      </c>
      <c r="I377" s="94" t="s">
        <v>63</v>
      </c>
      <c r="J377" s="55"/>
      <c r="K377" s="122"/>
      <c r="L377" s="123"/>
      <c r="M377" s="51" t="b">
        <v>0</v>
      </c>
      <c r="N377" s="118"/>
      <c r="O377" s="118"/>
      <c r="P377" s="118"/>
      <c r="Q377" s="118"/>
      <c r="R377" s="118"/>
      <c r="S377" s="118"/>
      <c r="T377" s="46"/>
      <c r="U377" s="13"/>
      <c r="V377" s="13"/>
      <c r="W377" s="13"/>
      <c r="X377" s="13"/>
      <c r="Y377" s="13"/>
      <c r="Z377" s="13"/>
      <c r="AA377" s="13"/>
      <c r="AB377" s="13"/>
      <c r="AC377" s="13"/>
    </row>
    <row r="378">
      <c r="A378" s="35">
        <v>375.0</v>
      </c>
      <c r="B378" s="36" t="s">
        <v>2417</v>
      </c>
      <c r="C378" s="36"/>
      <c r="D378" s="38" t="s">
        <v>1830</v>
      </c>
      <c r="E378" s="38"/>
      <c r="F378" s="38" t="s">
        <v>1831</v>
      </c>
      <c r="G378" s="39" t="s">
        <v>573</v>
      </c>
      <c r="H378" s="49" t="s">
        <v>49</v>
      </c>
      <c r="I378" s="94" t="s">
        <v>39</v>
      </c>
      <c r="J378" s="39" t="s">
        <v>574</v>
      </c>
      <c r="K378" s="92" t="s">
        <v>152</v>
      </c>
      <c r="L378" s="94" t="s">
        <v>576</v>
      </c>
      <c r="M378" s="51" t="b">
        <v>1</v>
      </c>
      <c r="N378" s="131" t="s">
        <v>2418</v>
      </c>
      <c r="O378" s="129" t="s">
        <v>577</v>
      </c>
      <c r="P378" s="118"/>
      <c r="Q378" s="118"/>
      <c r="R378" s="118"/>
      <c r="S378" s="118"/>
      <c r="T378" s="46"/>
      <c r="U378" s="13"/>
      <c r="V378" s="13"/>
      <c r="W378" s="13"/>
      <c r="X378" s="13"/>
      <c r="Y378" s="13"/>
      <c r="Z378" s="13"/>
      <c r="AA378" s="13"/>
      <c r="AB378" s="13"/>
      <c r="AC378" s="13"/>
    </row>
    <row r="379" ht="144.0" hidden="1" customHeight="1">
      <c r="A379" s="35">
        <v>376.0</v>
      </c>
      <c r="B379" s="36" t="s">
        <v>2419</v>
      </c>
      <c r="C379" s="36"/>
      <c r="D379" s="38"/>
      <c r="E379" s="38"/>
      <c r="F379" s="38" t="s">
        <v>1831</v>
      </c>
      <c r="G379" s="39" t="s">
        <v>231</v>
      </c>
      <c r="H379" s="49" t="s">
        <v>62</v>
      </c>
      <c r="I379" s="94" t="s">
        <v>63</v>
      </c>
      <c r="J379" s="55"/>
      <c r="K379" s="122"/>
      <c r="L379" s="123"/>
      <c r="M379" s="51" t="b">
        <v>0</v>
      </c>
      <c r="N379" s="118"/>
      <c r="O379" s="118"/>
      <c r="P379" s="118"/>
      <c r="Q379" s="118"/>
      <c r="R379" s="118"/>
      <c r="S379" s="118"/>
      <c r="T379" s="46"/>
      <c r="U379" s="13"/>
      <c r="V379" s="13"/>
      <c r="W379" s="13"/>
      <c r="X379" s="13"/>
      <c r="Y379" s="13"/>
      <c r="Z379" s="13"/>
      <c r="AA379" s="13"/>
      <c r="AB379" s="13"/>
      <c r="AC379" s="13"/>
    </row>
    <row r="380">
      <c r="A380" s="35">
        <v>377.0</v>
      </c>
      <c r="B380" s="36" t="s">
        <v>2420</v>
      </c>
      <c r="C380" s="36"/>
      <c r="D380" s="38" t="s">
        <v>2421</v>
      </c>
      <c r="E380" s="38"/>
      <c r="F380" s="38" t="s">
        <v>2422</v>
      </c>
      <c r="G380" s="39" t="s">
        <v>2423</v>
      </c>
      <c r="H380" s="49" t="s">
        <v>49</v>
      </c>
      <c r="I380" s="94" t="s">
        <v>39</v>
      </c>
      <c r="J380" s="39" t="s">
        <v>620</v>
      </c>
      <c r="K380" s="95" t="s">
        <v>2424</v>
      </c>
      <c r="L380" s="94" t="s">
        <v>2425</v>
      </c>
      <c r="M380" s="51" t="b">
        <v>1</v>
      </c>
      <c r="N380" s="131" t="s">
        <v>2426</v>
      </c>
      <c r="O380" s="130"/>
      <c r="P380" s="118"/>
      <c r="Q380" s="118"/>
      <c r="R380" s="118"/>
      <c r="S380" s="118"/>
      <c r="T380" s="46"/>
      <c r="U380" s="13"/>
      <c r="V380" s="13"/>
      <c r="W380" s="13"/>
      <c r="X380" s="13"/>
      <c r="Y380" s="13"/>
      <c r="Z380" s="13"/>
      <c r="AA380" s="13"/>
      <c r="AB380" s="13"/>
      <c r="AC380" s="13"/>
    </row>
    <row r="381" ht="144.0" hidden="1" customHeight="1">
      <c r="A381" s="35">
        <v>378.0</v>
      </c>
      <c r="B381" s="36" t="s">
        <v>2427</v>
      </c>
      <c r="C381" s="36" t="s">
        <v>2427</v>
      </c>
      <c r="D381" s="38" t="s">
        <v>1830</v>
      </c>
      <c r="E381" s="38"/>
      <c r="F381" s="38" t="s">
        <v>1831</v>
      </c>
      <c r="G381" s="39" t="s">
        <v>231</v>
      </c>
      <c r="H381" s="49" t="s">
        <v>62</v>
      </c>
      <c r="I381" s="94" t="s">
        <v>63</v>
      </c>
      <c r="J381" s="55"/>
      <c r="K381" s="122"/>
      <c r="L381" s="123"/>
      <c r="M381" s="51" t="b">
        <v>0</v>
      </c>
      <c r="N381" s="118"/>
      <c r="O381" s="118"/>
      <c r="P381" s="118"/>
      <c r="Q381" s="118"/>
      <c r="R381" s="118"/>
      <c r="S381" s="118"/>
      <c r="T381" s="46"/>
      <c r="U381" s="13"/>
      <c r="V381" s="13"/>
      <c r="W381" s="13"/>
      <c r="X381" s="13"/>
      <c r="Y381" s="13"/>
      <c r="Z381" s="13"/>
      <c r="AA381" s="13"/>
      <c r="AB381" s="13"/>
      <c r="AC381" s="13"/>
    </row>
    <row r="382" ht="16.5" customHeight="1">
      <c r="A382" s="172">
        <v>379.0</v>
      </c>
      <c r="B382" s="173" t="s">
        <v>2428</v>
      </c>
      <c r="C382" s="13"/>
      <c r="D382" s="13"/>
      <c r="E382" s="13"/>
      <c r="F382" s="13"/>
      <c r="G382" s="174" t="s">
        <v>2429</v>
      </c>
      <c r="H382" s="49" t="s">
        <v>49</v>
      </c>
      <c r="I382" s="94" t="s">
        <v>39</v>
      </c>
      <c r="J382" s="175" t="s">
        <v>121</v>
      </c>
      <c r="K382" s="176" t="s">
        <v>122</v>
      </c>
      <c r="L382" s="175" t="s">
        <v>2430</v>
      </c>
      <c r="M382" s="51" t="b">
        <v>0</v>
      </c>
      <c r="N382" s="118"/>
      <c r="O382" s="118"/>
      <c r="P382" s="13"/>
      <c r="Q382" s="13"/>
      <c r="R382" s="177"/>
      <c r="S382" s="35"/>
      <c r="T382" s="35"/>
      <c r="U382" s="13"/>
      <c r="V382" s="13"/>
      <c r="W382" s="13"/>
      <c r="X382" s="13"/>
      <c r="Y382" s="13"/>
      <c r="Z382" s="13"/>
      <c r="AA382" s="13"/>
      <c r="AB382" s="13"/>
      <c r="AC382" s="13"/>
    </row>
    <row r="383" ht="16.5" customHeight="1">
      <c r="A383" s="172">
        <v>380.0</v>
      </c>
      <c r="B383" s="173" t="s">
        <v>2431</v>
      </c>
      <c r="C383" s="13"/>
      <c r="D383" s="13"/>
      <c r="E383" s="13"/>
      <c r="F383" s="13"/>
      <c r="G383" s="174" t="s">
        <v>2432</v>
      </c>
      <c r="H383" s="49" t="s">
        <v>49</v>
      </c>
      <c r="I383" s="94" t="s">
        <v>39</v>
      </c>
      <c r="J383" s="174" t="s">
        <v>2433</v>
      </c>
      <c r="K383" s="178" t="s">
        <v>2434</v>
      </c>
      <c r="L383" s="174" t="s">
        <v>2435</v>
      </c>
      <c r="M383" s="51" t="b">
        <v>0</v>
      </c>
      <c r="N383" s="118"/>
      <c r="O383" s="118"/>
      <c r="P383" s="13"/>
      <c r="Q383" s="13"/>
      <c r="R383" s="177"/>
      <c r="S383" s="35"/>
      <c r="T383" s="35"/>
      <c r="U383" s="13"/>
      <c r="V383" s="13"/>
      <c r="W383" s="13"/>
      <c r="X383" s="13"/>
      <c r="Y383" s="13"/>
      <c r="Z383" s="13"/>
      <c r="AA383" s="13"/>
      <c r="AB383" s="13"/>
      <c r="AC383" s="13"/>
    </row>
    <row r="384" ht="16.5" customHeight="1">
      <c r="A384" s="172">
        <v>381.0</v>
      </c>
      <c r="B384" s="173" t="s">
        <v>2436</v>
      </c>
      <c r="C384" s="13"/>
      <c r="D384" s="13"/>
      <c r="E384" s="13"/>
      <c r="F384" s="13"/>
      <c r="G384" s="174" t="s">
        <v>2437</v>
      </c>
      <c r="H384" s="49" t="s">
        <v>49</v>
      </c>
      <c r="I384" s="94" t="s">
        <v>39</v>
      </c>
      <c r="J384" s="174" t="s">
        <v>2433</v>
      </c>
      <c r="K384" s="178" t="s">
        <v>2438</v>
      </c>
      <c r="L384" s="174" t="s">
        <v>2439</v>
      </c>
      <c r="M384" s="51" t="b">
        <v>0</v>
      </c>
      <c r="N384" s="118"/>
      <c r="O384" s="118"/>
      <c r="P384" s="13"/>
      <c r="Q384" s="13"/>
      <c r="R384" s="177"/>
      <c r="S384" s="35"/>
      <c r="T384" s="35"/>
      <c r="U384" s="13"/>
      <c r="V384" s="13"/>
      <c r="W384" s="13"/>
      <c r="X384" s="13"/>
      <c r="Y384" s="13"/>
      <c r="Z384" s="13"/>
      <c r="AA384" s="13"/>
      <c r="AB384" s="13"/>
      <c r="AC384" s="13"/>
    </row>
    <row r="385" ht="16.5" customHeight="1">
      <c r="A385" s="172">
        <v>382.0</v>
      </c>
      <c r="B385" s="173" t="s">
        <v>2440</v>
      </c>
      <c r="C385" s="13"/>
      <c r="D385" s="13"/>
      <c r="E385" s="13"/>
      <c r="F385" s="13"/>
      <c r="G385" s="174" t="s">
        <v>2441</v>
      </c>
      <c r="H385" s="49" t="s">
        <v>49</v>
      </c>
      <c r="I385" s="94" t="s">
        <v>39</v>
      </c>
      <c r="J385" s="179" t="s">
        <v>2442</v>
      </c>
      <c r="K385" s="180" t="s">
        <v>2443</v>
      </c>
      <c r="L385" s="174" t="s">
        <v>2444</v>
      </c>
      <c r="M385" s="51" t="b">
        <v>0</v>
      </c>
      <c r="N385" s="118"/>
      <c r="O385" s="118"/>
      <c r="P385" s="13"/>
      <c r="Q385" s="13"/>
      <c r="R385" s="177"/>
      <c r="S385" s="35"/>
      <c r="T385" s="35"/>
      <c r="U385" s="13"/>
      <c r="V385" s="13"/>
      <c r="W385" s="13"/>
      <c r="X385" s="13"/>
      <c r="Y385" s="13"/>
      <c r="Z385" s="13"/>
      <c r="AA385" s="13"/>
      <c r="AB385" s="13"/>
      <c r="AC385" s="13"/>
    </row>
    <row r="386" ht="16.5" customHeight="1">
      <c r="A386" s="172">
        <v>383.0</v>
      </c>
      <c r="B386" s="173" t="s">
        <v>2445</v>
      </c>
      <c r="C386" s="13"/>
      <c r="D386" s="13"/>
      <c r="E386" s="13"/>
      <c r="F386" s="13"/>
      <c r="G386" s="174" t="s">
        <v>2446</v>
      </c>
      <c r="H386" s="49" t="s">
        <v>49</v>
      </c>
      <c r="I386" s="94" t="s">
        <v>39</v>
      </c>
      <c r="J386" s="174" t="s">
        <v>121</v>
      </c>
      <c r="K386" s="178" t="s">
        <v>2447</v>
      </c>
      <c r="L386" s="174" t="s">
        <v>2448</v>
      </c>
      <c r="M386" s="51" t="b">
        <v>0</v>
      </c>
      <c r="N386" s="118"/>
      <c r="O386" s="118"/>
      <c r="P386" s="13"/>
      <c r="Q386" s="13"/>
      <c r="R386" s="177"/>
      <c r="S386" s="35"/>
      <c r="T386" s="35"/>
      <c r="U386" s="13"/>
      <c r="V386" s="13"/>
      <c r="W386" s="13"/>
      <c r="X386" s="13"/>
      <c r="Y386" s="13"/>
      <c r="Z386" s="13"/>
      <c r="AA386" s="13"/>
      <c r="AB386" s="13"/>
      <c r="AC386" s="13"/>
    </row>
    <row r="387" ht="16.5" customHeight="1">
      <c r="A387" s="172">
        <v>384.0</v>
      </c>
      <c r="B387" s="173" t="s">
        <v>2449</v>
      </c>
      <c r="C387" s="13"/>
      <c r="D387" s="13"/>
      <c r="E387" s="13"/>
      <c r="F387" s="13"/>
      <c r="G387" s="174" t="s">
        <v>2450</v>
      </c>
      <c r="H387" s="49" t="s">
        <v>49</v>
      </c>
      <c r="I387" s="94" t="s">
        <v>39</v>
      </c>
      <c r="J387" s="179" t="s">
        <v>2451</v>
      </c>
      <c r="K387" s="178" t="s">
        <v>173</v>
      </c>
      <c r="L387" s="174" t="s">
        <v>2452</v>
      </c>
      <c r="M387" s="51" t="b">
        <v>0</v>
      </c>
      <c r="N387" s="118"/>
      <c r="O387" s="118"/>
      <c r="P387" s="13"/>
      <c r="Q387" s="13"/>
      <c r="R387" s="177"/>
      <c r="S387" s="35"/>
      <c r="T387" s="35"/>
      <c r="U387" s="13"/>
      <c r="V387" s="13"/>
      <c r="W387" s="13"/>
      <c r="X387" s="13"/>
      <c r="Y387" s="13"/>
      <c r="Z387" s="13"/>
      <c r="AA387" s="13"/>
      <c r="AB387" s="13"/>
      <c r="AC387" s="13"/>
    </row>
    <row r="388" ht="16.5" customHeight="1">
      <c r="A388" s="172">
        <v>385.0</v>
      </c>
      <c r="B388" s="173" t="s">
        <v>2453</v>
      </c>
      <c r="C388" s="13"/>
      <c r="D388" s="13"/>
      <c r="E388" s="13"/>
      <c r="F388" s="13"/>
      <c r="G388" s="174" t="s">
        <v>2454</v>
      </c>
      <c r="H388" s="49" t="s">
        <v>49</v>
      </c>
      <c r="I388" s="94" t="s">
        <v>39</v>
      </c>
      <c r="J388" s="174" t="s">
        <v>2433</v>
      </c>
      <c r="K388" s="178" t="s">
        <v>2455</v>
      </c>
      <c r="L388" s="174" t="s">
        <v>2456</v>
      </c>
      <c r="M388" s="51" t="b">
        <v>0</v>
      </c>
      <c r="N388" s="118"/>
      <c r="O388" s="118"/>
      <c r="P388" s="13"/>
      <c r="Q388" s="13"/>
      <c r="R388" s="177"/>
      <c r="S388" s="35"/>
      <c r="T388" s="35"/>
      <c r="U388" s="13"/>
      <c r="V388" s="13"/>
      <c r="W388" s="13"/>
      <c r="X388" s="13"/>
      <c r="Y388" s="13"/>
      <c r="Z388" s="13"/>
      <c r="AA388" s="13"/>
      <c r="AB388" s="13"/>
      <c r="AC388" s="13"/>
    </row>
    <row r="389" ht="16.5" customHeight="1">
      <c r="A389" s="172">
        <v>386.0</v>
      </c>
      <c r="B389" s="173" t="s">
        <v>2457</v>
      </c>
      <c r="C389" s="13"/>
      <c r="D389" s="13"/>
      <c r="E389" s="13"/>
      <c r="F389" s="13"/>
      <c r="G389" s="174" t="s">
        <v>2458</v>
      </c>
      <c r="H389" s="49" t="s">
        <v>49</v>
      </c>
      <c r="I389" s="94" t="s">
        <v>39</v>
      </c>
      <c r="J389" s="179" t="s">
        <v>2459</v>
      </c>
      <c r="K389" s="178" t="s">
        <v>2460</v>
      </c>
      <c r="L389" s="174" t="s">
        <v>2461</v>
      </c>
      <c r="M389" s="51" t="b">
        <v>0</v>
      </c>
      <c r="N389" s="118"/>
      <c r="O389" s="118"/>
      <c r="P389" s="13"/>
      <c r="Q389" s="13"/>
      <c r="R389" s="177"/>
      <c r="S389" s="35"/>
      <c r="T389" s="35"/>
      <c r="U389" s="13"/>
      <c r="V389" s="13"/>
      <c r="W389" s="13"/>
      <c r="X389" s="13"/>
      <c r="Y389" s="13"/>
      <c r="Z389" s="13"/>
      <c r="AA389" s="13"/>
      <c r="AB389" s="13"/>
      <c r="AC389" s="13"/>
    </row>
    <row r="390" ht="16.5" customHeight="1">
      <c r="A390" s="172">
        <v>387.0</v>
      </c>
      <c r="B390" s="173" t="s">
        <v>2462</v>
      </c>
      <c r="C390" s="13"/>
      <c r="D390" s="13"/>
      <c r="E390" s="13"/>
      <c r="F390" s="13"/>
      <c r="G390" s="174" t="s">
        <v>2463</v>
      </c>
      <c r="H390" s="49" t="s">
        <v>49</v>
      </c>
      <c r="I390" s="94" t="s">
        <v>39</v>
      </c>
      <c r="J390" s="179" t="s">
        <v>2459</v>
      </c>
      <c r="K390" s="178" t="s">
        <v>2464</v>
      </c>
      <c r="L390" s="174" t="s">
        <v>2465</v>
      </c>
      <c r="M390" s="51" t="b">
        <v>0</v>
      </c>
      <c r="N390" s="118"/>
      <c r="O390" s="118"/>
      <c r="P390" s="13"/>
      <c r="Q390" s="13"/>
      <c r="R390" s="177"/>
      <c r="S390" s="35"/>
      <c r="T390" s="35"/>
      <c r="U390" s="13"/>
      <c r="V390" s="13"/>
      <c r="W390" s="13"/>
      <c r="X390" s="13"/>
      <c r="Y390" s="13"/>
      <c r="Z390" s="13"/>
      <c r="AA390" s="13"/>
      <c r="AB390" s="13"/>
      <c r="AC390" s="13"/>
    </row>
    <row r="391" ht="16.5" customHeight="1">
      <c r="A391" s="172">
        <v>388.0</v>
      </c>
      <c r="B391" s="173" t="s">
        <v>2466</v>
      </c>
      <c r="C391" s="13"/>
      <c r="D391" s="13"/>
      <c r="E391" s="13"/>
      <c r="F391" s="13"/>
      <c r="G391" s="174" t="s">
        <v>2467</v>
      </c>
      <c r="H391" s="49" t="s">
        <v>49</v>
      </c>
      <c r="I391" s="94" t="s">
        <v>39</v>
      </c>
      <c r="J391" s="179" t="s">
        <v>2468</v>
      </c>
      <c r="K391" s="180" t="s">
        <v>721</v>
      </c>
      <c r="L391" s="174" t="s">
        <v>2469</v>
      </c>
      <c r="M391" s="51" t="b">
        <v>0</v>
      </c>
      <c r="N391" s="118"/>
      <c r="O391" s="118"/>
      <c r="P391" s="13"/>
      <c r="Q391" s="13"/>
      <c r="R391" s="177"/>
      <c r="S391" s="35"/>
      <c r="T391" s="35"/>
      <c r="U391" s="13"/>
      <c r="V391" s="13"/>
      <c r="W391" s="13"/>
      <c r="X391" s="13"/>
      <c r="Y391" s="13"/>
      <c r="Z391" s="13"/>
      <c r="AA391" s="13"/>
      <c r="AB391" s="13"/>
      <c r="AC391" s="13"/>
    </row>
    <row r="392" ht="16.5" customHeight="1">
      <c r="A392" s="172">
        <v>389.0</v>
      </c>
      <c r="B392" s="173" t="s">
        <v>2470</v>
      </c>
      <c r="C392" s="13"/>
      <c r="D392" s="13"/>
      <c r="E392" s="13"/>
      <c r="F392" s="13"/>
      <c r="G392" s="174" t="s">
        <v>2471</v>
      </c>
      <c r="H392" s="49" t="s">
        <v>49</v>
      </c>
      <c r="I392" s="94" t="s">
        <v>39</v>
      </c>
      <c r="J392" s="179" t="s">
        <v>2468</v>
      </c>
      <c r="K392" s="180" t="s">
        <v>2472</v>
      </c>
      <c r="L392" s="174" t="s">
        <v>2469</v>
      </c>
      <c r="M392" s="51" t="b">
        <v>0</v>
      </c>
      <c r="N392" s="118"/>
      <c r="O392" s="118"/>
      <c r="P392" s="13"/>
      <c r="Q392" s="13"/>
      <c r="R392" s="177"/>
      <c r="S392" s="35"/>
      <c r="T392" s="35"/>
      <c r="U392" s="13"/>
      <c r="V392" s="13"/>
      <c r="W392" s="13"/>
      <c r="X392" s="13"/>
      <c r="Y392" s="13"/>
      <c r="Z392" s="13"/>
      <c r="AA392" s="13"/>
      <c r="AB392" s="13"/>
      <c r="AC392" s="13"/>
    </row>
    <row r="393" ht="16.5" customHeight="1">
      <c r="A393" s="172">
        <v>390.0</v>
      </c>
      <c r="B393" s="173" t="s">
        <v>2473</v>
      </c>
      <c r="C393" s="13"/>
      <c r="D393" s="13"/>
      <c r="E393" s="13"/>
      <c r="F393" s="13"/>
      <c r="G393" s="174" t="s">
        <v>2474</v>
      </c>
      <c r="H393" s="49" t="s">
        <v>49</v>
      </c>
      <c r="I393" s="94" t="s">
        <v>39</v>
      </c>
      <c r="J393" s="179" t="s">
        <v>2468</v>
      </c>
      <c r="K393" s="180" t="s">
        <v>290</v>
      </c>
      <c r="L393" s="174" t="s">
        <v>2469</v>
      </c>
      <c r="M393" s="51" t="b">
        <v>0</v>
      </c>
      <c r="N393" s="118"/>
      <c r="O393" s="118"/>
      <c r="P393" s="13"/>
      <c r="Q393" s="13"/>
      <c r="R393" s="177"/>
      <c r="S393" s="35"/>
      <c r="T393" s="35"/>
      <c r="U393" s="13"/>
      <c r="V393" s="13"/>
      <c r="W393" s="13"/>
      <c r="X393" s="13"/>
      <c r="Y393" s="13"/>
      <c r="Z393" s="13"/>
      <c r="AA393" s="13"/>
      <c r="AB393" s="13"/>
      <c r="AC393" s="13"/>
    </row>
    <row r="394" ht="16.5" customHeight="1">
      <c r="A394" s="172">
        <v>391.0</v>
      </c>
      <c r="B394" s="173" t="s">
        <v>2475</v>
      </c>
      <c r="C394" s="13"/>
      <c r="D394" s="13"/>
      <c r="E394" s="13"/>
      <c r="F394" s="13"/>
      <c r="G394" s="174" t="s">
        <v>2476</v>
      </c>
      <c r="H394" s="49" t="s">
        <v>49</v>
      </c>
      <c r="I394" s="94" t="s">
        <v>39</v>
      </c>
      <c r="J394" s="179" t="s">
        <v>2468</v>
      </c>
      <c r="K394" s="180" t="s">
        <v>290</v>
      </c>
      <c r="L394" s="174" t="s">
        <v>2469</v>
      </c>
      <c r="M394" s="51" t="b">
        <v>0</v>
      </c>
      <c r="N394" s="118"/>
      <c r="O394" s="118"/>
      <c r="P394" s="13"/>
      <c r="Q394" s="13"/>
      <c r="R394" s="177"/>
      <c r="S394" s="35"/>
      <c r="T394" s="35"/>
      <c r="U394" s="13"/>
      <c r="V394" s="13"/>
      <c r="W394" s="13"/>
      <c r="X394" s="13"/>
      <c r="Y394" s="13"/>
      <c r="Z394" s="13"/>
      <c r="AA394" s="13"/>
      <c r="AB394" s="13"/>
      <c r="AC394" s="13"/>
    </row>
    <row r="395" ht="16.5" customHeight="1">
      <c r="A395" s="172">
        <v>392.0</v>
      </c>
      <c r="B395" s="173" t="s">
        <v>2477</v>
      </c>
      <c r="C395" s="13"/>
      <c r="D395" s="13"/>
      <c r="E395" s="13"/>
      <c r="F395" s="13"/>
      <c r="G395" s="174" t="s">
        <v>2478</v>
      </c>
      <c r="H395" s="49" t="s">
        <v>49</v>
      </c>
      <c r="I395" s="94" t="s">
        <v>39</v>
      </c>
      <c r="J395" s="179" t="s">
        <v>2468</v>
      </c>
      <c r="K395" s="180" t="s">
        <v>1126</v>
      </c>
      <c r="L395" s="174" t="s">
        <v>2469</v>
      </c>
      <c r="M395" s="51" t="b">
        <v>0</v>
      </c>
      <c r="N395" s="118"/>
      <c r="O395" s="118"/>
      <c r="P395" s="13"/>
      <c r="Q395" s="13"/>
      <c r="R395" s="177"/>
      <c r="S395" s="35"/>
      <c r="T395" s="35"/>
      <c r="U395" s="13"/>
      <c r="V395" s="13"/>
      <c r="W395" s="13"/>
      <c r="X395" s="13"/>
      <c r="Y395" s="13"/>
      <c r="Z395" s="13"/>
      <c r="AA395" s="13"/>
      <c r="AB395" s="13"/>
      <c r="AC395" s="13"/>
    </row>
    <row r="396" ht="16.5" customHeight="1">
      <c r="A396" s="172">
        <v>393.0</v>
      </c>
      <c r="B396" s="173" t="s">
        <v>2479</v>
      </c>
      <c r="C396" s="13"/>
      <c r="D396" s="13"/>
      <c r="E396" s="13"/>
      <c r="F396" s="13"/>
      <c r="G396" s="174" t="s">
        <v>2480</v>
      </c>
      <c r="H396" s="49" t="s">
        <v>49</v>
      </c>
      <c r="I396" s="94" t="s">
        <v>39</v>
      </c>
      <c r="J396" s="179" t="s">
        <v>2468</v>
      </c>
      <c r="K396" s="180" t="s">
        <v>1126</v>
      </c>
      <c r="L396" s="174" t="s">
        <v>2469</v>
      </c>
      <c r="M396" s="51" t="b">
        <v>0</v>
      </c>
      <c r="N396" s="118"/>
      <c r="O396" s="118"/>
      <c r="P396" s="13"/>
      <c r="Q396" s="13"/>
      <c r="R396" s="177"/>
      <c r="S396" s="35"/>
      <c r="T396" s="35"/>
      <c r="U396" s="13"/>
      <c r="V396" s="13"/>
      <c r="W396" s="13"/>
      <c r="X396" s="13"/>
      <c r="Y396" s="13"/>
      <c r="Z396" s="13"/>
      <c r="AA396" s="13"/>
      <c r="AB396" s="13"/>
      <c r="AC396" s="13"/>
    </row>
    <row r="397" ht="16.5" customHeight="1">
      <c r="A397" s="172">
        <v>394.0</v>
      </c>
      <c r="B397" s="173" t="s">
        <v>2481</v>
      </c>
      <c r="C397" s="13"/>
      <c r="D397" s="13"/>
      <c r="E397" s="13"/>
      <c r="F397" s="13"/>
      <c r="G397" s="174" t="s">
        <v>2482</v>
      </c>
      <c r="H397" s="49" t="s">
        <v>49</v>
      </c>
      <c r="I397" s="94" t="s">
        <v>39</v>
      </c>
      <c r="J397" s="179" t="s">
        <v>2483</v>
      </c>
      <c r="K397" s="178" t="s">
        <v>2484</v>
      </c>
      <c r="L397" s="174" t="s">
        <v>2485</v>
      </c>
      <c r="M397" s="51" t="b">
        <v>0</v>
      </c>
      <c r="N397" s="118"/>
      <c r="O397" s="118"/>
      <c r="P397" s="13"/>
      <c r="Q397" s="13"/>
      <c r="R397" s="177"/>
      <c r="S397" s="35"/>
      <c r="T397" s="35"/>
      <c r="U397" s="13"/>
      <c r="V397" s="13"/>
      <c r="W397" s="13"/>
      <c r="X397" s="13"/>
      <c r="Y397" s="13"/>
      <c r="Z397" s="13"/>
      <c r="AA397" s="13"/>
      <c r="AB397" s="13"/>
      <c r="AC397" s="13"/>
    </row>
    <row r="398" ht="16.5" customHeight="1">
      <c r="A398" s="172">
        <v>395.0</v>
      </c>
      <c r="B398" s="173" t="s">
        <v>2486</v>
      </c>
      <c r="C398" s="13"/>
      <c r="D398" s="13"/>
      <c r="E398" s="13"/>
      <c r="F398" s="13"/>
      <c r="G398" s="174" t="s">
        <v>2487</v>
      </c>
      <c r="H398" s="49" t="s">
        <v>49</v>
      </c>
      <c r="I398" s="94" t="s">
        <v>39</v>
      </c>
      <c r="J398" s="179" t="s">
        <v>2488</v>
      </c>
      <c r="K398" s="180" t="s">
        <v>173</v>
      </c>
      <c r="L398" s="174" t="s">
        <v>2485</v>
      </c>
      <c r="M398" s="51" t="b">
        <v>0</v>
      </c>
      <c r="N398" s="118"/>
      <c r="O398" s="118"/>
      <c r="P398" s="13"/>
      <c r="Q398" s="13"/>
      <c r="R398" s="177"/>
      <c r="S398" s="35"/>
      <c r="T398" s="35"/>
      <c r="U398" s="13"/>
      <c r="V398" s="13"/>
      <c r="W398" s="13"/>
      <c r="X398" s="13"/>
      <c r="Y398" s="13"/>
      <c r="Z398" s="13"/>
      <c r="AA398" s="13"/>
      <c r="AB398" s="13"/>
      <c r="AC398" s="13"/>
    </row>
    <row r="399" ht="16.5" customHeight="1">
      <c r="A399" s="172">
        <v>396.0</v>
      </c>
      <c r="B399" s="173" t="s">
        <v>2489</v>
      </c>
      <c r="C399" s="13"/>
      <c r="D399" s="13"/>
      <c r="E399" s="13"/>
      <c r="F399" s="13"/>
      <c r="G399" s="174" t="s">
        <v>2490</v>
      </c>
      <c r="H399" s="49" t="s">
        <v>49</v>
      </c>
      <c r="I399" s="94" t="s">
        <v>39</v>
      </c>
      <c r="J399" s="179" t="s">
        <v>2491</v>
      </c>
      <c r="K399" s="180" t="s">
        <v>2109</v>
      </c>
      <c r="L399" s="174" t="s">
        <v>2485</v>
      </c>
      <c r="M399" s="51" t="b">
        <v>0</v>
      </c>
      <c r="N399" s="118"/>
      <c r="O399" s="118"/>
      <c r="P399" s="13"/>
      <c r="Q399" s="13"/>
      <c r="R399" s="177"/>
      <c r="S399" s="35"/>
      <c r="T399" s="35"/>
      <c r="U399" s="13"/>
      <c r="V399" s="13"/>
      <c r="W399" s="13"/>
      <c r="X399" s="13"/>
      <c r="Y399" s="13"/>
      <c r="Z399" s="13"/>
      <c r="AA399" s="13"/>
      <c r="AB399" s="13"/>
      <c r="AC399" s="13"/>
    </row>
    <row r="400" ht="16.5" customHeight="1">
      <c r="A400" s="172">
        <v>397.0</v>
      </c>
      <c r="B400" s="173" t="s">
        <v>2492</v>
      </c>
      <c r="C400" s="13"/>
      <c r="D400" s="13"/>
      <c r="E400" s="13"/>
      <c r="F400" s="13"/>
      <c r="G400" s="174" t="s">
        <v>2493</v>
      </c>
      <c r="H400" s="49" t="s">
        <v>49</v>
      </c>
      <c r="I400" s="94" t="s">
        <v>39</v>
      </c>
      <c r="J400" s="179" t="s">
        <v>2494</v>
      </c>
      <c r="K400" s="180" t="s">
        <v>2495</v>
      </c>
      <c r="L400" s="174" t="s">
        <v>2485</v>
      </c>
      <c r="M400" s="51" t="b">
        <v>0</v>
      </c>
      <c r="N400" s="118"/>
      <c r="O400" s="118"/>
      <c r="P400" s="13"/>
      <c r="Q400" s="13"/>
      <c r="R400" s="177"/>
      <c r="S400" s="35"/>
      <c r="T400" s="35"/>
      <c r="U400" s="13"/>
      <c r="V400" s="13"/>
      <c r="W400" s="13"/>
      <c r="X400" s="13"/>
      <c r="Y400" s="13"/>
      <c r="Z400" s="13"/>
      <c r="AA400" s="13"/>
      <c r="AB400" s="13"/>
      <c r="AC400" s="13"/>
    </row>
    <row r="401" ht="16.5" customHeight="1">
      <c r="A401" s="172">
        <v>398.0</v>
      </c>
      <c r="B401" s="173" t="s">
        <v>2496</v>
      </c>
      <c r="C401" s="13"/>
      <c r="D401" s="13"/>
      <c r="E401" s="13"/>
      <c r="F401" s="13"/>
      <c r="G401" s="174" t="s">
        <v>2497</v>
      </c>
      <c r="H401" s="49" t="s">
        <v>49</v>
      </c>
      <c r="I401" s="94" t="s">
        <v>39</v>
      </c>
      <c r="J401" s="179" t="s">
        <v>2498</v>
      </c>
      <c r="K401" s="178" t="s">
        <v>2499</v>
      </c>
      <c r="L401" s="174" t="s">
        <v>2500</v>
      </c>
      <c r="M401" s="51" t="b">
        <v>0</v>
      </c>
      <c r="N401" s="118"/>
      <c r="O401" s="118"/>
      <c r="P401" s="13"/>
      <c r="Q401" s="13"/>
      <c r="R401" s="177"/>
      <c r="S401" s="35"/>
      <c r="T401" s="35"/>
      <c r="U401" s="13"/>
      <c r="V401" s="13"/>
      <c r="W401" s="13"/>
      <c r="X401" s="13"/>
      <c r="Y401" s="13"/>
      <c r="Z401" s="13"/>
      <c r="AA401" s="13"/>
      <c r="AB401" s="13"/>
      <c r="AC401" s="13"/>
    </row>
    <row r="402" ht="16.5" customHeight="1">
      <c r="A402" s="172">
        <v>399.0</v>
      </c>
      <c r="B402" s="173" t="s">
        <v>2501</v>
      </c>
      <c r="C402" s="13"/>
      <c r="D402" s="13"/>
      <c r="E402" s="13"/>
      <c r="F402" s="13"/>
      <c r="G402" s="174" t="s">
        <v>2502</v>
      </c>
      <c r="H402" s="49" t="s">
        <v>49</v>
      </c>
      <c r="I402" s="94" t="s">
        <v>39</v>
      </c>
      <c r="J402" s="179" t="s">
        <v>2498</v>
      </c>
      <c r="K402" s="178" t="s">
        <v>2503</v>
      </c>
      <c r="L402" s="174" t="s">
        <v>2500</v>
      </c>
      <c r="M402" s="51" t="b">
        <v>0</v>
      </c>
      <c r="N402" s="118"/>
      <c r="O402" s="118"/>
      <c r="P402" s="13"/>
      <c r="Q402" s="13"/>
      <c r="R402" s="177"/>
      <c r="S402" s="35"/>
      <c r="T402" s="35"/>
      <c r="U402" s="13"/>
      <c r="V402" s="13"/>
      <c r="W402" s="13"/>
      <c r="X402" s="13"/>
      <c r="Y402" s="13"/>
      <c r="Z402" s="13"/>
      <c r="AA402" s="13"/>
      <c r="AB402" s="13"/>
      <c r="AC402" s="13"/>
    </row>
    <row r="403" ht="16.5" customHeight="1">
      <c r="A403" s="172">
        <v>400.0</v>
      </c>
      <c r="B403" s="173" t="s">
        <v>2504</v>
      </c>
      <c r="C403" s="13"/>
      <c r="D403" s="13"/>
      <c r="E403" s="13"/>
      <c r="F403" s="13"/>
      <c r="G403" s="174" t="s">
        <v>2505</v>
      </c>
      <c r="H403" s="49" t="s">
        <v>49</v>
      </c>
      <c r="I403" s="94" t="s">
        <v>39</v>
      </c>
      <c r="J403" s="174" t="s">
        <v>1880</v>
      </c>
      <c r="K403" s="180" t="s">
        <v>173</v>
      </c>
      <c r="L403" s="174" t="s">
        <v>2506</v>
      </c>
      <c r="M403" s="51" t="b">
        <v>0</v>
      </c>
      <c r="N403" s="118"/>
      <c r="O403" s="118"/>
      <c r="P403" s="13"/>
      <c r="Q403" s="13"/>
      <c r="R403" s="177"/>
      <c r="S403" s="35"/>
      <c r="T403" s="35"/>
      <c r="U403" s="13"/>
      <c r="V403" s="13"/>
      <c r="W403" s="13"/>
      <c r="X403" s="13"/>
      <c r="Y403" s="13"/>
      <c r="Z403" s="13"/>
      <c r="AA403" s="13"/>
      <c r="AB403" s="13"/>
      <c r="AC403" s="13"/>
    </row>
    <row r="404" ht="16.5" customHeight="1">
      <c r="A404" s="172">
        <v>401.0</v>
      </c>
      <c r="B404" s="173" t="s">
        <v>2507</v>
      </c>
      <c r="C404" s="13"/>
      <c r="D404" s="13"/>
      <c r="E404" s="13"/>
      <c r="F404" s="13"/>
      <c r="G404" s="174" t="s">
        <v>2508</v>
      </c>
      <c r="H404" s="49" t="s">
        <v>49</v>
      </c>
      <c r="I404" s="94" t="s">
        <v>39</v>
      </c>
      <c r="J404" s="174" t="s">
        <v>2509</v>
      </c>
      <c r="K404" s="178" t="s">
        <v>2510</v>
      </c>
      <c r="L404" s="174" t="s">
        <v>2485</v>
      </c>
      <c r="M404" s="51" t="b">
        <v>0</v>
      </c>
      <c r="N404" s="118"/>
      <c r="O404" s="118"/>
      <c r="P404" s="13"/>
      <c r="Q404" s="13"/>
      <c r="R404" s="177"/>
      <c r="S404" s="35"/>
      <c r="T404" s="35"/>
      <c r="U404" s="13"/>
      <c r="V404" s="13"/>
      <c r="W404" s="13"/>
      <c r="X404" s="13"/>
      <c r="Y404" s="13"/>
      <c r="Z404" s="13"/>
      <c r="AA404" s="13"/>
      <c r="AB404" s="13"/>
      <c r="AC404" s="13"/>
    </row>
    <row r="405" ht="16.5" customHeight="1">
      <c r="A405" s="172">
        <v>402.0</v>
      </c>
      <c r="B405" s="173" t="s">
        <v>2511</v>
      </c>
      <c r="C405" s="13"/>
      <c r="D405" s="13"/>
      <c r="E405" s="13"/>
      <c r="F405" s="13"/>
      <c r="G405" s="174" t="s">
        <v>2512</v>
      </c>
      <c r="H405" s="49" t="s">
        <v>49</v>
      </c>
      <c r="I405" s="94" t="s">
        <v>39</v>
      </c>
      <c r="J405" s="179" t="s">
        <v>2513</v>
      </c>
      <c r="K405" s="180" t="s">
        <v>1150</v>
      </c>
      <c r="L405" s="174" t="s">
        <v>2514</v>
      </c>
      <c r="M405" s="51" t="b">
        <v>0</v>
      </c>
      <c r="N405" s="118"/>
      <c r="O405" s="118"/>
      <c r="P405" s="13"/>
      <c r="Q405" s="13"/>
      <c r="R405" s="177"/>
      <c r="S405" s="35"/>
      <c r="T405" s="35"/>
      <c r="U405" s="13"/>
      <c r="V405" s="13"/>
      <c r="W405" s="13"/>
      <c r="X405" s="13"/>
      <c r="Y405" s="13"/>
      <c r="Z405" s="13"/>
      <c r="AA405" s="13"/>
      <c r="AB405" s="13"/>
      <c r="AC405" s="13"/>
    </row>
    <row r="406" ht="16.5" customHeight="1">
      <c r="A406" s="172">
        <v>403.0</v>
      </c>
      <c r="B406" s="173" t="s">
        <v>2515</v>
      </c>
      <c r="C406" s="13"/>
      <c r="D406" s="13"/>
      <c r="E406" s="13"/>
      <c r="F406" s="13"/>
      <c r="G406" s="174" t="s">
        <v>2516</v>
      </c>
      <c r="H406" s="49" t="s">
        <v>49</v>
      </c>
      <c r="I406" s="94" t="s">
        <v>39</v>
      </c>
      <c r="J406" s="179" t="s">
        <v>2513</v>
      </c>
      <c r="K406" s="180" t="s">
        <v>122</v>
      </c>
      <c r="L406" s="174" t="s">
        <v>2514</v>
      </c>
      <c r="M406" s="51" t="b">
        <v>0</v>
      </c>
      <c r="N406" s="118"/>
      <c r="O406" s="118"/>
      <c r="P406" s="13"/>
      <c r="Q406" s="13"/>
      <c r="R406" s="177"/>
      <c r="S406" s="35"/>
      <c r="T406" s="35"/>
      <c r="U406" s="13"/>
      <c r="V406" s="13"/>
      <c r="W406" s="13"/>
      <c r="X406" s="13"/>
      <c r="Y406" s="13"/>
      <c r="Z406" s="13"/>
      <c r="AA406" s="13"/>
      <c r="AB406" s="13"/>
      <c r="AC406" s="13"/>
    </row>
    <row r="407" ht="16.5" customHeight="1">
      <c r="A407" s="172">
        <v>404.0</v>
      </c>
      <c r="B407" s="173" t="s">
        <v>2517</v>
      </c>
      <c r="C407" s="13"/>
      <c r="D407" s="13"/>
      <c r="E407" s="13"/>
      <c r="F407" s="13"/>
      <c r="G407" s="174" t="s">
        <v>2518</v>
      </c>
      <c r="H407" s="49" t="s">
        <v>49</v>
      </c>
      <c r="I407" s="94" t="s">
        <v>39</v>
      </c>
      <c r="J407" s="179" t="s">
        <v>2513</v>
      </c>
      <c r="K407" s="180" t="s">
        <v>1150</v>
      </c>
      <c r="L407" s="174" t="s">
        <v>2514</v>
      </c>
      <c r="M407" s="51" t="b">
        <v>0</v>
      </c>
      <c r="N407" s="118"/>
      <c r="O407" s="118"/>
      <c r="P407" s="13"/>
      <c r="Q407" s="13"/>
      <c r="R407" s="177"/>
      <c r="S407" s="35"/>
      <c r="T407" s="35"/>
      <c r="U407" s="13"/>
      <c r="V407" s="13"/>
      <c r="W407" s="13"/>
      <c r="X407" s="13"/>
      <c r="Y407" s="13"/>
      <c r="Z407" s="13"/>
      <c r="AA407" s="13"/>
      <c r="AB407" s="13"/>
      <c r="AC407" s="13"/>
    </row>
    <row r="408" ht="16.5" customHeight="1">
      <c r="A408" s="172">
        <v>405.0</v>
      </c>
      <c r="B408" s="173" t="s">
        <v>2519</v>
      </c>
      <c r="C408" s="13"/>
      <c r="D408" s="13"/>
      <c r="E408" s="13"/>
      <c r="F408" s="13"/>
      <c r="G408" s="174" t="s">
        <v>2520</v>
      </c>
      <c r="H408" s="49" t="s">
        <v>49</v>
      </c>
      <c r="I408" s="94" t="s">
        <v>39</v>
      </c>
      <c r="J408" s="179" t="s">
        <v>2513</v>
      </c>
      <c r="K408" s="180" t="s">
        <v>104</v>
      </c>
      <c r="L408" s="174" t="s">
        <v>2514</v>
      </c>
      <c r="M408" s="51" t="b">
        <v>0</v>
      </c>
      <c r="N408" s="118"/>
      <c r="O408" s="118"/>
      <c r="P408" s="13"/>
      <c r="Q408" s="13"/>
      <c r="R408" s="177"/>
      <c r="S408" s="35"/>
      <c r="T408" s="35"/>
      <c r="U408" s="13"/>
      <c r="V408" s="13"/>
      <c r="W408" s="13"/>
      <c r="X408" s="13"/>
      <c r="Y408" s="13"/>
      <c r="Z408" s="13"/>
      <c r="AA408" s="13"/>
      <c r="AB408" s="13"/>
      <c r="AC408" s="13"/>
    </row>
    <row r="409" ht="16.5" customHeight="1">
      <c r="A409" s="172">
        <v>406.0</v>
      </c>
      <c r="B409" s="181" t="s">
        <v>2521</v>
      </c>
      <c r="C409" s="13"/>
      <c r="D409" s="13"/>
      <c r="E409" s="13"/>
      <c r="F409" s="13"/>
      <c r="G409" s="182" t="s">
        <v>2522</v>
      </c>
      <c r="H409" s="49" t="s">
        <v>49</v>
      </c>
      <c r="I409" s="94" t="s">
        <v>39</v>
      </c>
      <c r="J409" s="183" t="s">
        <v>2523</v>
      </c>
      <c r="K409" s="184" t="s">
        <v>2524</v>
      </c>
      <c r="L409" s="182" t="s">
        <v>2485</v>
      </c>
      <c r="M409" s="51" t="b">
        <v>0</v>
      </c>
      <c r="N409" s="118"/>
      <c r="O409" s="118"/>
      <c r="P409" s="13"/>
      <c r="Q409" s="13"/>
      <c r="R409" s="177"/>
      <c r="S409" s="35"/>
      <c r="T409" s="35"/>
      <c r="U409" s="13"/>
      <c r="V409" s="13"/>
      <c r="W409" s="13"/>
      <c r="X409" s="13"/>
      <c r="Y409" s="13"/>
      <c r="Z409" s="13"/>
      <c r="AA409" s="13"/>
      <c r="AB409" s="13"/>
      <c r="AC409" s="13"/>
    </row>
    <row r="410" ht="16.5" customHeight="1">
      <c r="A410" s="172">
        <v>407.0</v>
      </c>
      <c r="B410" s="181" t="s">
        <v>2525</v>
      </c>
      <c r="C410" s="13"/>
      <c r="D410" s="13"/>
      <c r="E410" s="13"/>
      <c r="F410" s="13"/>
      <c r="G410" s="182" t="s">
        <v>2526</v>
      </c>
      <c r="H410" s="49" t="s">
        <v>49</v>
      </c>
      <c r="I410" s="94" t="s">
        <v>39</v>
      </c>
      <c r="J410" s="183" t="s">
        <v>2523</v>
      </c>
      <c r="K410" s="184" t="s">
        <v>2527</v>
      </c>
      <c r="L410" s="182" t="s">
        <v>2485</v>
      </c>
      <c r="M410" s="51" t="b">
        <v>0</v>
      </c>
      <c r="N410" s="118"/>
      <c r="O410" s="118"/>
      <c r="P410" s="13"/>
      <c r="Q410" s="13"/>
      <c r="R410" s="177"/>
      <c r="S410" s="35"/>
      <c r="T410" s="35"/>
      <c r="U410" s="13"/>
      <c r="V410" s="13"/>
      <c r="W410" s="13"/>
      <c r="X410" s="13"/>
      <c r="Y410" s="13"/>
      <c r="Z410" s="13"/>
      <c r="AA410" s="13"/>
      <c r="AB410" s="13"/>
      <c r="AC410" s="13"/>
    </row>
    <row r="411" ht="16.5" customHeight="1">
      <c r="A411" s="172">
        <v>408.0</v>
      </c>
      <c r="B411" s="181" t="s">
        <v>2528</v>
      </c>
      <c r="C411" s="13"/>
      <c r="D411" s="13"/>
      <c r="E411" s="13"/>
      <c r="F411" s="13"/>
      <c r="G411" s="182" t="s">
        <v>2529</v>
      </c>
      <c r="H411" s="49" t="s">
        <v>49</v>
      </c>
      <c r="I411" s="94" t="s">
        <v>39</v>
      </c>
      <c r="J411" s="183" t="s">
        <v>2523</v>
      </c>
      <c r="K411" s="184" t="s">
        <v>2530</v>
      </c>
      <c r="L411" s="182" t="s">
        <v>2485</v>
      </c>
      <c r="M411" s="51" t="b">
        <v>0</v>
      </c>
      <c r="N411" s="118"/>
      <c r="O411" s="118"/>
      <c r="P411" s="13"/>
      <c r="Q411" s="13"/>
      <c r="R411" s="177"/>
      <c r="S411" s="35"/>
      <c r="T411" s="35"/>
      <c r="U411" s="13"/>
      <c r="V411" s="13"/>
      <c r="W411" s="13"/>
      <c r="X411" s="13"/>
      <c r="Y411" s="13"/>
      <c r="Z411" s="13"/>
      <c r="AA411" s="13"/>
      <c r="AB411" s="13"/>
      <c r="AC411" s="13"/>
    </row>
    <row r="412" ht="16.5" customHeight="1">
      <c r="A412" s="172">
        <v>409.0</v>
      </c>
      <c r="B412" s="181" t="s">
        <v>2531</v>
      </c>
      <c r="C412" s="13"/>
      <c r="D412" s="13"/>
      <c r="E412" s="13"/>
      <c r="F412" s="13"/>
      <c r="G412" s="182" t="s">
        <v>2532</v>
      </c>
      <c r="H412" s="49" t="s">
        <v>49</v>
      </c>
      <c r="I412" s="94" t="s">
        <v>39</v>
      </c>
      <c r="J412" s="183" t="s">
        <v>2523</v>
      </c>
      <c r="K412" s="184" t="s">
        <v>2533</v>
      </c>
      <c r="L412" s="182" t="s">
        <v>2485</v>
      </c>
      <c r="M412" s="51" t="b">
        <v>0</v>
      </c>
      <c r="N412" s="118"/>
      <c r="O412" s="118"/>
      <c r="P412" s="13"/>
      <c r="Q412" s="13"/>
      <c r="R412" s="177"/>
      <c r="S412" s="35"/>
      <c r="T412" s="35"/>
      <c r="U412" s="13"/>
      <c r="V412" s="13"/>
      <c r="W412" s="13"/>
      <c r="X412" s="13"/>
      <c r="Y412" s="13"/>
      <c r="Z412" s="13"/>
      <c r="AA412" s="13"/>
      <c r="AB412" s="13"/>
      <c r="AC412" s="13"/>
    </row>
    <row r="413" ht="16.5" customHeight="1">
      <c r="A413" s="172">
        <v>410.0</v>
      </c>
      <c r="B413" s="181" t="s">
        <v>2534</v>
      </c>
      <c r="C413" s="13"/>
      <c r="D413" s="13"/>
      <c r="E413" s="13"/>
      <c r="F413" s="13"/>
      <c r="G413" s="182" t="s">
        <v>2535</v>
      </c>
      <c r="H413" s="49" t="s">
        <v>49</v>
      </c>
      <c r="I413" s="94" t="s">
        <v>39</v>
      </c>
      <c r="J413" s="183" t="s">
        <v>2523</v>
      </c>
      <c r="K413" s="184" t="s">
        <v>2536</v>
      </c>
      <c r="L413" s="182" t="s">
        <v>2485</v>
      </c>
      <c r="M413" s="51" t="b">
        <v>0</v>
      </c>
      <c r="N413" s="118"/>
      <c r="O413" s="118"/>
      <c r="P413" s="13"/>
      <c r="Q413" s="13"/>
      <c r="R413" s="177"/>
      <c r="S413" s="35"/>
      <c r="T413" s="35"/>
      <c r="U413" s="13"/>
      <c r="V413" s="13"/>
      <c r="W413" s="13"/>
      <c r="X413" s="13"/>
      <c r="Y413" s="13"/>
      <c r="Z413" s="13"/>
      <c r="AA413" s="13"/>
      <c r="AB413" s="13"/>
      <c r="AC413" s="13"/>
    </row>
    <row r="414" ht="16.5" customHeight="1">
      <c r="A414" s="172">
        <v>411.0</v>
      </c>
      <c r="B414" s="181" t="s">
        <v>2537</v>
      </c>
      <c r="C414" s="13"/>
      <c r="D414" s="13"/>
      <c r="E414" s="13"/>
      <c r="F414" s="13"/>
      <c r="G414" s="182" t="s">
        <v>2538</v>
      </c>
      <c r="H414" s="49" t="s">
        <v>49</v>
      </c>
      <c r="I414" s="94" t="s">
        <v>39</v>
      </c>
      <c r="J414" s="183" t="s">
        <v>2468</v>
      </c>
      <c r="K414" s="184" t="s">
        <v>2539</v>
      </c>
      <c r="L414" s="182" t="s">
        <v>2540</v>
      </c>
      <c r="M414" s="51" t="b">
        <v>0</v>
      </c>
      <c r="N414" s="118"/>
      <c r="O414" s="118"/>
      <c r="P414" s="13"/>
      <c r="Q414" s="13"/>
      <c r="R414" s="177"/>
      <c r="S414" s="35"/>
      <c r="T414" s="35"/>
      <c r="U414" s="13"/>
      <c r="V414" s="13"/>
      <c r="W414" s="13"/>
      <c r="X414" s="13"/>
      <c r="Y414" s="13"/>
      <c r="Z414" s="13"/>
      <c r="AA414" s="13"/>
      <c r="AB414" s="13"/>
      <c r="AC414" s="13"/>
    </row>
    <row r="415" ht="16.5" customHeight="1">
      <c r="A415" s="13"/>
      <c r="B415" s="13"/>
      <c r="C415" s="13"/>
      <c r="D415" s="13"/>
      <c r="E415" s="13"/>
      <c r="F415" s="13"/>
      <c r="G415" s="13"/>
      <c r="H415" s="13"/>
      <c r="I415" s="13"/>
      <c r="J415" s="13"/>
      <c r="K415" s="185"/>
      <c r="L415" s="186"/>
      <c r="M415" s="13"/>
      <c r="N415" s="13"/>
      <c r="O415" s="185"/>
      <c r="P415" s="13"/>
      <c r="Q415" s="13"/>
      <c r="R415" s="177"/>
      <c r="S415" s="35"/>
      <c r="T415" s="35"/>
      <c r="U415" s="13"/>
      <c r="V415" s="13"/>
      <c r="W415" s="13"/>
      <c r="X415" s="13"/>
      <c r="Y415" s="13"/>
      <c r="Z415" s="13"/>
      <c r="AA415" s="13"/>
      <c r="AB415" s="13"/>
      <c r="AC415" s="13"/>
    </row>
    <row r="416" ht="16.5" customHeight="1">
      <c r="A416" s="13"/>
      <c r="B416" s="13"/>
      <c r="C416" s="13"/>
      <c r="D416" s="13"/>
      <c r="E416" s="13"/>
      <c r="F416" s="13"/>
      <c r="G416" s="13"/>
      <c r="H416" s="13"/>
      <c r="I416" s="13"/>
      <c r="J416" s="13"/>
      <c r="K416" s="185"/>
      <c r="L416" s="186"/>
      <c r="M416" s="13"/>
      <c r="N416" s="13"/>
      <c r="O416" s="185"/>
      <c r="P416" s="13"/>
      <c r="Q416" s="13"/>
      <c r="R416" s="177"/>
      <c r="S416" s="35"/>
      <c r="T416" s="35"/>
      <c r="U416" s="13"/>
      <c r="V416" s="13"/>
      <c r="W416" s="13"/>
      <c r="X416" s="13"/>
      <c r="Y416" s="13"/>
      <c r="Z416" s="13"/>
      <c r="AA416" s="13"/>
      <c r="AB416" s="13"/>
      <c r="AC416" s="13"/>
    </row>
    <row r="417" ht="16.5" customHeight="1">
      <c r="A417" s="13"/>
      <c r="B417" s="13"/>
      <c r="C417" s="13"/>
      <c r="D417" s="13"/>
      <c r="E417" s="13"/>
      <c r="F417" s="13"/>
      <c r="G417" s="13"/>
      <c r="H417" s="13"/>
      <c r="I417" s="13"/>
      <c r="J417" s="13"/>
      <c r="K417" s="185"/>
      <c r="L417" s="186"/>
      <c r="M417" s="13"/>
      <c r="N417" s="13"/>
      <c r="O417" s="185"/>
      <c r="P417" s="13"/>
      <c r="Q417" s="13"/>
      <c r="R417" s="177"/>
      <c r="S417" s="35"/>
      <c r="T417" s="35"/>
      <c r="U417" s="13"/>
      <c r="V417" s="13"/>
      <c r="W417" s="13"/>
      <c r="X417" s="13"/>
      <c r="Y417" s="13"/>
      <c r="Z417" s="13"/>
      <c r="AA417" s="13"/>
      <c r="AB417" s="13"/>
      <c r="AC417" s="13"/>
    </row>
    <row r="418" ht="16.5" customHeight="1">
      <c r="A418" s="13"/>
      <c r="B418" s="13"/>
      <c r="C418" s="13"/>
      <c r="D418" s="13"/>
      <c r="E418" s="13"/>
      <c r="F418" s="13"/>
      <c r="G418" s="13"/>
      <c r="H418" s="13"/>
      <c r="I418" s="13"/>
      <c r="J418" s="13"/>
      <c r="K418" s="185"/>
      <c r="L418" s="186"/>
      <c r="M418" s="13"/>
      <c r="N418" s="13"/>
      <c r="O418" s="185"/>
      <c r="P418" s="13"/>
      <c r="Q418" s="13"/>
      <c r="R418" s="177"/>
      <c r="S418" s="35"/>
      <c r="T418" s="35"/>
      <c r="U418" s="13"/>
      <c r="V418" s="13"/>
      <c r="W418" s="13"/>
      <c r="X418" s="13"/>
      <c r="Y418" s="13"/>
      <c r="Z418" s="13"/>
      <c r="AA418" s="13"/>
      <c r="AB418" s="13"/>
      <c r="AC418" s="13"/>
    </row>
    <row r="419" ht="16.5" customHeight="1">
      <c r="A419" s="13"/>
      <c r="B419" s="13"/>
      <c r="C419" s="13"/>
      <c r="D419" s="13"/>
      <c r="E419" s="13"/>
      <c r="F419" s="13"/>
      <c r="G419" s="13"/>
      <c r="H419" s="13"/>
      <c r="I419" s="13"/>
      <c r="J419" s="13"/>
      <c r="K419" s="185"/>
      <c r="L419" s="186"/>
      <c r="M419" s="13"/>
      <c r="N419" s="13"/>
      <c r="O419" s="185"/>
      <c r="P419" s="13"/>
      <c r="Q419" s="13"/>
      <c r="R419" s="177"/>
      <c r="S419" s="35"/>
      <c r="T419" s="35"/>
      <c r="U419" s="13"/>
      <c r="V419" s="13"/>
      <c r="W419" s="13"/>
      <c r="X419" s="13"/>
      <c r="Y419" s="13"/>
      <c r="Z419" s="13"/>
      <c r="AA419" s="13"/>
      <c r="AB419" s="13"/>
      <c r="AC419" s="13"/>
    </row>
    <row r="420" ht="16.5" customHeight="1">
      <c r="A420" s="13"/>
      <c r="B420" s="13"/>
      <c r="C420" s="13"/>
      <c r="D420" s="13"/>
      <c r="E420" s="13"/>
      <c r="F420" s="13"/>
      <c r="G420" s="13"/>
      <c r="H420" s="13"/>
      <c r="I420" s="13"/>
      <c r="J420" s="13"/>
      <c r="K420" s="185"/>
      <c r="L420" s="186"/>
      <c r="M420" s="13"/>
      <c r="N420" s="13"/>
      <c r="O420" s="185"/>
      <c r="P420" s="13"/>
      <c r="Q420" s="13"/>
      <c r="R420" s="177"/>
      <c r="S420" s="35"/>
      <c r="T420" s="35"/>
      <c r="U420" s="13"/>
      <c r="V420" s="13"/>
      <c r="W420" s="13"/>
      <c r="X420" s="13"/>
      <c r="Y420" s="13"/>
      <c r="Z420" s="13"/>
      <c r="AA420" s="13"/>
      <c r="AB420" s="13"/>
      <c r="AC420" s="13"/>
    </row>
    <row r="421" ht="16.5" customHeight="1">
      <c r="A421" s="13"/>
      <c r="B421" s="13"/>
      <c r="C421" s="13"/>
      <c r="D421" s="13"/>
      <c r="E421" s="13"/>
      <c r="F421" s="13"/>
      <c r="G421" s="13"/>
      <c r="H421" s="13"/>
      <c r="I421" s="13"/>
      <c r="J421" s="13"/>
      <c r="K421" s="185"/>
      <c r="L421" s="186"/>
      <c r="M421" s="13"/>
      <c r="N421" s="13"/>
      <c r="O421" s="185"/>
      <c r="P421" s="13"/>
      <c r="Q421" s="13"/>
      <c r="R421" s="177"/>
      <c r="S421" s="35"/>
      <c r="T421" s="35"/>
      <c r="U421" s="13"/>
      <c r="V421" s="13"/>
      <c r="W421" s="13"/>
      <c r="X421" s="13"/>
      <c r="Y421" s="13"/>
      <c r="Z421" s="13"/>
      <c r="AA421" s="13"/>
      <c r="AB421" s="13"/>
      <c r="AC421" s="13"/>
    </row>
    <row r="422" ht="16.5" customHeight="1">
      <c r="A422" s="13"/>
      <c r="B422" s="13"/>
      <c r="C422" s="13"/>
      <c r="D422" s="13"/>
      <c r="E422" s="13"/>
      <c r="F422" s="13"/>
      <c r="G422" s="13"/>
      <c r="H422" s="13"/>
      <c r="I422" s="13"/>
      <c r="J422" s="13"/>
      <c r="K422" s="185"/>
      <c r="L422" s="186"/>
      <c r="M422" s="13"/>
      <c r="N422" s="13"/>
      <c r="O422" s="185"/>
      <c r="P422" s="13"/>
      <c r="Q422" s="13"/>
      <c r="R422" s="177"/>
      <c r="S422" s="35"/>
      <c r="T422" s="35"/>
      <c r="U422" s="13"/>
      <c r="V422" s="13"/>
      <c r="W422" s="13"/>
      <c r="X422" s="13"/>
      <c r="Y422" s="13"/>
      <c r="Z422" s="13"/>
      <c r="AA422" s="13"/>
      <c r="AB422" s="13"/>
      <c r="AC422" s="13"/>
    </row>
    <row r="423" ht="16.5" customHeight="1">
      <c r="A423" s="13"/>
      <c r="B423" s="13"/>
      <c r="C423" s="13"/>
      <c r="D423" s="13"/>
      <c r="E423" s="13"/>
      <c r="F423" s="13"/>
      <c r="G423" s="13"/>
      <c r="H423" s="13"/>
      <c r="I423" s="13"/>
      <c r="J423" s="13"/>
      <c r="K423" s="185"/>
      <c r="L423" s="186"/>
      <c r="M423" s="13"/>
      <c r="N423" s="13"/>
      <c r="O423" s="185"/>
      <c r="P423" s="13"/>
      <c r="Q423" s="13"/>
      <c r="R423" s="177"/>
      <c r="S423" s="35"/>
      <c r="T423" s="35"/>
      <c r="U423" s="13"/>
      <c r="V423" s="13"/>
      <c r="W423" s="13"/>
      <c r="X423" s="13"/>
      <c r="Y423" s="13"/>
      <c r="Z423" s="13"/>
      <c r="AA423" s="13"/>
      <c r="AB423" s="13"/>
      <c r="AC423" s="13"/>
    </row>
    <row r="424" ht="16.5" customHeight="1">
      <c r="A424" s="13"/>
      <c r="B424" s="13"/>
      <c r="C424" s="13"/>
      <c r="D424" s="13"/>
      <c r="E424" s="13"/>
      <c r="F424" s="13"/>
      <c r="G424" s="13"/>
      <c r="H424" s="13"/>
      <c r="I424" s="13"/>
      <c r="J424" s="13"/>
      <c r="K424" s="185"/>
      <c r="L424" s="186"/>
      <c r="M424" s="13"/>
      <c r="N424" s="13"/>
      <c r="O424" s="185"/>
      <c r="P424" s="13"/>
      <c r="Q424" s="13"/>
      <c r="R424" s="177"/>
      <c r="S424" s="35"/>
      <c r="T424" s="35"/>
      <c r="U424" s="13"/>
      <c r="V424" s="13"/>
      <c r="W424" s="13"/>
      <c r="X424" s="13"/>
      <c r="Y424" s="13"/>
      <c r="Z424" s="13"/>
      <c r="AA424" s="13"/>
      <c r="AB424" s="13"/>
      <c r="AC424" s="13"/>
    </row>
    <row r="425" ht="16.5" customHeight="1">
      <c r="A425" s="13"/>
      <c r="B425" s="13"/>
      <c r="C425" s="13"/>
      <c r="D425" s="13"/>
      <c r="E425" s="13"/>
      <c r="F425" s="13"/>
      <c r="G425" s="13"/>
      <c r="H425" s="13"/>
      <c r="I425" s="13"/>
      <c r="J425" s="13"/>
      <c r="K425" s="185"/>
      <c r="L425" s="186"/>
      <c r="M425" s="13"/>
      <c r="N425" s="13"/>
      <c r="O425" s="185"/>
      <c r="P425" s="13"/>
      <c r="Q425" s="13"/>
      <c r="R425" s="177"/>
      <c r="S425" s="35"/>
      <c r="T425" s="35"/>
      <c r="U425" s="13"/>
      <c r="V425" s="13"/>
      <c r="W425" s="13"/>
      <c r="X425" s="13"/>
      <c r="Y425" s="13"/>
      <c r="Z425" s="13"/>
      <c r="AA425" s="13"/>
      <c r="AB425" s="13"/>
      <c r="AC425" s="13"/>
    </row>
    <row r="426" ht="16.5" customHeight="1">
      <c r="A426" s="13"/>
      <c r="B426" s="13"/>
      <c r="C426" s="13"/>
      <c r="D426" s="13"/>
      <c r="E426" s="13"/>
      <c r="F426" s="13"/>
      <c r="G426" s="13"/>
      <c r="H426" s="13"/>
      <c r="I426" s="13"/>
      <c r="J426" s="13"/>
      <c r="K426" s="185"/>
      <c r="L426" s="186"/>
      <c r="M426" s="13"/>
      <c r="N426" s="13"/>
      <c r="O426" s="185"/>
      <c r="P426" s="13"/>
      <c r="Q426" s="13"/>
      <c r="R426" s="177"/>
      <c r="S426" s="35"/>
      <c r="T426" s="35"/>
      <c r="U426" s="13"/>
      <c r="V426" s="13"/>
      <c r="W426" s="13"/>
      <c r="X426" s="13"/>
      <c r="Y426" s="13"/>
      <c r="Z426" s="13"/>
      <c r="AA426" s="13"/>
      <c r="AB426" s="13"/>
      <c r="AC426" s="13"/>
    </row>
    <row r="427" ht="16.5" customHeight="1">
      <c r="A427" s="13"/>
      <c r="B427" s="13"/>
      <c r="C427" s="13"/>
      <c r="D427" s="13"/>
      <c r="E427" s="13"/>
      <c r="F427" s="13"/>
      <c r="G427" s="13"/>
      <c r="H427" s="13"/>
      <c r="I427" s="13"/>
      <c r="J427" s="13"/>
      <c r="K427" s="185"/>
      <c r="L427" s="186"/>
      <c r="M427" s="13"/>
      <c r="N427" s="13"/>
      <c r="O427" s="185"/>
      <c r="P427" s="13"/>
      <c r="Q427" s="13"/>
      <c r="R427" s="177"/>
      <c r="S427" s="35"/>
      <c r="T427" s="35"/>
      <c r="U427" s="13"/>
      <c r="V427" s="13"/>
      <c r="W427" s="13"/>
      <c r="X427" s="13"/>
      <c r="Y427" s="13"/>
      <c r="Z427" s="13"/>
      <c r="AA427" s="13"/>
      <c r="AB427" s="13"/>
      <c r="AC427" s="13"/>
    </row>
    <row r="428" ht="16.5" customHeight="1">
      <c r="A428" s="13"/>
      <c r="B428" s="13"/>
      <c r="C428" s="13"/>
      <c r="D428" s="13"/>
      <c r="E428" s="13"/>
      <c r="F428" s="13"/>
      <c r="G428" s="13"/>
      <c r="H428" s="13"/>
      <c r="I428" s="13"/>
      <c r="J428" s="13"/>
      <c r="K428" s="185"/>
      <c r="L428" s="186"/>
      <c r="M428" s="13"/>
      <c r="N428" s="13"/>
      <c r="O428" s="185"/>
      <c r="P428" s="13"/>
      <c r="Q428" s="13"/>
      <c r="R428" s="177"/>
      <c r="S428" s="35"/>
      <c r="T428" s="35"/>
      <c r="U428" s="13"/>
      <c r="V428" s="13"/>
      <c r="W428" s="13"/>
      <c r="X428" s="13"/>
      <c r="Y428" s="13"/>
      <c r="Z428" s="13"/>
      <c r="AA428" s="13"/>
      <c r="AB428" s="13"/>
      <c r="AC428" s="13"/>
    </row>
    <row r="429" ht="16.5" customHeight="1">
      <c r="A429" s="13"/>
      <c r="B429" s="13"/>
      <c r="C429" s="13"/>
      <c r="D429" s="13"/>
      <c r="E429" s="13"/>
      <c r="F429" s="13"/>
      <c r="G429" s="13"/>
      <c r="H429" s="13"/>
      <c r="I429" s="13"/>
      <c r="J429" s="13"/>
      <c r="K429" s="185"/>
      <c r="L429" s="186"/>
      <c r="M429" s="13"/>
      <c r="N429" s="13"/>
      <c r="O429" s="185"/>
      <c r="P429" s="13"/>
      <c r="Q429" s="13"/>
      <c r="R429" s="177"/>
      <c r="S429" s="35"/>
      <c r="T429" s="35"/>
      <c r="U429" s="13"/>
      <c r="V429" s="13"/>
      <c r="W429" s="13"/>
      <c r="X429" s="13"/>
      <c r="Y429" s="13"/>
      <c r="Z429" s="13"/>
      <c r="AA429" s="13"/>
      <c r="AB429" s="13"/>
      <c r="AC429" s="13"/>
    </row>
    <row r="430" ht="16.5" customHeight="1">
      <c r="A430" s="13"/>
      <c r="B430" s="13"/>
      <c r="C430" s="13"/>
      <c r="D430" s="13"/>
      <c r="E430" s="13"/>
      <c r="F430" s="13"/>
      <c r="G430" s="13"/>
      <c r="H430" s="13"/>
      <c r="I430" s="13"/>
      <c r="J430" s="13"/>
      <c r="K430" s="185"/>
      <c r="L430" s="186"/>
      <c r="M430" s="13"/>
      <c r="N430" s="13"/>
      <c r="O430" s="185"/>
      <c r="P430" s="13"/>
      <c r="Q430" s="13"/>
      <c r="R430" s="177"/>
      <c r="S430" s="35"/>
      <c r="T430" s="35"/>
      <c r="U430" s="13"/>
      <c r="V430" s="13"/>
      <c r="W430" s="13"/>
      <c r="X430" s="13"/>
      <c r="Y430" s="13"/>
      <c r="Z430" s="13"/>
      <c r="AA430" s="13"/>
      <c r="AB430" s="13"/>
      <c r="AC430" s="13"/>
    </row>
    <row r="431" ht="16.5" customHeight="1">
      <c r="A431" s="13"/>
      <c r="B431" s="13"/>
      <c r="C431" s="13"/>
      <c r="D431" s="13"/>
      <c r="E431" s="13"/>
      <c r="F431" s="13"/>
      <c r="G431" s="13"/>
      <c r="H431" s="13"/>
      <c r="I431" s="13"/>
      <c r="J431" s="13"/>
      <c r="K431" s="185"/>
      <c r="L431" s="186"/>
      <c r="M431" s="13"/>
      <c r="N431" s="13"/>
      <c r="O431" s="185"/>
      <c r="P431" s="13"/>
      <c r="Q431" s="13"/>
      <c r="R431" s="177"/>
      <c r="S431" s="35"/>
      <c r="T431" s="35"/>
      <c r="U431" s="13"/>
      <c r="V431" s="13"/>
      <c r="W431" s="13"/>
      <c r="X431" s="13"/>
      <c r="Y431" s="13"/>
      <c r="Z431" s="13"/>
      <c r="AA431" s="13"/>
      <c r="AB431" s="13"/>
      <c r="AC431" s="13"/>
    </row>
    <row r="432" ht="16.5" customHeight="1">
      <c r="A432" s="13"/>
      <c r="B432" s="13"/>
      <c r="C432" s="13"/>
      <c r="D432" s="13"/>
      <c r="E432" s="13"/>
      <c r="F432" s="13"/>
      <c r="G432" s="13"/>
      <c r="H432" s="13"/>
      <c r="I432" s="13"/>
      <c r="J432" s="13"/>
      <c r="K432" s="185"/>
      <c r="L432" s="186"/>
      <c r="M432" s="13"/>
      <c r="N432" s="13"/>
      <c r="O432" s="185"/>
      <c r="P432" s="13"/>
      <c r="Q432" s="13"/>
      <c r="R432" s="177"/>
      <c r="S432" s="35"/>
      <c r="T432" s="35"/>
      <c r="U432" s="13"/>
      <c r="V432" s="13"/>
      <c r="W432" s="13"/>
      <c r="X432" s="13"/>
      <c r="Y432" s="13"/>
      <c r="Z432" s="13"/>
      <c r="AA432" s="13"/>
      <c r="AB432" s="13"/>
      <c r="AC432" s="13"/>
    </row>
    <row r="433" ht="16.5" customHeight="1">
      <c r="A433" s="13"/>
      <c r="B433" s="13"/>
      <c r="C433" s="13"/>
      <c r="D433" s="13"/>
      <c r="E433" s="13"/>
      <c r="F433" s="13"/>
      <c r="G433" s="13"/>
      <c r="H433" s="13"/>
      <c r="I433" s="13"/>
      <c r="J433" s="13"/>
      <c r="K433" s="185"/>
      <c r="L433" s="186"/>
      <c r="M433" s="13"/>
      <c r="N433" s="13"/>
      <c r="O433" s="185"/>
      <c r="P433" s="13"/>
      <c r="Q433" s="13"/>
      <c r="R433" s="177"/>
      <c r="S433" s="35"/>
      <c r="T433" s="35"/>
      <c r="U433" s="13"/>
      <c r="V433" s="13"/>
      <c r="W433" s="13"/>
      <c r="X433" s="13"/>
      <c r="Y433" s="13"/>
      <c r="Z433" s="13"/>
      <c r="AA433" s="13"/>
      <c r="AB433" s="13"/>
      <c r="AC433" s="13"/>
    </row>
    <row r="434" ht="16.5" customHeight="1">
      <c r="A434" s="13"/>
      <c r="B434" s="13"/>
      <c r="C434" s="13"/>
      <c r="D434" s="13"/>
      <c r="E434" s="13"/>
      <c r="F434" s="13"/>
      <c r="G434" s="13"/>
      <c r="H434" s="13"/>
      <c r="I434" s="13"/>
      <c r="J434" s="13"/>
      <c r="K434" s="185"/>
      <c r="L434" s="186"/>
      <c r="M434" s="13"/>
      <c r="N434" s="13"/>
      <c r="O434" s="185"/>
      <c r="P434" s="13"/>
      <c r="Q434" s="13"/>
      <c r="R434" s="177"/>
      <c r="S434" s="35"/>
      <c r="T434" s="35"/>
      <c r="U434" s="13"/>
      <c r="V434" s="13"/>
      <c r="W434" s="13"/>
      <c r="X434" s="13"/>
      <c r="Y434" s="13"/>
      <c r="Z434" s="13"/>
      <c r="AA434" s="13"/>
      <c r="AB434" s="13"/>
      <c r="AC434" s="13"/>
    </row>
    <row r="435" ht="16.5" customHeight="1">
      <c r="A435" s="13"/>
      <c r="B435" s="13"/>
      <c r="C435" s="13"/>
      <c r="D435" s="13"/>
      <c r="E435" s="13"/>
      <c r="F435" s="13"/>
      <c r="G435" s="13"/>
      <c r="H435" s="13"/>
      <c r="I435" s="13"/>
      <c r="J435" s="13"/>
      <c r="K435" s="185"/>
      <c r="L435" s="186"/>
      <c r="M435" s="13"/>
      <c r="N435" s="13"/>
      <c r="O435" s="185"/>
      <c r="P435" s="13"/>
      <c r="Q435" s="13"/>
      <c r="R435" s="177"/>
      <c r="S435" s="35"/>
      <c r="T435" s="35"/>
      <c r="U435" s="13"/>
      <c r="V435" s="13"/>
      <c r="W435" s="13"/>
      <c r="X435" s="13"/>
      <c r="Y435" s="13"/>
      <c r="Z435" s="13"/>
      <c r="AA435" s="13"/>
      <c r="AB435" s="13"/>
      <c r="AC435" s="13"/>
    </row>
    <row r="436" ht="16.5" customHeight="1">
      <c r="A436" s="13"/>
      <c r="B436" s="13"/>
      <c r="C436" s="13"/>
      <c r="D436" s="13"/>
      <c r="E436" s="13"/>
      <c r="F436" s="13"/>
      <c r="G436" s="13"/>
      <c r="H436" s="13"/>
      <c r="I436" s="13"/>
      <c r="J436" s="13"/>
      <c r="K436" s="185"/>
      <c r="L436" s="186"/>
      <c r="M436" s="13"/>
      <c r="N436" s="13"/>
      <c r="O436" s="185"/>
      <c r="P436" s="13"/>
      <c r="Q436" s="13"/>
      <c r="R436" s="177"/>
      <c r="S436" s="35"/>
      <c r="T436" s="35"/>
      <c r="U436" s="13"/>
      <c r="V436" s="13"/>
      <c r="W436" s="13"/>
      <c r="X436" s="13"/>
      <c r="Y436" s="13"/>
      <c r="Z436" s="13"/>
      <c r="AA436" s="13"/>
      <c r="AB436" s="13"/>
      <c r="AC436" s="13"/>
    </row>
    <row r="437" ht="16.5" customHeight="1">
      <c r="A437" s="13"/>
      <c r="B437" s="13"/>
      <c r="C437" s="13"/>
      <c r="D437" s="13"/>
      <c r="E437" s="13"/>
      <c r="F437" s="13"/>
      <c r="G437" s="13"/>
      <c r="H437" s="13"/>
      <c r="I437" s="13"/>
      <c r="J437" s="13"/>
      <c r="K437" s="185"/>
      <c r="L437" s="186"/>
      <c r="M437" s="13"/>
      <c r="N437" s="13"/>
      <c r="O437" s="185"/>
      <c r="P437" s="13"/>
      <c r="Q437" s="13"/>
      <c r="R437" s="177"/>
      <c r="S437" s="35"/>
      <c r="T437" s="35"/>
      <c r="U437" s="13"/>
      <c r="V437" s="13"/>
      <c r="W437" s="13"/>
      <c r="X437" s="13"/>
      <c r="Y437" s="13"/>
      <c r="Z437" s="13"/>
      <c r="AA437" s="13"/>
      <c r="AB437" s="13"/>
      <c r="AC437" s="13"/>
    </row>
    <row r="438" ht="16.5" customHeight="1">
      <c r="A438" s="13"/>
      <c r="B438" s="13"/>
      <c r="C438" s="13"/>
      <c r="D438" s="13"/>
      <c r="E438" s="13"/>
      <c r="F438" s="13"/>
      <c r="G438" s="13"/>
      <c r="H438" s="13"/>
      <c r="I438" s="13"/>
      <c r="J438" s="13"/>
      <c r="K438" s="185"/>
      <c r="L438" s="186"/>
      <c r="M438" s="13"/>
      <c r="N438" s="13"/>
      <c r="O438" s="185"/>
      <c r="P438" s="13"/>
      <c r="Q438" s="13"/>
      <c r="R438" s="177"/>
      <c r="S438" s="35"/>
      <c r="T438" s="35"/>
      <c r="U438" s="13"/>
      <c r="V438" s="13"/>
      <c r="W438" s="13"/>
      <c r="X438" s="13"/>
      <c r="Y438" s="13"/>
      <c r="Z438" s="13"/>
      <c r="AA438" s="13"/>
      <c r="AB438" s="13"/>
      <c r="AC438" s="13"/>
    </row>
    <row r="439" ht="16.5" customHeight="1">
      <c r="A439" s="13"/>
      <c r="B439" s="13"/>
      <c r="C439" s="13"/>
      <c r="D439" s="13"/>
      <c r="E439" s="13"/>
      <c r="F439" s="13"/>
      <c r="G439" s="13"/>
      <c r="H439" s="13"/>
      <c r="I439" s="13"/>
      <c r="J439" s="13"/>
      <c r="K439" s="185"/>
      <c r="L439" s="186"/>
      <c r="M439" s="13"/>
      <c r="N439" s="13"/>
      <c r="O439" s="185"/>
      <c r="P439" s="13"/>
      <c r="Q439" s="13"/>
      <c r="R439" s="177"/>
      <c r="S439" s="35"/>
      <c r="T439" s="35"/>
      <c r="U439" s="13"/>
      <c r="V439" s="13"/>
      <c r="W439" s="13"/>
      <c r="X439" s="13"/>
      <c r="Y439" s="13"/>
      <c r="Z439" s="13"/>
      <c r="AA439" s="13"/>
      <c r="AB439" s="13"/>
      <c r="AC439" s="13"/>
    </row>
    <row r="440" ht="16.5" customHeight="1">
      <c r="A440" s="13"/>
      <c r="B440" s="13"/>
      <c r="C440" s="13"/>
      <c r="D440" s="13"/>
      <c r="E440" s="13"/>
      <c r="F440" s="13"/>
      <c r="G440" s="13"/>
      <c r="H440" s="13"/>
      <c r="I440" s="13"/>
      <c r="J440" s="13"/>
      <c r="K440" s="185"/>
      <c r="L440" s="186"/>
      <c r="M440" s="13"/>
      <c r="N440" s="13"/>
      <c r="O440" s="185"/>
      <c r="P440" s="13"/>
      <c r="Q440" s="13"/>
      <c r="R440" s="177"/>
      <c r="S440" s="35"/>
      <c r="T440" s="35"/>
      <c r="U440" s="13"/>
      <c r="V440" s="13"/>
      <c r="W440" s="13"/>
      <c r="X440" s="13"/>
      <c r="Y440" s="13"/>
      <c r="Z440" s="13"/>
      <c r="AA440" s="13"/>
      <c r="AB440" s="13"/>
      <c r="AC440" s="13"/>
    </row>
    <row r="441" ht="16.5" customHeight="1">
      <c r="A441" s="13"/>
      <c r="B441" s="13"/>
      <c r="C441" s="13"/>
      <c r="D441" s="13"/>
      <c r="E441" s="13"/>
      <c r="F441" s="13"/>
      <c r="G441" s="13"/>
      <c r="H441" s="13"/>
      <c r="I441" s="13"/>
      <c r="J441" s="13"/>
      <c r="K441" s="185"/>
      <c r="L441" s="186"/>
      <c r="M441" s="13"/>
      <c r="N441" s="13"/>
      <c r="O441" s="185"/>
      <c r="P441" s="13"/>
      <c r="Q441" s="13"/>
      <c r="R441" s="177"/>
      <c r="S441" s="35"/>
      <c r="T441" s="35"/>
      <c r="U441" s="13"/>
      <c r="V441" s="13"/>
      <c r="W441" s="13"/>
      <c r="X441" s="13"/>
      <c r="Y441" s="13"/>
      <c r="Z441" s="13"/>
      <c r="AA441" s="13"/>
      <c r="AB441" s="13"/>
      <c r="AC441" s="13"/>
    </row>
    <row r="442" ht="16.5" customHeight="1">
      <c r="A442" s="13"/>
      <c r="B442" s="13"/>
      <c r="C442" s="13"/>
      <c r="D442" s="13"/>
      <c r="E442" s="13"/>
      <c r="F442" s="13"/>
      <c r="G442" s="13"/>
      <c r="H442" s="13"/>
      <c r="I442" s="13"/>
      <c r="J442" s="13"/>
      <c r="K442" s="185"/>
      <c r="L442" s="186"/>
      <c r="M442" s="13"/>
      <c r="N442" s="13"/>
      <c r="O442" s="185"/>
      <c r="P442" s="13"/>
      <c r="Q442" s="13"/>
      <c r="R442" s="177"/>
      <c r="S442" s="35"/>
      <c r="T442" s="35"/>
      <c r="U442" s="13"/>
      <c r="V442" s="13"/>
      <c r="W442" s="13"/>
      <c r="X442" s="13"/>
      <c r="Y442" s="13"/>
      <c r="Z442" s="13"/>
      <c r="AA442" s="13"/>
      <c r="AB442" s="13"/>
      <c r="AC442" s="13"/>
    </row>
    <row r="443" ht="16.5" customHeight="1">
      <c r="A443" s="13"/>
      <c r="B443" s="13"/>
      <c r="C443" s="13"/>
      <c r="D443" s="13"/>
      <c r="E443" s="13"/>
      <c r="F443" s="13"/>
      <c r="G443" s="13"/>
      <c r="H443" s="13"/>
      <c r="I443" s="13"/>
      <c r="J443" s="13"/>
      <c r="K443" s="185"/>
      <c r="L443" s="186"/>
      <c r="M443" s="13"/>
      <c r="N443" s="13"/>
      <c r="O443" s="185"/>
      <c r="P443" s="13"/>
      <c r="Q443" s="13"/>
      <c r="R443" s="177"/>
      <c r="S443" s="35"/>
      <c r="T443" s="35"/>
      <c r="U443" s="13"/>
      <c r="V443" s="13"/>
      <c r="W443" s="13"/>
      <c r="X443" s="13"/>
      <c r="Y443" s="13"/>
      <c r="Z443" s="13"/>
      <c r="AA443" s="13"/>
      <c r="AB443" s="13"/>
      <c r="AC443" s="13"/>
    </row>
    <row r="444" ht="16.5" customHeight="1">
      <c r="A444" s="13"/>
      <c r="B444" s="13"/>
      <c r="C444" s="13"/>
      <c r="D444" s="13"/>
      <c r="E444" s="13"/>
      <c r="F444" s="13"/>
      <c r="G444" s="13"/>
      <c r="H444" s="13"/>
      <c r="I444" s="13"/>
      <c r="J444" s="13"/>
      <c r="K444" s="185"/>
      <c r="L444" s="186"/>
      <c r="M444" s="13"/>
      <c r="N444" s="13"/>
      <c r="O444" s="185"/>
      <c r="P444" s="13"/>
      <c r="Q444" s="13"/>
      <c r="R444" s="177"/>
      <c r="S444" s="35"/>
      <c r="T444" s="35"/>
      <c r="U444" s="13"/>
      <c r="V444" s="13"/>
      <c r="W444" s="13"/>
      <c r="X444" s="13"/>
      <c r="Y444" s="13"/>
      <c r="Z444" s="13"/>
      <c r="AA444" s="13"/>
      <c r="AB444" s="13"/>
      <c r="AC444" s="13"/>
    </row>
    <row r="445" ht="16.5" customHeight="1">
      <c r="A445" s="13"/>
      <c r="B445" s="13"/>
      <c r="C445" s="13"/>
      <c r="D445" s="13"/>
      <c r="E445" s="13"/>
      <c r="F445" s="13"/>
      <c r="G445" s="13"/>
      <c r="H445" s="13"/>
      <c r="I445" s="13"/>
      <c r="J445" s="13"/>
      <c r="K445" s="185"/>
      <c r="L445" s="186"/>
      <c r="M445" s="13"/>
      <c r="N445" s="13"/>
      <c r="O445" s="185"/>
      <c r="P445" s="13"/>
      <c r="Q445" s="13"/>
      <c r="R445" s="177"/>
      <c r="S445" s="35"/>
      <c r="T445" s="35"/>
      <c r="U445" s="13"/>
      <c r="V445" s="13"/>
      <c r="W445" s="13"/>
      <c r="X445" s="13"/>
      <c r="Y445" s="13"/>
      <c r="Z445" s="13"/>
      <c r="AA445" s="13"/>
      <c r="AB445" s="13"/>
      <c r="AC445" s="13"/>
    </row>
    <row r="446" ht="16.5" customHeight="1">
      <c r="A446" s="13"/>
      <c r="B446" s="13"/>
      <c r="C446" s="13"/>
      <c r="D446" s="13"/>
      <c r="E446" s="13"/>
      <c r="F446" s="13"/>
      <c r="G446" s="13"/>
      <c r="H446" s="13"/>
      <c r="I446" s="13"/>
      <c r="J446" s="13"/>
      <c r="K446" s="185"/>
      <c r="L446" s="186"/>
      <c r="M446" s="13"/>
      <c r="N446" s="13"/>
      <c r="O446" s="185"/>
      <c r="P446" s="13"/>
      <c r="Q446" s="13"/>
      <c r="R446" s="177"/>
      <c r="S446" s="35"/>
      <c r="T446" s="35"/>
      <c r="U446" s="13"/>
      <c r="V446" s="13"/>
      <c r="W446" s="13"/>
      <c r="X446" s="13"/>
      <c r="Y446" s="13"/>
      <c r="Z446" s="13"/>
      <c r="AA446" s="13"/>
      <c r="AB446" s="13"/>
      <c r="AC446" s="13"/>
    </row>
    <row r="447" ht="16.5" customHeight="1">
      <c r="A447" s="13"/>
      <c r="B447" s="13"/>
      <c r="C447" s="13"/>
      <c r="D447" s="13"/>
      <c r="E447" s="13"/>
      <c r="F447" s="13"/>
      <c r="G447" s="13"/>
      <c r="H447" s="13"/>
      <c r="I447" s="13"/>
      <c r="J447" s="13"/>
      <c r="K447" s="185"/>
      <c r="L447" s="186"/>
      <c r="M447" s="13"/>
      <c r="N447" s="13"/>
      <c r="O447" s="185"/>
      <c r="P447" s="13"/>
      <c r="Q447" s="13"/>
      <c r="R447" s="177"/>
      <c r="S447" s="35"/>
      <c r="T447" s="35"/>
      <c r="U447" s="13"/>
      <c r="V447" s="13"/>
      <c r="W447" s="13"/>
      <c r="X447" s="13"/>
      <c r="Y447" s="13"/>
      <c r="Z447" s="13"/>
      <c r="AA447" s="13"/>
      <c r="AB447" s="13"/>
      <c r="AC447" s="13"/>
    </row>
    <row r="448" ht="16.5" customHeight="1">
      <c r="A448" s="13"/>
      <c r="B448" s="13"/>
      <c r="C448" s="13"/>
      <c r="D448" s="13"/>
      <c r="E448" s="13"/>
      <c r="F448" s="13"/>
      <c r="G448" s="13"/>
      <c r="H448" s="13"/>
      <c r="I448" s="13"/>
      <c r="J448" s="13"/>
      <c r="K448" s="185"/>
      <c r="L448" s="186"/>
      <c r="M448" s="13"/>
      <c r="N448" s="13"/>
      <c r="O448" s="185"/>
      <c r="P448" s="13"/>
      <c r="Q448" s="13"/>
      <c r="R448" s="177"/>
      <c r="S448" s="35"/>
      <c r="T448" s="35"/>
      <c r="U448" s="13"/>
      <c r="V448" s="13"/>
      <c r="W448" s="13"/>
      <c r="X448" s="13"/>
      <c r="Y448" s="13"/>
      <c r="Z448" s="13"/>
      <c r="AA448" s="13"/>
      <c r="AB448" s="13"/>
      <c r="AC448" s="13"/>
    </row>
    <row r="449" ht="16.5" customHeight="1">
      <c r="A449" s="13"/>
      <c r="B449" s="13"/>
      <c r="C449" s="13"/>
      <c r="D449" s="13"/>
      <c r="E449" s="13"/>
      <c r="F449" s="13"/>
      <c r="G449" s="13"/>
      <c r="H449" s="13"/>
      <c r="I449" s="13"/>
      <c r="J449" s="13"/>
      <c r="K449" s="185"/>
      <c r="L449" s="186"/>
      <c r="M449" s="13"/>
      <c r="N449" s="13"/>
      <c r="O449" s="185"/>
      <c r="P449" s="13"/>
      <c r="Q449" s="13"/>
      <c r="R449" s="177"/>
      <c r="S449" s="35"/>
      <c r="T449" s="35"/>
      <c r="U449" s="13"/>
      <c r="V449" s="13"/>
      <c r="W449" s="13"/>
      <c r="X449" s="13"/>
      <c r="Y449" s="13"/>
      <c r="Z449" s="13"/>
      <c r="AA449" s="13"/>
      <c r="AB449" s="13"/>
      <c r="AC449" s="13"/>
    </row>
    <row r="450" ht="16.5" customHeight="1">
      <c r="A450" s="13"/>
      <c r="B450" s="13"/>
      <c r="C450" s="13"/>
      <c r="D450" s="13"/>
      <c r="E450" s="13"/>
      <c r="F450" s="13"/>
      <c r="G450" s="13"/>
      <c r="H450" s="13"/>
      <c r="I450" s="13"/>
      <c r="J450" s="13"/>
      <c r="K450" s="185"/>
      <c r="L450" s="186"/>
      <c r="M450" s="13"/>
      <c r="N450" s="13"/>
      <c r="O450" s="185"/>
      <c r="P450" s="13"/>
      <c r="Q450" s="13"/>
      <c r="R450" s="177"/>
      <c r="S450" s="35"/>
      <c r="T450" s="35"/>
      <c r="U450" s="13"/>
      <c r="V450" s="13"/>
      <c r="W450" s="13"/>
      <c r="X450" s="13"/>
      <c r="Y450" s="13"/>
      <c r="Z450" s="13"/>
      <c r="AA450" s="13"/>
      <c r="AB450" s="13"/>
      <c r="AC450" s="13"/>
    </row>
    <row r="451" ht="16.5" customHeight="1">
      <c r="A451" s="13"/>
      <c r="B451" s="13"/>
      <c r="C451" s="13"/>
      <c r="D451" s="13"/>
      <c r="E451" s="13"/>
      <c r="F451" s="13"/>
      <c r="G451" s="13"/>
      <c r="H451" s="13"/>
      <c r="I451" s="13"/>
      <c r="J451" s="13"/>
      <c r="K451" s="185"/>
      <c r="L451" s="186"/>
      <c r="M451" s="13"/>
      <c r="N451" s="13"/>
      <c r="O451" s="185"/>
      <c r="P451" s="13"/>
      <c r="Q451" s="13"/>
      <c r="R451" s="177"/>
      <c r="S451" s="35"/>
      <c r="T451" s="35"/>
      <c r="U451" s="13"/>
      <c r="V451" s="13"/>
      <c r="W451" s="13"/>
      <c r="X451" s="13"/>
      <c r="Y451" s="13"/>
      <c r="Z451" s="13"/>
      <c r="AA451" s="13"/>
      <c r="AB451" s="13"/>
      <c r="AC451" s="13"/>
    </row>
    <row r="452" ht="16.5" customHeight="1">
      <c r="A452" s="13"/>
      <c r="B452" s="13"/>
      <c r="C452" s="13"/>
      <c r="D452" s="13"/>
      <c r="E452" s="13"/>
      <c r="F452" s="13"/>
      <c r="G452" s="13"/>
      <c r="H452" s="13"/>
      <c r="I452" s="13"/>
      <c r="J452" s="13"/>
      <c r="K452" s="185"/>
      <c r="L452" s="186"/>
      <c r="M452" s="13"/>
      <c r="N452" s="13"/>
      <c r="O452" s="185"/>
      <c r="P452" s="13"/>
      <c r="Q452" s="13"/>
      <c r="R452" s="177"/>
      <c r="S452" s="35"/>
      <c r="T452" s="35"/>
      <c r="U452" s="13"/>
      <c r="V452" s="13"/>
      <c r="W452" s="13"/>
      <c r="X452" s="13"/>
      <c r="Y452" s="13"/>
      <c r="Z452" s="13"/>
      <c r="AA452" s="13"/>
      <c r="AB452" s="13"/>
      <c r="AC452" s="13"/>
    </row>
    <row r="453" ht="16.5" customHeight="1">
      <c r="A453" s="13"/>
      <c r="B453" s="13"/>
      <c r="C453" s="13"/>
      <c r="D453" s="13"/>
      <c r="E453" s="13"/>
      <c r="F453" s="13"/>
      <c r="G453" s="13"/>
      <c r="H453" s="13"/>
      <c r="I453" s="13"/>
      <c r="J453" s="13"/>
      <c r="K453" s="185"/>
      <c r="L453" s="186"/>
      <c r="M453" s="13"/>
      <c r="N453" s="13"/>
      <c r="O453" s="185"/>
      <c r="P453" s="13"/>
      <c r="Q453" s="13"/>
      <c r="R453" s="177"/>
      <c r="S453" s="35"/>
      <c r="T453" s="35"/>
      <c r="U453" s="13"/>
      <c r="V453" s="13"/>
      <c r="W453" s="13"/>
      <c r="X453" s="13"/>
      <c r="Y453" s="13"/>
      <c r="Z453" s="13"/>
      <c r="AA453" s="13"/>
      <c r="AB453" s="13"/>
      <c r="AC453" s="13"/>
    </row>
    <row r="454" ht="16.5" customHeight="1">
      <c r="A454" s="13"/>
      <c r="B454" s="13"/>
      <c r="C454" s="13"/>
      <c r="D454" s="13"/>
      <c r="E454" s="13"/>
      <c r="F454" s="13"/>
      <c r="G454" s="13"/>
      <c r="H454" s="13"/>
      <c r="I454" s="13"/>
      <c r="J454" s="13"/>
      <c r="K454" s="185"/>
      <c r="L454" s="186"/>
      <c r="M454" s="13"/>
      <c r="N454" s="13"/>
      <c r="O454" s="185"/>
      <c r="P454" s="13"/>
      <c r="Q454" s="13"/>
      <c r="R454" s="177"/>
      <c r="S454" s="35"/>
      <c r="T454" s="35"/>
      <c r="U454" s="13"/>
      <c r="V454" s="13"/>
      <c r="W454" s="13"/>
      <c r="X454" s="13"/>
      <c r="Y454" s="13"/>
      <c r="Z454" s="13"/>
      <c r="AA454" s="13"/>
      <c r="AB454" s="13"/>
      <c r="AC454" s="13"/>
    </row>
    <row r="455" ht="16.5" customHeight="1">
      <c r="A455" s="13"/>
      <c r="B455" s="13"/>
      <c r="C455" s="13"/>
      <c r="D455" s="13"/>
      <c r="E455" s="13"/>
      <c r="F455" s="13"/>
      <c r="G455" s="13"/>
      <c r="H455" s="13"/>
      <c r="I455" s="13"/>
      <c r="J455" s="13"/>
      <c r="K455" s="185"/>
      <c r="L455" s="186"/>
      <c r="M455" s="13"/>
      <c r="N455" s="13"/>
      <c r="O455" s="185"/>
      <c r="P455" s="13"/>
      <c r="Q455" s="13"/>
      <c r="R455" s="177"/>
      <c r="S455" s="35"/>
      <c r="T455" s="35"/>
      <c r="U455" s="13"/>
      <c r="V455" s="13"/>
      <c r="W455" s="13"/>
      <c r="X455" s="13"/>
      <c r="Y455" s="13"/>
      <c r="Z455" s="13"/>
      <c r="AA455" s="13"/>
      <c r="AB455" s="13"/>
      <c r="AC455" s="13"/>
    </row>
    <row r="456" ht="16.5" customHeight="1">
      <c r="A456" s="13"/>
      <c r="B456" s="13"/>
      <c r="C456" s="13"/>
      <c r="D456" s="13"/>
      <c r="E456" s="13"/>
      <c r="F456" s="13"/>
      <c r="G456" s="13"/>
      <c r="H456" s="13"/>
      <c r="I456" s="13"/>
      <c r="J456" s="13"/>
      <c r="K456" s="185"/>
      <c r="L456" s="186"/>
      <c r="M456" s="13"/>
      <c r="N456" s="13"/>
      <c r="O456" s="185"/>
      <c r="P456" s="13"/>
      <c r="Q456" s="13"/>
      <c r="R456" s="177"/>
      <c r="S456" s="35"/>
      <c r="T456" s="35"/>
      <c r="U456" s="13"/>
      <c r="V456" s="13"/>
      <c r="W456" s="13"/>
      <c r="X456" s="13"/>
      <c r="Y456" s="13"/>
      <c r="Z456" s="13"/>
      <c r="AA456" s="13"/>
      <c r="AB456" s="13"/>
      <c r="AC456" s="13"/>
    </row>
    <row r="457" ht="16.5" customHeight="1">
      <c r="A457" s="13"/>
      <c r="B457" s="13"/>
      <c r="C457" s="13"/>
      <c r="D457" s="13"/>
      <c r="E457" s="13"/>
      <c r="F457" s="13"/>
      <c r="G457" s="13"/>
      <c r="H457" s="13"/>
      <c r="I457" s="13"/>
      <c r="J457" s="13"/>
      <c r="K457" s="185"/>
      <c r="L457" s="186"/>
      <c r="M457" s="13"/>
      <c r="N457" s="13"/>
      <c r="O457" s="185"/>
      <c r="P457" s="13"/>
      <c r="Q457" s="13"/>
      <c r="R457" s="177"/>
      <c r="S457" s="35"/>
      <c r="T457" s="35"/>
      <c r="U457" s="13"/>
      <c r="V457" s="13"/>
      <c r="W457" s="13"/>
      <c r="X457" s="13"/>
      <c r="Y457" s="13"/>
      <c r="Z457" s="13"/>
      <c r="AA457" s="13"/>
      <c r="AB457" s="13"/>
      <c r="AC457" s="13"/>
    </row>
    <row r="458" ht="16.5" customHeight="1">
      <c r="A458" s="13"/>
      <c r="B458" s="13"/>
      <c r="C458" s="13"/>
      <c r="D458" s="13"/>
      <c r="E458" s="13"/>
      <c r="F458" s="13"/>
      <c r="G458" s="13"/>
      <c r="H458" s="13"/>
      <c r="I458" s="13"/>
      <c r="J458" s="13"/>
      <c r="K458" s="185"/>
      <c r="L458" s="186"/>
      <c r="M458" s="13"/>
      <c r="N458" s="13"/>
      <c r="O458" s="185"/>
      <c r="P458" s="13"/>
      <c r="Q458" s="13"/>
      <c r="R458" s="177"/>
      <c r="S458" s="35"/>
      <c r="T458" s="35"/>
      <c r="U458" s="13"/>
      <c r="V458" s="13"/>
      <c r="W458" s="13"/>
      <c r="X458" s="13"/>
      <c r="Y458" s="13"/>
      <c r="Z458" s="13"/>
      <c r="AA458" s="13"/>
      <c r="AB458" s="13"/>
      <c r="AC458" s="13"/>
    </row>
    <row r="459" ht="16.5" customHeight="1">
      <c r="A459" s="13"/>
      <c r="B459" s="13"/>
      <c r="C459" s="13"/>
      <c r="D459" s="13"/>
      <c r="E459" s="13"/>
      <c r="F459" s="13"/>
      <c r="G459" s="13"/>
      <c r="H459" s="13"/>
      <c r="I459" s="13"/>
      <c r="J459" s="13"/>
      <c r="K459" s="185"/>
      <c r="L459" s="186"/>
      <c r="M459" s="13"/>
      <c r="N459" s="13"/>
      <c r="O459" s="185"/>
      <c r="P459" s="13"/>
      <c r="Q459" s="13"/>
      <c r="R459" s="177"/>
      <c r="S459" s="35"/>
      <c r="T459" s="35"/>
      <c r="U459" s="13"/>
      <c r="V459" s="13"/>
      <c r="W459" s="13"/>
      <c r="X459" s="13"/>
      <c r="Y459" s="13"/>
      <c r="Z459" s="13"/>
      <c r="AA459" s="13"/>
      <c r="AB459" s="13"/>
      <c r="AC459" s="13"/>
    </row>
    <row r="460" ht="16.5" customHeight="1">
      <c r="A460" s="13"/>
      <c r="B460" s="13"/>
      <c r="C460" s="13"/>
      <c r="D460" s="13"/>
      <c r="E460" s="13"/>
      <c r="F460" s="13"/>
      <c r="G460" s="13"/>
      <c r="H460" s="13"/>
      <c r="I460" s="13"/>
      <c r="J460" s="13"/>
      <c r="K460" s="185"/>
      <c r="L460" s="186"/>
      <c r="M460" s="13"/>
      <c r="N460" s="13"/>
      <c r="O460" s="185"/>
      <c r="P460" s="13"/>
      <c r="Q460" s="13"/>
      <c r="R460" s="177"/>
      <c r="S460" s="35"/>
      <c r="T460" s="35"/>
      <c r="U460" s="13"/>
      <c r="V460" s="13"/>
      <c r="W460" s="13"/>
      <c r="X460" s="13"/>
      <c r="Y460" s="13"/>
      <c r="Z460" s="13"/>
      <c r="AA460" s="13"/>
      <c r="AB460" s="13"/>
      <c r="AC460" s="13"/>
    </row>
    <row r="461" ht="16.5" customHeight="1">
      <c r="A461" s="13"/>
      <c r="B461" s="13"/>
      <c r="C461" s="13"/>
      <c r="D461" s="13"/>
      <c r="E461" s="13"/>
      <c r="F461" s="13"/>
      <c r="G461" s="13"/>
      <c r="H461" s="13"/>
      <c r="I461" s="13"/>
      <c r="J461" s="13"/>
      <c r="K461" s="185"/>
      <c r="L461" s="186"/>
      <c r="M461" s="13"/>
      <c r="N461" s="13"/>
      <c r="O461" s="185"/>
      <c r="P461" s="13"/>
      <c r="Q461" s="13"/>
      <c r="R461" s="177"/>
      <c r="S461" s="35"/>
      <c r="T461" s="35"/>
      <c r="U461" s="13"/>
      <c r="V461" s="13"/>
      <c r="W461" s="13"/>
      <c r="X461" s="13"/>
      <c r="Y461" s="13"/>
      <c r="Z461" s="13"/>
      <c r="AA461" s="13"/>
      <c r="AB461" s="13"/>
      <c r="AC461" s="13"/>
    </row>
    <row r="462" ht="16.5" customHeight="1">
      <c r="A462" s="13"/>
      <c r="B462" s="13"/>
      <c r="C462" s="13"/>
      <c r="D462" s="13"/>
      <c r="E462" s="13"/>
      <c r="F462" s="13"/>
      <c r="G462" s="13"/>
      <c r="H462" s="13"/>
      <c r="I462" s="13"/>
      <c r="J462" s="13"/>
      <c r="K462" s="185"/>
      <c r="L462" s="186"/>
      <c r="M462" s="13"/>
      <c r="N462" s="13"/>
      <c r="O462" s="185"/>
      <c r="P462" s="13"/>
      <c r="Q462" s="13"/>
      <c r="R462" s="177"/>
      <c r="S462" s="35"/>
      <c r="T462" s="35"/>
      <c r="U462" s="13"/>
      <c r="V462" s="13"/>
      <c r="W462" s="13"/>
      <c r="X462" s="13"/>
      <c r="Y462" s="13"/>
      <c r="Z462" s="13"/>
      <c r="AA462" s="13"/>
      <c r="AB462" s="13"/>
      <c r="AC462" s="13"/>
    </row>
    <row r="463" ht="16.5" customHeight="1">
      <c r="A463" s="13"/>
      <c r="B463" s="13"/>
      <c r="C463" s="13"/>
      <c r="D463" s="13"/>
      <c r="E463" s="13"/>
      <c r="F463" s="13"/>
      <c r="G463" s="13"/>
      <c r="H463" s="13"/>
      <c r="I463" s="13"/>
      <c r="J463" s="13"/>
      <c r="K463" s="185"/>
      <c r="L463" s="186"/>
      <c r="M463" s="13"/>
      <c r="N463" s="13"/>
      <c r="O463" s="185"/>
      <c r="P463" s="13"/>
      <c r="Q463" s="13"/>
      <c r="R463" s="177"/>
      <c r="S463" s="35"/>
      <c r="T463" s="35"/>
      <c r="U463" s="13"/>
      <c r="V463" s="13"/>
      <c r="W463" s="13"/>
      <c r="X463" s="13"/>
      <c r="Y463" s="13"/>
      <c r="Z463" s="13"/>
      <c r="AA463" s="13"/>
      <c r="AB463" s="13"/>
      <c r="AC463" s="13"/>
    </row>
    <row r="464" ht="16.5" customHeight="1">
      <c r="A464" s="13"/>
      <c r="B464" s="13"/>
      <c r="C464" s="13"/>
      <c r="D464" s="13"/>
      <c r="E464" s="13"/>
      <c r="F464" s="13"/>
      <c r="G464" s="13"/>
      <c r="H464" s="13"/>
      <c r="I464" s="13"/>
      <c r="J464" s="13"/>
      <c r="K464" s="185"/>
      <c r="L464" s="186"/>
      <c r="M464" s="13"/>
      <c r="N464" s="13"/>
      <c r="O464" s="185"/>
      <c r="P464" s="13"/>
      <c r="Q464" s="13"/>
      <c r="R464" s="177"/>
      <c r="S464" s="35"/>
      <c r="T464" s="35"/>
      <c r="U464" s="13"/>
      <c r="V464" s="13"/>
      <c r="W464" s="13"/>
      <c r="X464" s="13"/>
      <c r="Y464" s="13"/>
      <c r="Z464" s="13"/>
      <c r="AA464" s="13"/>
      <c r="AB464" s="13"/>
      <c r="AC464" s="13"/>
    </row>
    <row r="465" ht="16.5" customHeight="1">
      <c r="A465" s="13"/>
      <c r="B465" s="13"/>
      <c r="C465" s="13"/>
      <c r="D465" s="13"/>
      <c r="E465" s="13"/>
      <c r="F465" s="13"/>
      <c r="G465" s="13"/>
      <c r="H465" s="13"/>
      <c r="I465" s="13"/>
      <c r="J465" s="13"/>
      <c r="K465" s="185"/>
      <c r="L465" s="186"/>
      <c r="M465" s="13"/>
      <c r="N465" s="13"/>
      <c r="O465" s="185"/>
      <c r="P465" s="13"/>
      <c r="Q465" s="13"/>
      <c r="R465" s="177"/>
      <c r="S465" s="35"/>
      <c r="T465" s="35"/>
      <c r="U465" s="13"/>
      <c r="V465" s="13"/>
      <c r="W465" s="13"/>
      <c r="X465" s="13"/>
      <c r="Y465" s="13"/>
      <c r="Z465" s="13"/>
      <c r="AA465" s="13"/>
      <c r="AB465" s="13"/>
      <c r="AC465" s="13"/>
    </row>
    <row r="466" ht="16.5" customHeight="1">
      <c r="A466" s="13"/>
      <c r="B466" s="13"/>
      <c r="C466" s="13"/>
      <c r="D466" s="13"/>
      <c r="E466" s="13"/>
      <c r="F466" s="13"/>
      <c r="G466" s="13"/>
      <c r="H466" s="13"/>
      <c r="I466" s="13"/>
      <c r="J466" s="13"/>
      <c r="K466" s="185"/>
      <c r="L466" s="186"/>
      <c r="M466" s="13"/>
      <c r="N466" s="13"/>
      <c r="O466" s="185"/>
      <c r="P466" s="13"/>
      <c r="Q466" s="13"/>
      <c r="R466" s="177"/>
      <c r="S466" s="35"/>
      <c r="T466" s="35"/>
      <c r="U466" s="13"/>
      <c r="V466" s="13"/>
      <c r="W466" s="13"/>
      <c r="X466" s="13"/>
      <c r="Y466" s="13"/>
      <c r="Z466" s="13"/>
      <c r="AA466" s="13"/>
      <c r="AB466" s="13"/>
      <c r="AC466" s="13"/>
    </row>
    <row r="467" ht="16.5" customHeight="1">
      <c r="A467" s="13"/>
      <c r="B467" s="13"/>
      <c r="C467" s="13"/>
      <c r="D467" s="13"/>
      <c r="E467" s="13"/>
      <c r="F467" s="13"/>
      <c r="G467" s="13"/>
      <c r="H467" s="13"/>
      <c r="I467" s="13"/>
      <c r="J467" s="13"/>
      <c r="K467" s="185"/>
      <c r="L467" s="186"/>
      <c r="M467" s="13"/>
      <c r="N467" s="13"/>
      <c r="O467" s="185"/>
      <c r="P467" s="13"/>
      <c r="Q467" s="13"/>
      <c r="R467" s="177"/>
      <c r="S467" s="35"/>
      <c r="T467" s="35"/>
      <c r="U467" s="13"/>
      <c r="V467" s="13"/>
      <c r="W467" s="13"/>
      <c r="X467" s="13"/>
      <c r="Y467" s="13"/>
      <c r="Z467" s="13"/>
      <c r="AA467" s="13"/>
      <c r="AB467" s="13"/>
      <c r="AC467" s="13"/>
    </row>
    <row r="468" ht="16.5" customHeight="1">
      <c r="A468" s="13"/>
      <c r="B468" s="13"/>
      <c r="C468" s="13"/>
      <c r="D468" s="13"/>
      <c r="E468" s="13"/>
      <c r="F468" s="13"/>
      <c r="G468" s="13"/>
      <c r="H468" s="13"/>
      <c r="I468" s="13"/>
      <c r="J468" s="13"/>
      <c r="K468" s="185"/>
      <c r="L468" s="186"/>
      <c r="M468" s="13"/>
      <c r="N468" s="13"/>
      <c r="O468" s="185"/>
      <c r="P468" s="13"/>
      <c r="Q468" s="13"/>
      <c r="R468" s="177"/>
      <c r="S468" s="35"/>
      <c r="T468" s="35"/>
      <c r="U468" s="13"/>
      <c r="V468" s="13"/>
      <c r="W468" s="13"/>
      <c r="X468" s="13"/>
      <c r="Y468" s="13"/>
      <c r="Z468" s="13"/>
      <c r="AA468" s="13"/>
      <c r="AB468" s="13"/>
      <c r="AC468" s="13"/>
    </row>
    <row r="469" ht="16.5" customHeight="1">
      <c r="A469" s="13"/>
      <c r="B469" s="13"/>
      <c r="C469" s="13"/>
      <c r="D469" s="13"/>
      <c r="E469" s="13"/>
      <c r="F469" s="13"/>
      <c r="G469" s="13"/>
      <c r="H469" s="13"/>
      <c r="I469" s="13"/>
      <c r="J469" s="13"/>
      <c r="K469" s="185"/>
      <c r="L469" s="186"/>
      <c r="M469" s="13"/>
      <c r="N469" s="13"/>
      <c r="O469" s="185"/>
      <c r="P469" s="13"/>
      <c r="Q469" s="13"/>
      <c r="R469" s="177"/>
      <c r="S469" s="35"/>
      <c r="T469" s="35"/>
      <c r="U469" s="13"/>
      <c r="V469" s="13"/>
      <c r="W469" s="13"/>
      <c r="X469" s="13"/>
      <c r="Y469" s="13"/>
      <c r="Z469" s="13"/>
      <c r="AA469" s="13"/>
      <c r="AB469" s="13"/>
      <c r="AC469" s="13"/>
    </row>
    <row r="470" ht="16.5" customHeight="1">
      <c r="A470" s="13"/>
      <c r="B470" s="13"/>
      <c r="C470" s="13"/>
      <c r="D470" s="13"/>
      <c r="E470" s="13"/>
      <c r="F470" s="13"/>
      <c r="G470" s="13"/>
      <c r="H470" s="13"/>
      <c r="I470" s="13"/>
      <c r="J470" s="13"/>
      <c r="K470" s="185"/>
      <c r="L470" s="186"/>
      <c r="M470" s="13"/>
      <c r="N470" s="13"/>
      <c r="O470" s="185"/>
      <c r="P470" s="13"/>
      <c r="Q470" s="13"/>
      <c r="R470" s="177"/>
      <c r="S470" s="35"/>
      <c r="T470" s="35"/>
      <c r="U470" s="13"/>
      <c r="V470" s="13"/>
      <c r="W470" s="13"/>
      <c r="X470" s="13"/>
      <c r="Y470" s="13"/>
      <c r="Z470" s="13"/>
      <c r="AA470" s="13"/>
      <c r="AB470" s="13"/>
      <c r="AC470" s="13"/>
    </row>
    <row r="471" ht="16.5" customHeight="1">
      <c r="A471" s="13"/>
      <c r="B471" s="13"/>
      <c r="C471" s="13"/>
      <c r="D471" s="13"/>
      <c r="E471" s="13"/>
      <c r="F471" s="13"/>
      <c r="G471" s="13"/>
      <c r="H471" s="13"/>
      <c r="I471" s="13"/>
      <c r="J471" s="13"/>
      <c r="K471" s="185"/>
      <c r="L471" s="186"/>
      <c r="M471" s="13"/>
      <c r="N471" s="13"/>
      <c r="O471" s="185"/>
      <c r="P471" s="13"/>
      <c r="Q471" s="13"/>
      <c r="R471" s="177"/>
      <c r="S471" s="35"/>
      <c r="T471" s="35"/>
      <c r="U471" s="13"/>
      <c r="V471" s="13"/>
      <c r="W471" s="13"/>
      <c r="X471" s="13"/>
      <c r="Y471" s="13"/>
      <c r="Z471" s="13"/>
      <c r="AA471" s="13"/>
      <c r="AB471" s="13"/>
      <c r="AC471" s="13"/>
    </row>
    <row r="472" ht="16.5" customHeight="1">
      <c r="A472" s="13"/>
      <c r="B472" s="13"/>
      <c r="C472" s="13"/>
      <c r="D472" s="13"/>
      <c r="E472" s="13"/>
      <c r="F472" s="13"/>
      <c r="G472" s="13"/>
      <c r="H472" s="13"/>
      <c r="I472" s="13"/>
      <c r="J472" s="13"/>
      <c r="K472" s="185"/>
      <c r="L472" s="186"/>
      <c r="M472" s="13"/>
      <c r="N472" s="13"/>
      <c r="O472" s="185"/>
      <c r="P472" s="13"/>
      <c r="Q472" s="13"/>
      <c r="R472" s="177"/>
      <c r="S472" s="35"/>
      <c r="T472" s="35"/>
      <c r="U472" s="13"/>
      <c r="V472" s="13"/>
      <c r="W472" s="13"/>
      <c r="X472" s="13"/>
      <c r="Y472" s="13"/>
      <c r="Z472" s="13"/>
      <c r="AA472" s="13"/>
      <c r="AB472" s="13"/>
      <c r="AC472" s="13"/>
    </row>
    <row r="473" ht="16.5" customHeight="1">
      <c r="A473" s="13"/>
      <c r="B473" s="13"/>
      <c r="C473" s="13"/>
      <c r="D473" s="13"/>
      <c r="E473" s="13"/>
      <c r="F473" s="13"/>
      <c r="G473" s="13"/>
      <c r="H473" s="13"/>
      <c r="I473" s="13"/>
      <c r="J473" s="13"/>
      <c r="K473" s="185"/>
      <c r="L473" s="186"/>
      <c r="M473" s="13"/>
      <c r="N473" s="13"/>
      <c r="O473" s="185"/>
      <c r="P473" s="13"/>
      <c r="Q473" s="13"/>
      <c r="R473" s="177"/>
      <c r="S473" s="35"/>
      <c r="T473" s="35"/>
      <c r="U473" s="13"/>
      <c r="V473" s="13"/>
      <c r="W473" s="13"/>
      <c r="X473" s="13"/>
      <c r="Y473" s="13"/>
      <c r="Z473" s="13"/>
      <c r="AA473" s="13"/>
      <c r="AB473" s="13"/>
      <c r="AC473" s="13"/>
    </row>
    <row r="474" ht="16.5" customHeight="1">
      <c r="A474" s="13"/>
      <c r="B474" s="13"/>
      <c r="C474" s="13"/>
      <c r="D474" s="13"/>
      <c r="E474" s="13"/>
      <c r="F474" s="13"/>
      <c r="G474" s="13"/>
      <c r="H474" s="13"/>
      <c r="I474" s="13"/>
      <c r="J474" s="13"/>
      <c r="K474" s="185"/>
      <c r="L474" s="186"/>
      <c r="M474" s="13"/>
      <c r="N474" s="13"/>
      <c r="O474" s="185"/>
      <c r="P474" s="13"/>
      <c r="Q474" s="13"/>
      <c r="R474" s="177"/>
      <c r="S474" s="35"/>
      <c r="T474" s="35"/>
      <c r="U474" s="13"/>
      <c r="V474" s="13"/>
      <c r="W474" s="13"/>
      <c r="X474" s="13"/>
      <c r="Y474" s="13"/>
      <c r="Z474" s="13"/>
      <c r="AA474" s="13"/>
      <c r="AB474" s="13"/>
      <c r="AC474" s="13"/>
    </row>
    <row r="475" ht="16.5" customHeight="1">
      <c r="A475" s="13"/>
      <c r="B475" s="13"/>
      <c r="C475" s="13"/>
      <c r="D475" s="13"/>
      <c r="E475" s="13"/>
      <c r="F475" s="13"/>
      <c r="G475" s="13"/>
      <c r="H475" s="13"/>
      <c r="I475" s="13"/>
      <c r="J475" s="13"/>
      <c r="K475" s="185"/>
      <c r="L475" s="186"/>
      <c r="M475" s="13"/>
      <c r="N475" s="13"/>
      <c r="O475" s="185"/>
      <c r="P475" s="13"/>
      <c r="Q475" s="13"/>
      <c r="R475" s="177"/>
      <c r="S475" s="35"/>
      <c r="T475" s="35"/>
      <c r="U475" s="13"/>
      <c r="V475" s="13"/>
      <c r="W475" s="13"/>
      <c r="X475" s="13"/>
      <c r="Y475" s="13"/>
      <c r="Z475" s="13"/>
      <c r="AA475" s="13"/>
      <c r="AB475" s="13"/>
      <c r="AC475" s="13"/>
    </row>
    <row r="476" ht="16.5" customHeight="1">
      <c r="A476" s="13"/>
      <c r="B476" s="13"/>
      <c r="C476" s="13"/>
      <c r="D476" s="13"/>
      <c r="E476" s="13"/>
      <c r="F476" s="13"/>
      <c r="G476" s="13"/>
      <c r="H476" s="13"/>
      <c r="I476" s="13"/>
      <c r="J476" s="13"/>
      <c r="K476" s="185"/>
      <c r="L476" s="186"/>
      <c r="M476" s="13"/>
      <c r="N476" s="13"/>
      <c r="O476" s="185"/>
      <c r="P476" s="13"/>
      <c r="Q476" s="13"/>
      <c r="R476" s="177"/>
      <c r="S476" s="35"/>
      <c r="T476" s="35"/>
      <c r="U476" s="13"/>
      <c r="V476" s="13"/>
      <c r="W476" s="13"/>
      <c r="X476" s="13"/>
      <c r="Y476" s="13"/>
      <c r="Z476" s="13"/>
      <c r="AA476" s="13"/>
      <c r="AB476" s="13"/>
      <c r="AC476" s="13"/>
    </row>
    <row r="477" ht="16.5" customHeight="1">
      <c r="A477" s="13"/>
      <c r="B477" s="13"/>
      <c r="C477" s="13"/>
      <c r="D477" s="13"/>
      <c r="E477" s="13"/>
      <c r="F477" s="13"/>
      <c r="G477" s="13"/>
      <c r="H477" s="13"/>
      <c r="I477" s="13"/>
      <c r="J477" s="13"/>
      <c r="K477" s="185"/>
      <c r="L477" s="186"/>
      <c r="M477" s="13"/>
      <c r="N477" s="13"/>
      <c r="O477" s="185"/>
      <c r="P477" s="13"/>
      <c r="Q477" s="13"/>
      <c r="R477" s="177"/>
      <c r="S477" s="35"/>
      <c r="T477" s="35"/>
      <c r="U477" s="13"/>
      <c r="V477" s="13"/>
      <c r="W477" s="13"/>
      <c r="X477" s="13"/>
      <c r="Y477" s="13"/>
      <c r="Z477" s="13"/>
      <c r="AA477" s="13"/>
      <c r="AB477" s="13"/>
      <c r="AC477" s="13"/>
    </row>
    <row r="478" ht="16.5" customHeight="1">
      <c r="A478" s="13"/>
      <c r="B478" s="13"/>
      <c r="C478" s="13"/>
      <c r="D478" s="13"/>
      <c r="E478" s="13"/>
      <c r="F478" s="13"/>
      <c r="G478" s="13"/>
      <c r="H478" s="13"/>
      <c r="I478" s="13"/>
      <c r="J478" s="13"/>
      <c r="K478" s="185"/>
      <c r="L478" s="186"/>
      <c r="M478" s="13"/>
      <c r="N478" s="13"/>
      <c r="O478" s="185"/>
      <c r="P478" s="13"/>
      <c r="Q478" s="13"/>
      <c r="R478" s="177"/>
      <c r="S478" s="35"/>
      <c r="T478" s="35"/>
      <c r="U478" s="13"/>
      <c r="V478" s="13"/>
      <c r="W478" s="13"/>
      <c r="X478" s="13"/>
      <c r="Y478" s="13"/>
      <c r="Z478" s="13"/>
      <c r="AA478" s="13"/>
      <c r="AB478" s="13"/>
      <c r="AC478" s="13"/>
    </row>
    <row r="479" ht="16.5" customHeight="1">
      <c r="A479" s="13"/>
      <c r="B479" s="13"/>
      <c r="C479" s="13"/>
      <c r="D479" s="13"/>
      <c r="E479" s="13"/>
      <c r="F479" s="13"/>
      <c r="G479" s="13"/>
      <c r="H479" s="13"/>
      <c r="I479" s="13"/>
      <c r="J479" s="13"/>
      <c r="K479" s="185"/>
      <c r="L479" s="186"/>
      <c r="M479" s="13"/>
      <c r="N479" s="13"/>
      <c r="O479" s="185"/>
      <c r="P479" s="13"/>
      <c r="Q479" s="13"/>
      <c r="R479" s="177"/>
      <c r="S479" s="35"/>
      <c r="T479" s="35"/>
      <c r="U479" s="13"/>
      <c r="V479" s="13"/>
      <c r="W479" s="13"/>
      <c r="X479" s="13"/>
      <c r="Y479" s="13"/>
      <c r="Z479" s="13"/>
      <c r="AA479" s="13"/>
      <c r="AB479" s="13"/>
      <c r="AC479" s="13"/>
    </row>
    <row r="480" ht="16.5" customHeight="1">
      <c r="A480" s="13"/>
      <c r="B480" s="13"/>
      <c r="C480" s="13"/>
      <c r="D480" s="13"/>
      <c r="E480" s="13"/>
      <c r="F480" s="13"/>
      <c r="G480" s="13"/>
      <c r="H480" s="13"/>
      <c r="I480" s="13"/>
      <c r="J480" s="13"/>
      <c r="K480" s="185"/>
      <c r="L480" s="186"/>
      <c r="M480" s="13"/>
      <c r="N480" s="13"/>
      <c r="O480" s="185"/>
      <c r="P480" s="13"/>
      <c r="Q480" s="13"/>
      <c r="R480" s="177"/>
      <c r="S480" s="35"/>
      <c r="T480" s="35"/>
      <c r="U480" s="13"/>
      <c r="V480" s="13"/>
      <c r="W480" s="13"/>
      <c r="X480" s="13"/>
      <c r="Y480" s="13"/>
      <c r="Z480" s="13"/>
      <c r="AA480" s="13"/>
      <c r="AB480" s="13"/>
      <c r="AC480" s="13"/>
    </row>
    <row r="481" ht="16.5" customHeight="1">
      <c r="A481" s="13"/>
      <c r="B481" s="13"/>
      <c r="C481" s="13"/>
      <c r="D481" s="13"/>
      <c r="E481" s="13"/>
      <c r="F481" s="13"/>
      <c r="G481" s="13"/>
      <c r="H481" s="13"/>
      <c r="I481" s="13"/>
      <c r="J481" s="13"/>
      <c r="K481" s="185"/>
      <c r="L481" s="186"/>
      <c r="M481" s="13"/>
      <c r="N481" s="13"/>
      <c r="O481" s="185"/>
      <c r="P481" s="13"/>
      <c r="Q481" s="13"/>
      <c r="R481" s="177"/>
      <c r="S481" s="35"/>
      <c r="T481" s="35"/>
      <c r="U481" s="13"/>
      <c r="V481" s="13"/>
      <c r="W481" s="13"/>
      <c r="X481" s="13"/>
      <c r="Y481" s="13"/>
      <c r="Z481" s="13"/>
      <c r="AA481" s="13"/>
      <c r="AB481" s="13"/>
      <c r="AC481" s="13"/>
    </row>
    <row r="482" ht="16.5" customHeight="1">
      <c r="A482" s="13"/>
      <c r="B482" s="13"/>
      <c r="C482" s="13"/>
      <c r="D482" s="13"/>
      <c r="E482" s="13"/>
      <c r="F482" s="13"/>
      <c r="G482" s="13"/>
      <c r="H482" s="13"/>
      <c r="I482" s="13"/>
      <c r="J482" s="13"/>
      <c r="K482" s="185"/>
      <c r="L482" s="186"/>
      <c r="M482" s="13"/>
      <c r="N482" s="13"/>
      <c r="O482" s="185"/>
      <c r="P482" s="13"/>
      <c r="Q482" s="13"/>
      <c r="R482" s="177"/>
      <c r="S482" s="35"/>
      <c r="T482" s="35"/>
      <c r="U482" s="13"/>
      <c r="V482" s="13"/>
      <c r="W482" s="13"/>
      <c r="X482" s="13"/>
      <c r="Y482" s="13"/>
      <c r="Z482" s="13"/>
      <c r="AA482" s="13"/>
      <c r="AB482" s="13"/>
      <c r="AC482" s="13"/>
    </row>
    <row r="483" ht="16.5" customHeight="1">
      <c r="A483" s="13"/>
      <c r="B483" s="13"/>
      <c r="C483" s="13"/>
      <c r="D483" s="13"/>
      <c r="E483" s="13"/>
      <c r="F483" s="13"/>
      <c r="G483" s="13"/>
      <c r="H483" s="13"/>
      <c r="I483" s="13"/>
      <c r="J483" s="13"/>
      <c r="K483" s="185"/>
      <c r="L483" s="186"/>
      <c r="M483" s="13"/>
      <c r="N483" s="13"/>
      <c r="O483" s="185"/>
      <c r="P483" s="13"/>
      <c r="Q483" s="13"/>
      <c r="R483" s="177"/>
      <c r="S483" s="35"/>
      <c r="T483" s="35"/>
      <c r="U483" s="13"/>
      <c r="V483" s="13"/>
      <c r="W483" s="13"/>
      <c r="X483" s="13"/>
      <c r="Y483" s="13"/>
      <c r="Z483" s="13"/>
      <c r="AA483" s="13"/>
      <c r="AB483" s="13"/>
      <c r="AC483" s="13"/>
    </row>
    <row r="484" ht="16.5" customHeight="1">
      <c r="A484" s="13"/>
      <c r="B484" s="13"/>
      <c r="C484" s="13"/>
      <c r="D484" s="13"/>
      <c r="E484" s="13"/>
      <c r="F484" s="13"/>
      <c r="G484" s="13"/>
      <c r="H484" s="13"/>
      <c r="I484" s="13"/>
      <c r="J484" s="13"/>
      <c r="K484" s="185"/>
      <c r="L484" s="186"/>
      <c r="M484" s="13"/>
      <c r="N484" s="13"/>
      <c r="O484" s="185"/>
      <c r="P484" s="13"/>
      <c r="Q484" s="13"/>
      <c r="R484" s="177"/>
      <c r="S484" s="35"/>
      <c r="T484" s="35"/>
      <c r="U484" s="13"/>
      <c r="V484" s="13"/>
      <c r="W484" s="13"/>
      <c r="X484" s="13"/>
      <c r="Y484" s="13"/>
      <c r="Z484" s="13"/>
      <c r="AA484" s="13"/>
      <c r="AB484" s="13"/>
      <c r="AC484" s="13"/>
    </row>
    <row r="485" ht="16.5" customHeight="1">
      <c r="A485" s="13"/>
      <c r="B485" s="13"/>
      <c r="C485" s="13"/>
      <c r="D485" s="13"/>
      <c r="E485" s="13"/>
      <c r="F485" s="13"/>
      <c r="G485" s="13"/>
      <c r="H485" s="13"/>
      <c r="I485" s="13"/>
      <c r="J485" s="13"/>
      <c r="K485" s="185"/>
      <c r="L485" s="186"/>
      <c r="M485" s="13"/>
      <c r="N485" s="13"/>
      <c r="O485" s="185"/>
      <c r="P485" s="13"/>
      <c r="Q485" s="13"/>
      <c r="R485" s="177"/>
      <c r="S485" s="35"/>
      <c r="T485" s="35"/>
      <c r="U485" s="13"/>
      <c r="V485" s="13"/>
      <c r="W485" s="13"/>
      <c r="X485" s="13"/>
      <c r="Y485" s="13"/>
      <c r="Z485" s="13"/>
      <c r="AA485" s="13"/>
      <c r="AB485" s="13"/>
      <c r="AC485" s="13"/>
    </row>
    <row r="486" ht="16.5" customHeight="1">
      <c r="A486" s="13"/>
      <c r="B486" s="13"/>
      <c r="C486" s="13"/>
      <c r="D486" s="13"/>
      <c r="E486" s="13"/>
      <c r="F486" s="13"/>
      <c r="G486" s="13"/>
      <c r="H486" s="13"/>
      <c r="I486" s="13"/>
      <c r="J486" s="13"/>
      <c r="K486" s="185"/>
      <c r="L486" s="186"/>
      <c r="M486" s="13"/>
      <c r="N486" s="13"/>
      <c r="O486" s="185"/>
      <c r="P486" s="13"/>
      <c r="Q486" s="13"/>
      <c r="R486" s="177"/>
      <c r="S486" s="35"/>
      <c r="T486" s="35"/>
      <c r="U486" s="13"/>
      <c r="V486" s="13"/>
      <c r="W486" s="13"/>
      <c r="X486" s="13"/>
      <c r="Y486" s="13"/>
      <c r="Z486" s="13"/>
      <c r="AA486" s="13"/>
      <c r="AB486" s="13"/>
      <c r="AC486" s="13"/>
    </row>
    <row r="487" ht="16.5" customHeight="1">
      <c r="A487" s="13"/>
      <c r="B487" s="13"/>
      <c r="C487" s="13"/>
      <c r="D487" s="13"/>
      <c r="E487" s="13"/>
      <c r="F487" s="13"/>
      <c r="G487" s="13"/>
      <c r="H487" s="13"/>
      <c r="I487" s="13"/>
      <c r="J487" s="13"/>
      <c r="K487" s="185"/>
      <c r="L487" s="186"/>
      <c r="M487" s="13"/>
      <c r="N487" s="13"/>
      <c r="O487" s="185"/>
      <c r="P487" s="13"/>
      <c r="Q487" s="13"/>
      <c r="R487" s="177"/>
      <c r="S487" s="35"/>
      <c r="T487" s="35"/>
      <c r="U487" s="13"/>
      <c r="V487" s="13"/>
      <c r="W487" s="13"/>
      <c r="X487" s="13"/>
      <c r="Y487" s="13"/>
      <c r="Z487" s="13"/>
      <c r="AA487" s="13"/>
      <c r="AB487" s="13"/>
      <c r="AC487" s="13"/>
    </row>
    <row r="488" ht="16.5" customHeight="1">
      <c r="A488" s="13"/>
      <c r="B488" s="13"/>
      <c r="C488" s="13"/>
      <c r="D488" s="13"/>
      <c r="E488" s="13"/>
      <c r="F488" s="13"/>
      <c r="G488" s="13"/>
      <c r="H488" s="13"/>
      <c r="I488" s="13"/>
      <c r="J488" s="13"/>
      <c r="K488" s="185"/>
      <c r="L488" s="186"/>
      <c r="M488" s="13"/>
      <c r="N488" s="13"/>
      <c r="O488" s="185"/>
      <c r="P488" s="13"/>
      <c r="Q488" s="13"/>
      <c r="R488" s="177"/>
      <c r="S488" s="35"/>
      <c r="T488" s="35"/>
      <c r="U488" s="13"/>
      <c r="V488" s="13"/>
      <c r="W488" s="13"/>
      <c r="X488" s="13"/>
      <c r="Y488" s="13"/>
      <c r="Z488" s="13"/>
      <c r="AA488" s="13"/>
      <c r="AB488" s="13"/>
      <c r="AC488" s="13"/>
    </row>
    <row r="489" ht="16.5" customHeight="1">
      <c r="A489" s="13"/>
      <c r="B489" s="13"/>
      <c r="C489" s="13"/>
      <c r="D489" s="13"/>
      <c r="E489" s="13"/>
      <c r="F489" s="13"/>
      <c r="G489" s="13"/>
      <c r="H489" s="13"/>
      <c r="I489" s="13"/>
      <c r="J489" s="13"/>
      <c r="K489" s="185"/>
      <c r="L489" s="186"/>
      <c r="M489" s="13"/>
      <c r="N489" s="13"/>
      <c r="O489" s="185"/>
      <c r="P489" s="13"/>
      <c r="Q489" s="13"/>
      <c r="R489" s="177"/>
      <c r="S489" s="35"/>
      <c r="T489" s="35"/>
      <c r="U489" s="13"/>
      <c r="V489" s="13"/>
      <c r="W489" s="13"/>
      <c r="X489" s="13"/>
      <c r="Y489" s="13"/>
      <c r="Z489" s="13"/>
      <c r="AA489" s="13"/>
      <c r="AB489" s="13"/>
      <c r="AC489" s="13"/>
    </row>
    <row r="490" ht="16.5" customHeight="1">
      <c r="A490" s="13"/>
      <c r="B490" s="13"/>
      <c r="C490" s="13"/>
      <c r="D490" s="13"/>
      <c r="E490" s="13"/>
      <c r="F490" s="13"/>
      <c r="G490" s="13"/>
      <c r="H490" s="13"/>
      <c r="I490" s="13"/>
      <c r="J490" s="13"/>
      <c r="K490" s="185"/>
      <c r="L490" s="186"/>
      <c r="M490" s="13"/>
      <c r="N490" s="13"/>
      <c r="O490" s="185"/>
      <c r="P490" s="13"/>
      <c r="Q490" s="13"/>
      <c r="R490" s="177"/>
      <c r="S490" s="35"/>
      <c r="T490" s="35"/>
      <c r="U490" s="13"/>
      <c r="V490" s="13"/>
      <c r="W490" s="13"/>
      <c r="X490" s="13"/>
      <c r="Y490" s="13"/>
      <c r="Z490" s="13"/>
      <c r="AA490" s="13"/>
      <c r="AB490" s="13"/>
      <c r="AC490" s="13"/>
    </row>
    <row r="491" ht="16.5" customHeight="1">
      <c r="A491" s="13"/>
      <c r="B491" s="13"/>
      <c r="C491" s="13"/>
      <c r="D491" s="13"/>
      <c r="E491" s="13"/>
      <c r="F491" s="13"/>
      <c r="G491" s="13"/>
      <c r="H491" s="13"/>
      <c r="I491" s="13"/>
      <c r="J491" s="13"/>
      <c r="K491" s="185"/>
      <c r="L491" s="186"/>
      <c r="M491" s="13"/>
      <c r="N491" s="13"/>
      <c r="O491" s="185"/>
      <c r="P491" s="13"/>
      <c r="Q491" s="13"/>
      <c r="R491" s="177"/>
      <c r="S491" s="35"/>
      <c r="T491" s="35"/>
      <c r="U491" s="13"/>
      <c r="V491" s="13"/>
      <c r="W491" s="13"/>
      <c r="X491" s="13"/>
      <c r="Y491" s="13"/>
      <c r="Z491" s="13"/>
      <c r="AA491" s="13"/>
      <c r="AB491" s="13"/>
      <c r="AC491" s="13"/>
    </row>
    <row r="492" ht="16.5" customHeight="1">
      <c r="A492" s="13"/>
      <c r="B492" s="13"/>
      <c r="C492" s="13"/>
      <c r="D492" s="13"/>
      <c r="E492" s="13"/>
      <c r="F492" s="13"/>
      <c r="G492" s="13"/>
      <c r="H492" s="13"/>
      <c r="I492" s="13"/>
      <c r="J492" s="13"/>
      <c r="K492" s="185"/>
      <c r="L492" s="186"/>
      <c r="M492" s="13"/>
      <c r="N492" s="13"/>
      <c r="O492" s="185"/>
      <c r="P492" s="13"/>
      <c r="Q492" s="13"/>
      <c r="R492" s="177"/>
      <c r="S492" s="35"/>
      <c r="T492" s="35"/>
      <c r="U492" s="13"/>
      <c r="V492" s="13"/>
      <c r="W492" s="13"/>
      <c r="X492" s="13"/>
      <c r="Y492" s="13"/>
      <c r="Z492" s="13"/>
      <c r="AA492" s="13"/>
      <c r="AB492" s="13"/>
      <c r="AC492" s="13"/>
    </row>
    <row r="493" ht="16.5" customHeight="1">
      <c r="A493" s="13"/>
      <c r="B493" s="13"/>
      <c r="C493" s="13"/>
      <c r="D493" s="13"/>
      <c r="E493" s="13"/>
      <c r="F493" s="13"/>
      <c r="G493" s="13"/>
      <c r="H493" s="13"/>
      <c r="I493" s="13"/>
      <c r="J493" s="13"/>
      <c r="K493" s="185"/>
      <c r="L493" s="186"/>
      <c r="M493" s="13"/>
      <c r="N493" s="13"/>
      <c r="O493" s="185"/>
      <c r="P493" s="13"/>
      <c r="Q493" s="13"/>
      <c r="R493" s="177"/>
      <c r="S493" s="35"/>
      <c r="T493" s="35"/>
      <c r="U493" s="13"/>
      <c r="V493" s="13"/>
      <c r="W493" s="13"/>
      <c r="X493" s="13"/>
      <c r="Y493" s="13"/>
      <c r="Z493" s="13"/>
      <c r="AA493" s="13"/>
      <c r="AB493" s="13"/>
      <c r="AC493" s="13"/>
    </row>
    <row r="494" ht="16.5" customHeight="1">
      <c r="A494" s="13"/>
      <c r="B494" s="13"/>
      <c r="C494" s="13"/>
      <c r="D494" s="13"/>
      <c r="E494" s="13"/>
      <c r="F494" s="13"/>
      <c r="G494" s="13"/>
      <c r="H494" s="13"/>
      <c r="I494" s="13"/>
      <c r="J494" s="13"/>
      <c r="K494" s="185"/>
      <c r="L494" s="186"/>
      <c r="M494" s="13"/>
      <c r="N494" s="13"/>
      <c r="O494" s="185"/>
      <c r="P494" s="13"/>
      <c r="Q494" s="13"/>
      <c r="R494" s="177"/>
      <c r="S494" s="35"/>
      <c r="T494" s="35"/>
      <c r="U494" s="13"/>
      <c r="V494" s="13"/>
      <c r="W494" s="13"/>
      <c r="X494" s="13"/>
      <c r="Y494" s="13"/>
      <c r="Z494" s="13"/>
      <c r="AA494" s="13"/>
      <c r="AB494" s="13"/>
      <c r="AC494" s="13"/>
    </row>
    <row r="495" ht="16.5" customHeight="1">
      <c r="A495" s="13"/>
      <c r="B495" s="13"/>
      <c r="C495" s="13"/>
      <c r="D495" s="13"/>
      <c r="E495" s="13"/>
      <c r="F495" s="13"/>
      <c r="G495" s="13"/>
      <c r="H495" s="13"/>
      <c r="I495" s="13"/>
      <c r="J495" s="13"/>
      <c r="K495" s="185"/>
      <c r="L495" s="186"/>
      <c r="M495" s="13"/>
      <c r="N495" s="13"/>
      <c r="O495" s="185"/>
      <c r="P495" s="13"/>
      <c r="Q495" s="13"/>
      <c r="R495" s="177"/>
      <c r="S495" s="35"/>
      <c r="T495" s="35"/>
      <c r="U495" s="13"/>
      <c r="V495" s="13"/>
      <c r="W495" s="13"/>
      <c r="X495" s="13"/>
      <c r="Y495" s="13"/>
      <c r="Z495" s="13"/>
      <c r="AA495" s="13"/>
      <c r="AB495" s="13"/>
      <c r="AC495" s="13"/>
    </row>
    <row r="496" ht="16.5" customHeight="1">
      <c r="A496" s="13"/>
      <c r="B496" s="13"/>
      <c r="C496" s="13"/>
      <c r="D496" s="13"/>
      <c r="E496" s="13"/>
      <c r="F496" s="13"/>
      <c r="G496" s="13"/>
      <c r="H496" s="13"/>
      <c r="I496" s="13"/>
      <c r="J496" s="13"/>
      <c r="K496" s="185"/>
      <c r="L496" s="186"/>
      <c r="M496" s="13"/>
      <c r="N496" s="13"/>
      <c r="O496" s="185"/>
      <c r="P496" s="13"/>
      <c r="Q496" s="13"/>
      <c r="R496" s="177"/>
      <c r="S496" s="35"/>
      <c r="T496" s="35"/>
      <c r="U496" s="13"/>
      <c r="V496" s="13"/>
      <c r="W496" s="13"/>
      <c r="X496" s="13"/>
      <c r="Y496" s="13"/>
      <c r="Z496" s="13"/>
      <c r="AA496" s="13"/>
      <c r="AB496" s="13"/>
      <c r="AC496" s="13"/>
    </row>
    <row r="497" ht="16.5" customHeight="1">
      <c r="A497" s="13"/>
      <c r="B497" s="13"/>
      <c r="C497" s="13"/>
      <c r="D497" s="13"/>
      <c r="E497" s="13"/>
      <c r="F497" s="13"/>
      <c r="G497" s="13"/>
      <c r="H497" s="13"/>
      <c r="I497" s="13"/>
      <c r="J497" s="13"/>
      <c r="K497" s="185"/>
      <c r="L497" s="186"/>
      <c r="M497" s="13"/>
      <c r="N497" s="13"/>
      <c r="O497" s="185"/>
      <c r="P497" s="13"/>
      <c r="Q497" s="13"/>
      <c r="R497" s="177"/>
      <c r="S497" s="35"/>
      <c r="T497" s="35"/>
      <c r="U497" s="13"/>
      <c r="V497" s="13"/>
      <c r="W497" s="13"/>
      <c r="X497" s="13"/>
      <c r="Y497" s="13"/>
      <c r="Z497" s="13"/>
      <c r="AA497" s="13"/>
      <c r="AB497" s="13"/>
      <c r="AC497" s="13"/>
    </row>
    <row r="498" ht="16.5" customHeight="1">
      <c r="A498" s="13"/>
      <c r="B498" s="13"/>
      <c r="C498" s="13"/>
      <c r="D498" s="13"/>
      <c r="E498" s="13"/>
      <c r="F498" s="13"/>
      <c r="G498" s="13"/>
      <c r="H498" s="13"/>
      <c r="I498" s="13"/>
      <c r="J498" s="13"/>
      <c r="K498" s="185"/>
      <c r="L498" s="186"/>
      <c r="M498" s="13"/>
      <c r="N498" s="13"/>
      <c r="O498" s="185"/>
      <c r="P498" s="13"/>
      <c r="Q498" s="13"/>
      <c r="R498" s="177"/>
      <c r="S498" s="35"/>
      <c r="T498" s="35"/>
      <c r="U498" s="13"/>
      <c r="V498" s="13"/>
      <c r="W498" s="13"/>
      <c r="X498" s="13"/>
      <c r="Y498" s="13"/>
      <c r="Z498" s="13"/>
      <c r="AA498" s="13"/>
      <c r="AB498" s="13"/>
      <c r="AC498" s="13"/>
    </row>
    <row r="499" ht="16.5" customHeight="1">
      <c r="A499" s="13"/>
      <c r="B499" s="13"/>
      <c r="C499" s="13"/>
      <c r="D499" s="13"/>
      <c r="E499" s="13"/>
      <c r="F499" s="13"/>
      <c r="G499" s="13"/>
      <c r="H499" s="13"/>
      <c r="I499" s="13"/>
      <c r="J499" s="13"/>
      <c r="K499" s="185"/>
      <c r="L499" s="186"/>
      <c r="M499" s="13"/>
      <c r="N499" s="13"/>
      <c r="O499" s="185"/>
      <c r="P499" s="13"/>
      <c r="Q499" s="13"/>
      <c r="R499" s="177"/>
      <c r="S499" s="35"/>
      <c r="T499" s="35"/>
      <c r="U499" s="13"/>
      <c r="V499" s="13"/>
      <c r="W499" s="13"/>
      <c r="X499" s="13"/>
      <c r="Y499" s="13"/>
      <c r="Z499" s="13"/>
      <c r="AA499" s="13"/>
      <c r="AB499" s="13"/>
      <c r="AC499" s="13"/>
    </row>
    <row r="500" ht="16.5" customHeight="1">
      <c r="A500" s="13"/>
      <c r="B500" s="13"/>
      <c r="C500" s="13"/>
      <c r="D500" s="13"/>
      <c r="E500" s="13"/>
      <c r="F500" s="13"/>
      <c r="G500" s="13"/>
      <c r="H500" s="13"/>
      <c r="I500" s="13"/>
      <c r="J500" s="13"/>
      <c r="K500" s="185"/>
      <c r="L500" s="186"/>
      <c r="M500" s="13"/>
      <c r="N500" s="13"/>
      <c r="O500" s="185"/>
      <c r="P500" s="13"/>
      <c r="Q500" s="13"/>
      <c r="R500" s="177"/>
      <c r="S500" s="35"/>
      <c r="T500" s="35"/>
      <c r="U500" s="13"/>
      <c r="V500" s="13"/>
      <c r="W500" s="13"/>
      <c r="X500" s="13"/>
      <c r="Y500" s="13"/>
      <c r="Z500" s="13"/>
      <c r="AA500" s="13"/>
      <c r="AB500" s="13"/>
      <c r="AC500" s="13"/>
    </row>
    <row r="501" ht="16.5" customHeight="1">
      <c r="A501" s="13"/>
      <c r="B501" s="13"/>
      <c r="C501" s="13"/>
      <c r="D501" s="13"/>
      <c r="E501" s="13"/>
      <c r="F501" s="13"/>
      <c r="G501" s="13"/>
      <c r="H501" s="13"/>
      <c r="I501" s="13"/>
      <c r="J501" s="13"/>
      <c r="K501" s="185"/>
      <c r="L501" s="186"/>
      <c r="M501" s="13"/>
      <c r="N501" s="13"/>
      <c r="O501" s="185"/>
      <c r="P501" s="13"/>
      <c r="Q501" s="13"/>
      <c r="R501" s="177"/>
      <c r="S501" s="35"/>
      <c r="T501" s="35"/>
      <c r="U501" s="13"/>
      <c r="V501" s="13"/>
      <c r="W501" s="13"/>
      <c r="X501" s="13"/>
      <c r="Y501" s="13"/>
      <c r="Z501" s="13"/>
      <c r="AA501" s="13"/>
      <c r="AB501" s="13"/>
      <c r="AC501" s="13"/>
    </row>
    <row r="502" ht="16.5" customHeight="1">
      <c r="A502" s="13"/>
      <c r="B502" s="13"/>
      <c r="C502" s="13"/>
      <c r="D502" s="13"/>
      <c r="E502" s="13"/>
      <c r="F502" s="13"/>
      <c r="G502" s="13"/>
      <c r="H502" s="13"/>
      <c r="I502" s="13"/>
      <c r="J502" s="13"/>
      <c r="K502" s="185"/>
      <c r="L502" s="186"/>
      <c r="M502" s="13"/>
      <c r="N502" s="13"/>
      <c r="O502" s="185"/>
      <c r="P502" s="13"/>
      <c r="Q502" s="13"/>
      <c r="R502" s="177"/>
      <c r="S502" s="35"/>
      <c r="T502" s="35"/>
      <c r="U502" s="13"/>
      <c r="V502" s="13"/>
      <c r="W502" s="13"/>
      <c r="X502" s="13"/>
      <c r="Y502" s="13"/>
      <c r="Z502" s="13"/>
      <c r="AA502" s="13"/>
      <c r="AB502" s="13"/>
      <c r="AC502" s="13"/>
    </row>
    <row r="503" ht="16.5" customHeight="1">
      <c r="A503" s="13"/>
      <c r="B503" s="13"/>
      <c r="C503" s="13"/>
      <c r="D503" s="13"/>
      <c r="E503" s="13"/>
      <c r="F503" s="13"/>
      <c r="G503" s="13"/>
      <c r="H503" s="13"/>
      <c r="I503" s="13"/>
      <c r="J503" s="13"/>
      <c r="K503" s="185"/>
      <c r="L503" s="186"/>
      <c r="M503" s="13"/>
      <c r="N503" s="13"/>
      <c r="O503" s="185"/>
      <c r="P503" s="13"/>
      <c r="Q503" s="13"/>
      <c r="R503" s="177"/>
      <c r="S503" s="35"/>
      <c r="T503" s="35"/>
      <c r="U503" s="13"/>
      <c r="V503" s="13"/>
      <c r="W503" s="13"/>
      <c r="X503" s="13"/>
      <c r="Y503" s="13"/>
      <c r="Z503" s="13"/>
      <c r="AA503" s="13"/>
      <c r="AB503" s="13"/>
      <c r="AC503" s="13"/>
    </row>
    <row r="504" ht="16.5" customHeight="1">
      <c r="A504" s="13"/>
      <c r="B504" s="13"/>
      <c r="C504" s="13"/>
      <c r="D504" s="13"/>
      <c r="E504" s="13"/>
      <c r="F504" s="13"/>
      <c r="G504" s="13"/>
      <c r="H504" s="13"/>
      <c r="I504" s="13"/>
      <c r="J504" s="13"/>
      <c r="K504" s="185"/>
      <c r="L504" s="186"/>
      <c r="M504" s="13"/>
      <c r="N504" s="13"/>
      <c r="O504" s="185"/>
      <c r="P504" s="13"/>
      <c r="Q504" s="13"/>
      <c r="R504" s="177"/>
      <c r="S504" s="35"/>
      <c r="T504" s="35"/>
      <c r="U504" s="13"/>
      <c r="V504" s="13"/>
      <c r="W504" s="13"/>
      <c r="X504" s="13"/>
      <c r="Y504" s="13"/>
      <c r="Z504" s="13"/>
      <c r="AA504" s="13"/>
      <c r="AB504" s="13"/>
      <c r="AC504" s="13"/>
    </row>
    <row r="505" ht="16.5" customHeight="1">
      <c r="A505" s="13"/>
      <c r="B505" s="13"/>
      <c r="C505" s="13"/>
      <c r="D505" s="13"/>
      <c r="E505" s="13"/>
      <c r="F505" s="13"/>
      <c r="G505" s="13"/>
      <c r="H505" s="13"/>
      <c r="I505" s="13"/>
      <c r="J505" s="13"/>
      <c r="K505" s="185"/>
      <c r="L505" s="186"/>
      <c r="M505" s="13"/>
      <c r="N505" s="13"/>
      <c r="O505" s="185"/>
      <c r="P505" s="13"/>
      <c r="Q505" s="13"/>
      <c r="R505" s="177"/>
      <c r="S505" s="35"/>
      <c r="T505" s="35"/>
      <c r="U505" s="13"/>
      <c r="V505" s="13"/>
      <c r="W505" s="13"/>
      <c r="X505" s="13"/>
      <c r="Y505" s="13"/>
      <c r="Z505" s="13"/>
      <c r="AA505" s="13"/>
      <c r="AB505" s="13"/>
      <c r="AC505" s="13"/>
    </row>
    <row r="506" ht="16.5" customHeight="1">
      <c r="A506" s="13"/>
      <c r="B506" s="13"/>
      <c r="C506" s="13"/>
      <c r="D506" s="13"/>
      <c r="E506" s="13"/>
      <c r="F506" s="13"/>
      <c r="G506" s="13"/>
      <c r="H506" s="13"/>
      <c r="I506" s="13"/>
      <c r="J506" s="13"/>
      <c r="K506" s="185"/>
      <c r="L506" s="186"/>
      <c r="M506" s="13"/>
      <c r="N506" s="13"/>
      <c r="O506" s="185"/>
      <c r="P506" s="13"/>
      <c r="Q506" s="13"/>
      <c r="R506" s="177"/>
      <c r="S506" s="35"/>
      <c r="T506" s="35"/>
      <c r="U506" s="13"/>
      <c r="V506" s="13"/>
      <c r="W506" s="13"/>
      <c r="X506" s="13"/>
      <c r="Y506" s="13"/>
      <c r="Z506" s="13"/>
      <c r="AA506" s="13"/>
      <c r="AB506" s="13"/>
      <c r="AC506" s="13"/>
    </row>
    <row r="507" ht="16.5" customHeight="1">
      <c r="A507" s="13"/>
      <c r="B507" s="13"/>
      <c r="C507" s="13"/>
      <c r="D507" s="13"/>
      <c r="E507" s="13"/>
      <c r="F507" s="13"/>
      <c r="G507" s="13"/>
      <c r="H507" s="13"/>
      <c r="I507" s="13"/>
      <c r="J507" s="13"/>
      <c r="K507" s="185"/>
      <c r="L507" s="186"/>
      <c r="M507" s="13"/>
      <c r="N507" s="13"/>
      <c r="O507" s="185"/>
      <c r="P507" s="13"/>
      <c r="Q507" s="13"/>
      <c r="R507" s="177"/>
      <c r="S507" s="35"/>
      <c r="T507" s="35"/>
      <c r="U507" s="13"/>
      <c r="V507" s="13"/>
      <c r="W507" s="13"/>
      <c r="X507" s="13"/>
      <c r="Y507" s="13"/>
      <c r="Z507" s="13"/>
      <c r="AA507" s="13"/>
      <c r="AB507" s="13"/>
      <c r="AC507" s="13"/>
    </row>
    <row r="508" ht="16.5" customHeight="1">
      <c r="A508" s="13"/>
      <c r="B508" s="13"/>
      <c r="C508" s="13"/>
      <c r="D508" s="13"/>
      <c r="E508" s="13"/>
      <c r="F508" s="13"/>
      <c r="G508" s="13"/>
      <c r="H508" s="13"/>
      <c r="I508" s="13"/>
      <c r="J508" s="13"/>
      <c r="K508" s="185"/>
      <c r="L508" s="186"/>
      <c r="M508" s="13"/>
      <c r="N508" s="13"/>
      <c r="O508" s="185"/>
      <c r="P508" s="13"/>
      <c r="Q508" s="13"/>
      <c r="R508" s="177"/>
      <c r="S508" s="35"/>
      <c r="T508" s="35"/>
      <c r="U508" s="13"/>
      <c r="V508" s="13"/>
      <c r="W508" s="13"/>
      <c r="X508" s="13"/>
      <c r="Y508" s="13"/>
      <c r="Z508" s="13"/>
      <c r="AA508" s="13"/>
      <c r="AB508" s="13"/>
      <c r="AC508" s="13"/>
    </row>
    <row r="509" ht="16.5" customHeight="1">
      <c r="A509" s="13"/>
      <c r="B509" s="13"/>
      <c r="C509" s="13"/>
      <c r="D509" s="13"/>
      <c r="E509" s="13"/>
      <c r="F509" s="13"/>
      <c r="G509" s="13"/>
      <c r="H509" s="13"/>
      <c r="I509" s="13"/>
      <c r="J509" s="13"/>
      <c r="K509" s="185"/>
      <c r="L509" s="186"/>
      <c r="M509" s="13"/>
      <c r="N509" s="13"/>
      <c r="O509" s="185"/>
      <c r="P509" s="13"/>
      <c r="Q509" s="13"/>
      <c r="R509" s="177"/>
      <c r="S509" s="35"/>
      <c r="T509" s="35"/>
      <c r="U509" s="13"/>
      <c r="V509" s="13"/>
      <c r="W509" s="13"/>
      <c r="X509" s="13"/>
      <c r="Y509" s="13"/>
      <c r="Z509" s="13"/>
      <c r="AA509" s="13"/>
      <c r="AB509" s="13"/>
      <c r="AC509" s="13"/>
    </row>
    <row r="510" ht="16.5" customHeight="1">
      <c r="A510" s="13"/>
      <c r="B510" s="13"/>
      <c r="C510" s="13"/>
      <c r="D510" s="13"/>
      <c r="E510" s="13"/>
      <c r="F510" s="13"/>
      <c r="G510" s="13"/>
      <c r="H510" s="13"/>
      <c r="I510" s="13"/>
      <c r="J510" s="13"/>
      <c r="K510" s="185"/>
      <c r="L510" s="186"/>
      <c r="M510" s="13"/>
      <c r="N510" s="13"/>
      <c r="O510" s="185"/>
      <c r="P510" s="13"/>
      <c r="Q510" s="13"/>
      <c r="R510" s="177"/>
      <c r="S510" s="35"/>
      <c r="T510" s="35"/>
      <c r="U510" s="13"/>
      <c r="V510" s="13"/>
      <c r="W510" s="13"/>
      <c r="X510" s="13"/>
      <c r="Y510" s="13"/>
      <c r="Z510" s="13"/>
      <c r="AA510" s="13"/>
      <c r="AB510" s="13"/>
      <c r="AC510" s="13"/>
    </row>
    <row r="511" ht="16.5" customHeight="1">
      <c r="A511" s="13"/>
      <c r="B511" s="13"/>
      <c r="C511" s="13"/>
      <c r="D511" s="13"/>
      <c r="E511" s="13"/>
      <c r="F511" s="13"/>
      <c r="G511" s="13"/>
      <c r="H511" s="13"/>
      <c r="I511" s="13"/>
      <c r="J511" s="13"/>
      <c r="K511" s="185"/>
      <c r="L511" s="186"/>
      <c r="M511" s="13"/>
      <c r="N511" s="13"/>
      <c r="O511" s="185"/>
      <c r="P511" s="13"/>
      <c r="Q511" s="13"/>
      <c r="R511" s="177"/>
      <c r="S511" s="35"/>
      <c r="T511" s="35"/>
      <c r="U511" s="13"/>
      <c r="V511" s="13"/>
      <c r="W511" s="13"/>
      <c r="X511" s="13"/>
      <c r="Y511" s="13"/>
      <c r="Z511" s="13"/>
      <c r="AA511" s="13"/>
      <c r="AB511" s="13"/>
      <c r="AC511" s="13"/>
    </row>
    <row r="512" ht="16.5" customHeight="1">
      <c r="A512" s="13"/>
      <c r="B512" s="13"/>
      <c r="C512" s="13"/>
      <c r="D512" s="13"/>
      <c r="E512" s="13"/>
      <c r="F512" s="13"/>
      <c r="G512" s="13"/>
      <c r="H512" s="13"/>
      <c r="I512" s="13"/>
      <c r="J512" s="13"/>
      <c r="K512" s="185"/>
      <c r="L512" s="186"/>
      <c r="M512" s="13"/>
      <c r="N512" s="13"/>
      <c r="O512" s="185"/>
      <c r="P512" s="13"/>
      <c r="Q512" s="13"/>
      <c r="R512" s="177"/>
      <c r="S512" s="35"/>
      <c r="T512" s="35"/>
      <c r="U512" s="13"/>
      <c r="V512" s="13"/>
      <c r="W512" s="13"/>
      <c r="X512" s="13"/>
      <c r="Y512" s="13"/>
      <c r="Z512" s="13"/>
      <c r="AA512" s="13"/>
      <c r="AB512" s="13"/>
      <c r="AC512" s="13"/>
    </row>
    <row r="513" ht="16.5" customHeight="1">
      <c r="A513" s="13"/>
      <c r="B513" s="13"/>
      <c r="C513" s="13"/>
      <c r="D513" s="13"/>
      <c r="E513" s="13"/>
      <c r="F513" s="13"/>
      <c r="G513" s="13"/>
      <c r="H513" s="13"/>
      <c r="I513" s="13"/>
      <c r="J513" s="13"/>
      <c r="K513" s="185"/>
      <c r="L513" s="186"/>
      <c r="M513" s="13"/>
      <c r="N513" s="13"/>
      <c r="O513" s="185"/>
      <c r="P513" s="13"/>
      <c r="Q513" s="13"/>
      <c r="R513" s="177"/>
      <c r="S513" s="35"/>
      <c r="T513" s="35"/>
      <c r="U513" s="13"/>
      <c r="V513" s="13"/>
      <c r="W513" s="13"/>
      <c r="X513" s="13"/>
      <c r="Y513" s="13"/>
      <c r="Z513" s="13"/>
      <c r="AA513" s="13"/>
      <c r="AB513" s="13"/>
      <c r="AC513" s="13"/>
    </row>
    <row r="514" ht="16.5" customHeight="1">
      <c r="A514" s="13"/>
      <c r="B514" s="13"/>
      <c r="C514" s="13"/>
      <c r="D514" s="13"/>
      <c r="E514" s="13"/>
      <c r="F514" s="13"/>
      <c r="G514" s="13"/>
      <c r="H514" s="13"/>
      <c r="I514" s="13"/>
      <c r="J514" s="13"/>
      <c r="K514" s="185"/>
      <c r="L514" s="186"/>
      <c r="M514" s="13"/>
      <c r="N514" s="13"/>
      <c r="O514" s="185"/>
      <c r="P514" s="13"/>
      <c r="Q514" s="13"/>
      <c r="R514" s="177"/>
      <c r="S514" s="35"/>
      <c r="T514" s="35"/>
      <c r="U514" s="13"/>
      <c r="V514" s="13"/>
      <c r="W514" s="13"/>
      <c r="X514" s="13"/>
      <c r="Y514" s="13"/>
      <c r="Z514" s="13"/>
      <c r="AA514" s="13"/>
      <c r="AB514" s="13"/>
      <c r="AC514" s="13"/>
    </row>
    <row r="515" ht="16.5" customHeight="1">
      <c r="A515" s="13"/>
      <c r="B515" s="13"/>
      <c r="C515" s="13"/>
      <c r="D515" s="13"/>
      <c r="E515" s="13"/>
      <c r="F515" s="13"/>
      <c r="G515" s="13"/>
      <c r="H515" s="13"/>
      <c r="I515" s="13"/>
      <c r="J515" s="13"/>
      <c r="K515" s="185"/>
      <c r="L515" s="186"/>
      <c r="M515" s="13"/>
      <c r="N515" s="13"/>
      <c r="O515" s="185"/>
      <c r="P515" s="13"/>
      <c r="Q515" s="13"/>
      <c r="R515" s="177"/>
      <c r="S515" s="35"/>
      <c r="T515" s="35"/>
      <c r="U515" s="13"/>
      <c r="V515" s="13"/>
      <c r="W515" s="13"/>
      <c r="X515" s="13"/>
      <c r="Y515" s="13"/>
      <c r="Z515" s="13"/>
      <c r="AA515" s="13"/>
      <c r="AB515" s="13"/>
      <c r="AC515" s="13"/>
    </row>
    <row r="516" ht="16.5" customHeight="1">
      <c r="A516" s="13"/>
      <c r="B516" s="13"/>
      <c r="C516" s="13"/>
      <c r="D516" s="13"/>
      <c r="E516" s="13"/>
      <c r="F516" s="13"/>
      <c r="G516" s="13"/>
      <c r="H516" s="13"/>
      <c r="I516" s="13"/>
      <c r="J516" s="13"/>
      <c r="K516" s="185"/>
      <c r="L516" s="186"/>
      <c r="M516" s="13"/>
      <c r="N516" s="13"/>
      <c r="O516" s="185"/>
      <c r="P516" s="13"/>
      <c r="Q516" s="13"/>
      <c r="R516" s="177"/>
      <c r="S516" s="35"/>
      <c r="T516" s="35"/>
      <c r="U516" s="13"/>
      <c r="V516" s="13"/>
      <c r="W516" s="13"/>
      <c r="X516" s="13"/>
      <c r="Y516" s="13"/>
      <c r="Z516" s="13"/>
      <c r="AA516" s="13"/>
      <c r="AB516" s="13"/>
      <c r="AC516" s="13"/>
    </row>
    <row r="517" ht="16.5" customHeight="1">
      <c r="A517" s="13"/>
      <c r="B517" s="13"/>
      <c r="C517" s="13"/>
      <c r="D517" s="13"/>
      <c r="E517" s="13"/>
      <c r="F517" s="13"/>
      <c r="G517" s="13"/>
      <c r="H517" s="13"/>
      <c r="I517" s="13"/>
      <c r="J517" s="13"/>
      <c r="K517" s="185"/>
      <c r="L517" s="186"/>
      <c r="M517" s="13"/>
      <c r="N517" s="13"/>
      <c r="O517" s="185"/>
      <c r="P517" s="13"/>
      <c r="Q517" s="13"/>
      <c r="R517" s="177"/>
      <c r="S517" s="35"/>
      <c r="T517" s="35"/>
      <c r="U517" s="13"/>
      <c r="V517" s="13"/>
      <c r="W517" s="13"/>
      <c r="X517" s="13"/>
      <c r="Y517" s="13"/>
      <c r="Z517" s="13"/>
      <c r="AA517" s="13"/>
      <c r="AB517" s="13"/>
      <c r="AC517" s="13"/>
    </row>
    <row r="518" ht="16.5" customHeight="1">
      <c r="A518" s="13"/>
      <c r="B518" s="13"/>
      <c r="C518" s="13"/>
      <c r="D518" s="13"/>
      <c r="E518" s="13"/>
      <c r="F518" s="13"/>
      <c r="G518" s="13"/>
      <c r="H518" s="13"/>
      <c r="I518" s="13"/>
      <c r="J518" s="13"/>
      <c r="K518" s="185"/>
      <c r="L518" s="186"/>
      <c r="M518" s="13"/>
      <c r="N518" s="13"/>
      <c r="O518" s="185"/>
      <c r="P518" s="13"/>
      <c r="Q518" s="13"/>
      <c r="R518" s="177"/>
      <c r="S518" s="35"/>
      <c r="T518" s="35"/>
      <c r="U518" s="13"/>
      <c r="V518" s="13"/>
      <c r="W518" s="13"/>
      <c r="X518" s="13"/>
      <c r="Y518" s="13"/>
      <c r="Z518" s="13"/>
      <c r="AA518" s="13"/>
      <c r="AB518" s="13"/>
      <c r="AC518" s="13"/>
    </row>
    <row r="519" ht="16.5" customHeight="1">
      <c r="A519" s="13"/>
      <c r="B519" s="13"/>
      <c r="C519" s="13"/>
      <c r="D519" s="13"/>
      <c r="E519" s="13"/>
      <c r="F519" s="13"/>
      <c r="G519" s="13"/>
      <c r="H519" s="13"/>
      <c r="I519" s="13"/>
      <c r="J519" s="13"/>
      <c r="K519" s="185"/>
      <c r="L519" s="186"/>
      <c r="M519" s="13"/>
      <c r="N519" s="13"/>
      <c r="O519" s="185"/>
      <c r="P519" s="13"/>
      <c r="Q519" s="13"/>
      <c r="R519" s="177"/>
      <c r="S519" s="35"/>
      <c r="T519" s="35"/>
      <c r="U519" s="13"/>
      <c r="V519" s="13"/>
      <c r="W519" s="13"/>
      <c r="X519" s="13"/>
      <c r="Y519" s="13"/>
      <c r="Z519" s="13"/>
      <c r="AA519" s="13"/>
      <c r="AB519" s="13"/>
      <c r="AC519" s="13"/>
    </row>
    <row r="520" ht="16.5" customHeight="1">
      <c r="A520" s="13"/>
      <c r="B520" s="13"/>
      <c r="C520" s="13"/>
      <c r="D520" s="13"/>
      <c r="E520" s="13"/>
      <c r="F520" s="13"/>
      <c r="G520" s="13"/>
      <c r="H520" s="13"/>
      <c r="I520" s="13"/>
      <c r="J520" s="13"/>
      <c r="K520" s="185"/>
      <c r="L520" s="186"/>
      <c r="M520" s="13"/>
      <c r="N520" s="13"/>
      <c r="O520" s="185"/>
      <c r="P520" s="13"/>
      <c r="Q520" s="13"/>
      <c r="R520" s="177"/>
      <c r="S520" s="35"/>
      <c r="T520" s="35"/>
      <c r="U520" s="13"/>
      <c r="V520" s="13"/>
      <c r="W520" s="13"/>
      <c r="X520" s="13"/>
      <c r="Y520" s="13"/>
      <c r="Z520" s="13"/>
      <c r="AA520" s="13"/>
      <c r="AB520" s="13"/>
      <c r="AC520" s="13"/>
    </row>
    <row r="521" ht="16.5" customHeight="1">
      <c r="A521" s="13"/>
      <c r="B521" s="13"/>
      <c r="C521" s="13"/>
      <c r="D521" s="13"/>
      <c r="E521" s="13"/>
      <c r="F521" s="13"/>
      <c r="G521" s="13"/>
      <c r="H521" s="13"/>
      <c r="I521" s="13"/>
      <c r="J521" s="13"/>
      <c r="K521" s="185"/>
      <c r="L521" s="186"/>
      <c r="M521" s="13"/>
      <c r="N521" s="13"/>
      <c r="O521" s="185"/>
      <c r="P521" s="13"/>
      <c r="Q521" s="13"/>
      <c r="R521" s="177"/>
      <c r="S521" s="35"/>
      <c r="T521" s="35"/>
      <c r="U521" s="13"/>
      <c r="V521" s="13"/>
      <c r="W521" s="13"/>
      <c r="X521" s="13"/>
      <c r="Y521" s="13"/>
      <c r="Z521" s="13"/>
      <c r="AA521" s="13"/>
      <c r="AB521" s="13"/>
      <c r="AC521" s="13"/>
    </row>
    <row r="522" ht="16.5" customHeight="1">
      <c r="A522" s="13"/>
      <c r="B522" s="13"/>
      <c r="C522" s="13"/>
      <c r="D522" s="13"/>
      <c r="E522" s="13"/>
      <c r="F522" s="13"/>
      <c r="G522" s="13"/>
      <c r="H522" s="13"/>
      <c r="I522" s="13"/>
      <c r="J522" s="13"/>
      <c r="K522" s="185"/>
      <c r="L522" s="186"/>
      <c r="M522" s="13"/>
      <c r="N522" s="13"/>
      <c r="O522" s="185"/>
      <c r="P522" s="13"/>
      <c r="Q522" s="13"/>
      <c r="R522" s="177"/>
      <c r="S522" s="35"/>
      <c r="T522" s="35"/>
      <c r="U522" s="13"/>
      <c r="V522" s="13"/>
      <c r="W522" s="13"/>
      <c r="X522" s="13"/>
      <c r="Y522" s="13"/>
      <c r="Z522" s="13"/>
      <c r="AA522" s="13"/>
      <c r="AB522" s="13"/>
      <c r="AC522" s="13"/>
    </row>
    <row r="523" ht="16.5" customHeight="1">
      <c r="A523" s="13"/>
      <c r="B523" s="13"/>
      <c r="C523" s="13"/>
      <c r="D523" s="13"/>
      <c r="E523" s="13"/>
      <c r="F523" s="13"/>
      <c r="G523" s="13"/>
      <c r="H523" s="13"/>
      <c r="I523" s="13"/>
      <c r="J523" s="13"/>
      <c r="K523" s="185"/>
      <c r="L523" s="186"/>
      <c r="M523" s="13"/>
      <c r="N523" s="13"/>
      <c r="O523" s="185"/>
      <c r="P523" s="13"/>
      <c r="Q523" s="13"/>
      <c r="R523" s="177"/>
      <c r="S523" s="35"/>
      <c r="T523" s="35"/>
      <c r="U523" s="13"/>
      <c r="V523" s="13"/>
      <c r="W523" s="13"/>
      <c r="X523" s="13"/>
      <c r="Y523" s="13"/>
      <c r="Z523" s="13"/>
      <c r="AA523" s="13"/>
      <c r="AB523" s="13"/>
      <c r="AC523" s="13"/>
    </row>
    <row r="524" ht="16.5" customHeight="1">
      <c r="A524" s="13"/>
      <c r="B524" s="13"/>
      <c r="C524" s="13"/>
      <c r="D524" s="13"/>
      <c r="E524" s="13"/>
      <c r="F524" s="13"/>
      <c r="G524" s="13"/>
      <c r="H524" s="13"/>
      <c r="I524" s="13"/>
      <c r="J524" s="13"/>
      <c r="K524" s="185"/>
      <c r="L524" s="186"/>
      <c r="M524" s="13"/>
      <c r="N524" s="13"/>
      <c r="O524" s="185"/>
      <c r="P524" s="13"/>
      <c r="Q524" s="13"/>
      <c r="R524" s="177"/>
      <c r="S524" s="35"/>
      <c r="T524" s="35"/>
      <c r="U524" s="13"/>
      <c r="V524" s="13"/>
      <c r="W524" s="13"/>
      <c r="X524" s="13"/>
      <c r="Y524" s="13"/>
      <c r="Z524" s="13"/>
      <c r="AA524" s="13"/>
      <c r="AB524" s="13"/>
      <c r="AC524" s="13"/>
    </row>
    <row r="525" ht="16.5" customHeight="1">
      <c r="A525" s="13"/>
      <c r="B525" s="13"/>
      <c r="C525" s="13"/>
      <c r="D525" s="13"/>
      <c r="E525" s="13"/>
      <c r="F525" s="13"/>
      <c r="G525" s="13"/>
      <c r="H525" s="13"/>
      <c r="I525" s="13"/>
      <c r="J525" s="13"/>
      <c r="K525" s="185"/>
      <c r="L525" s="186"/>
      <c r="M525" s="13"/>
      <c r="N525" s="13"/>
      <c r="O525" s="185"/>
      <c r="P525" s="13"/>
      <c r="Q525" s="13"/>
      <c r="R525" s="177"/>
      <c r="S525" s="35"/>
      <c r="T525" s="35"/>
      <c r="U525" s="13"/>
      <c r="V525" s="13"/>
      <c r="W525" s="13"/>
      <c r="X525" s="13"/>
      <c r="Y525" s="13"/>
      <c r="Z525" s="13"/>
      <c r="AA525" s="13"/>
      <c r="AB525" s="13"/>
      <c r="AC525" s="13"/>
    </row>
    <row r="526" ht="16.5" customHeight="1">
      <c r="A526" s="13"/>
      <c r="B526" s="13"/>
      <c r="C526" s="13"/>
      <c r="D526" s="13"/>
      <c r="E526" s="13"/>
      <c r="F526" s="13"/>
      <c r="G526" s="13"/>
      <c r="H526" s="13"/>
      <c r="I526" s="13"/>
      <c r="J526" s="13"/>
      <c r="K526" s="185"/>
      <c r="L526" s="186"/>
      <c r="M526" s="13"/>
      <c r="N526" s="13"/>
      <c r="O526" s="185"/>
      <c r="P526" s="13"/>
      <c r="Q526" s="13"/>
      <c r="R526" s="177"/>
      <c r="S526" s="35"/>
      <c r="T526" s="35"/>
      <c r="U526" s="13"/>
      <c r="V526" s="13"/>
      <c r="W526" s="13"/>
      <c r="X526" s="13"/>
      <c r="Y526" s="13"/>
      <c r="Z526" s="13"/>
      <c r="AA526" s="13"/>
      <c r="AB526" s="13"/>
      <c r="AC526" s="13"/>
    </row>
    <row r="527" ht="16.5" customHeight="1">
      <c r="A527" s="13"/>
      <c r="B527" s="13"/>
      <c r="C527" s="13"/>
      <c r="D527" s="13"/>
      <c r="E527" s="13"/>
      <c r="F527" s="13"/>
      <c r="G527" s="13"/>
      <c r="H527" s="13"/>
      <c r="I527" s="13"/>
      <c r="J527" s="13"/>
      <c r="K527" s="185"/>
      <c r="L527" s="186"/>
      <c r="M527" s="13"/>
      <c r="N527" s="13"/>
      <c r="O527" s="185"/>
      <c r="P527" s="13"/>
      <c r="Q527" s="13"/>
      <c r="R527" s="177"/>
      <c r="S527" s="35"/>
      <c r="T527" s="35"/>
      <c r="U527" s="13"/>
      <c r="V527" s="13"/>
      <c r="W527" s="13"/>
      <c r="X527" s="13"/>
      <c r="Y527" s="13"/>
      <c r="Z527" s="13"/>
      <c r="AA527" s="13"/>
      <c r="AB527" s="13"/>
      <c r="AC527" s="13"/>
    </row>
    <row r="528" ht="16.5" customHeight="1">
      <c r="A528" s="13"/>
      <c r="B528" s="13"/>
      <c r="C528" s="13"/>
      <c r="D528" s="13"/>
      <c r="E528" s="13"/>
      <c r="F528" s="13"/>
      <c r="G528" s="13"/>
      <c r="H528" s="13"/>
      <c r="I528" s="13"/>
      <c r="J528" s="13"/>
      <c r="K528" s="185"/>
      <c r="L528" s="186"/>
      <c r="M528" s="13"/>
      <c r="N528" s="13"/>
      <c r="O528" s="185"/>
      <c r="P528" s="13"/>
      <c r="Q528" s="13"/>
      <c r="R528" s="177"/>
      <c r="S528" s="35"/>
      <c r="T528" s="35"/>
      <c r="U528" s="13"/>
      <c r="V528" s="13"/>
      <c r="W528" s="13"/>
      <c r="X528" s="13"/>
      <c r="Y528" s="13"/>
      <c r="Z528" s="13"/>
      <c r="AA528" s="13"/>
      <c r="AB528" s="13"/>
      <c r="AC528" s="13"/>
    </row>
    <row r="529" ht="16.5" customHeight="1">
      <c r="A529" s="13"/>
      <c r="B529" s="13"/>
      <c r="C529" s="13"/>
      <c r="D529" s="13"/>
      <c r="E529" s="13"/>
      <c r="F529" s="13"/>
      <c r="G529" s="13"/>
      <c r="H529" s="13"/>
      <c r="I529" s="13"/>
      <c r="J529" s="13"/>
      <c r="K529" s="185"/>
      <c r="L529" s="186"/>
      <c r="M529" s="13"/>
      <c r="N529" s="13"/>
      <c r="O529" s="185"/>
      <c r="P529" s="13"/>
      <c r="Q529" s="13"/>
      <c r="R529" s="177"/>
      <c r="S529" s="35"/>
      <c r="T529" s="35"/>
      <c r="U529" s="13"/>
      <c r="V529" s="13"/>
      <c r="W529" s="13"/>
      <c r="X529" s="13"/>
      <c r="Y529" s="13"/>
      <c r="Z529" s="13"/>
      <c r="AA529" s="13"/>
      <c r="AB529" s="13"/>
      <c r="AC529" s="13"/>
    </row>
    <row r="530" ht="16.5" customHeight="1">
      <c r="A530" s="13"/>
      <c r="B530" s="13"/>
      <c r="C530" s="13"/>
      <c r="D530" s="13"/>
      <c r="E530" s="13"/>
      <c r="F530" s="13"/>
      <c r="G530" s="13"/>
      <c r="H530" s="13"/>
      <c r="I530" s="13"/>
      <c r="J530" s="13"/>
      <c r="K530" s="185"/>
      <c r="L530" s="186"/>
      <c r="M530" s="13"/>
      <c r="N530" s="13"/>
      <c r="O530" s="185"/>
      <c r="P530" s="13"/>
      <c r="Q530" s="13"/>
      <c r="R530" s="177"/>
      <c r="S530" s="35"/>
      <c r="T530" s="35"/>
      <c r="U530" s="13"/>
      <c r="V530" s="13"/>
      <c r="W530" s="13"/>
      <c r="X530" s="13"/>
      <c r="Y530" s="13"/>
      <c r="Z530" s="13"/>
      <c r="AA530" s="13"/>
      <c r="AB530" s="13"/>
      <c r="AC530" s="13"/>
    </row>
    <row r="531" ht="16.5" customHeight="1">
      <c r="A531" s="13"/>
      <c r="B531" s="13"/>
      <c r="C531" s="13"/>
      <c r="D531" s="13"/>
      <c r="E531" s="13"/>
      <c r="F531" s="13"/>
      <c r="G531" s="13"/>
      <c r="H531" s="13"/>
      <c r="I531" s="13"/>
      <c r="J531" s="13"/>
      <c r="K531" s="185"/>
      <c r="L531" s="186"/>
      <c r="M531" s="13"/>
      <c r="N531" s="13"/>
      <c r="O531" s="185"/>
      <c r="P531" s="13"/>
      <c r="Q531" s="13"/>
      <c r="R531" s="177"/>
      <c r="S531" s="35"/>
      <c r="T531" s="35"/>
      <c r="U531" s="13"/>
      <c r="V531" s="13"/>
      <c r="W531" s="13"/>
      <c r="X531" s="13"/>
      <c r="Y531" s="13"/>
      <c r="Z531" s="13"/>
      <c r="AA531" s="13"/>
      <c r="AB531" s="13"/>
      <c r="AC531" s="13"/>
    </row>
    <row r="532" ht="16.5" customHeight="1">
      <c r="A532" s="13"/>
      <c r="B532" s="13"/>
      <c r="C532" s="13"/>
      <c r="D532" s="13"/>
      <c r="E532" s="13"/>
      <c r="F532" s="13"/>
      <c r="G532" s="13"/>
      <c r="H532" s="13"/>
      <c r="I532" s="13"/>
      <c r="J532" s="13"/>
      <c r="K532" s="185"/>
      <c r="L532" s="186"/>
      <c r="M532" s="13"/>
      <c r="N532" s="13"/>
      <c r="O532" s="185"/>
      <c r="P532" s="13"/>
      <c r="Q532" s="13"/>
      <c r="R532" s="177"/>
      <c r="S532" s="35"/>
      <c r="T532" s="35"/>
      <c r="U532" s="13"/>
      <c r="V532" s="13"/>
      <c r="W532" s="13"/>
      <c r="X532" s="13"/>
      <c r="Y532" s="13"/>
      <c r="Z532" s="13"/>
      <c r="AA532" s="13"/>
      <c r="AB532" s="13"/>
      <c r="AC532" s="13"/>
    </row>
    <row r="533" ht="16.5" customHeight="1">
      <c r="A533" s="13"/>
      <c r="B533" s="13"/>
      <c r="C533" s="13"/>
      <c r="D533" s="13"/>
      <c r="E533" s="13"/>
      <c r="F533" s="13"/>
      <c r="G533" s="13"/>
      <c r="H533" s="13"/>
      <c r="I533" s="13"/>
      <c r="J533" s="13"/>
      <c r="K533" s="185"/>
      <c r="L533" s="186"/>
      <c r="M533" s="13"/>
      <c r="N533" s="13"/>
      <c r="O533" s="185"/>
      <c r="P533" s="13"/>
      <c r="Q533" s="13"/>
      <c r="R533" s="177"/>
      <c r="S533" s="35"/>
      <c r="T533" s="35"/>
      <c r="U533" s="13"/>
      <c r="V533" s="13"/>
      <c r="W533" s="13"/>
      <c r="X533" s="13"/>
      <c r="Y533" s="13"/>
      <c r="Z533" s="13"/>
      <c r="AA533" s="13"/>
      <c r="AB533" s="13"/>
      <c r="AC533" s="13"/>
    </row>
    <row r="534" ht="16.5" customHeight="1">
      <c r="A534" s="13"/>
      <c r="B534" s="13"/>
      <c r="C534" s="13"/>
      <c r="D534" s="13"/>
      <c r="E534" s="13"/>
      <c r="F534" s="13"/>
      <c r="G534" s="13"/>
      <c r="H534" s="13"/>
      <c r="I534" s="13"/>
      <c r="J534" s="13"/>
      <c r="K534" s="185"/>
      <c r="L534" s="186"/>
      <c r="M534" s="13"/>
      <c r="N534" s="13"/>
      <c r="O534" s="185"/>
      <c r="P534" s="13"/>
      <c r="Q534" s="13"/>
      <c r="R534" s="177"/>
      <c r="S534" s="35"/>
      <c r="T534" s="35"/>
      <c r="U534" s="13"/>
      <c r="V534" s="13"/>
      <c r="W534" s="13"/>
      <c r="X534" s="13"/>
      <c r="Y534" s="13"/>
      <c r="Z534" s="13"/>
      <c r="AA534" s="13"/>
      <c r="AB534" s="13"/>
      <c r="AC534" s="13"/>
    </row>
    <row r="535" ht="16.5" customHeight="1">
      <c r="A535" s="13"/>
      <c r="B535" s="13"/>
      <c r="C535" s="13"/>
      <c r="D535" s="13"/>
      <c r="E535" s="13"/>
      <c r="F535" s="13"/>
      <c r="G535" s="13"/>
      <c r="H535" s="13"/>
      <c r="I535" s="13"/>
      <c r="J535" s="13"/>
      <c r="K535" s="185"/>
      <c r="L535" s="186"/>
      <c r="M535" s="13"/>
      <c r="N535" s="13"/>
      <c r="O535" s="185"/>
      <c r="P535" s="13"/>
      <c r="Q535" s="13"/>
      <c r="R535" s="177"/>
      <c r="S535" s="35"/>
      <c r="T535" s="35"/>
      <c r="U535" s="13"/>
      <c r="V535" s="13"/>
      <c r="W535" s="13"/>
      <c r="X535" s="13"/>
      <c r="Y535" s="13"/>
      <c r="Z535" s="13"/>
      <c r="AA535" s="13"/>
      <c r="AB535" s="13"/>
      <c r="AC535" s="13"/>
    </row>
    <row r="536" ht="16.5" customHeight="1">
      <c r="A536" s="13"/>
      <c r="B536" s="13"/>
      <c r="C536" s="13"/>
      <c r="D536" s="13"/>
      <c r="E536" s="13"/>
      <c r="F536" s="13"/>
      <c r="G536" s="13"/>
      <c r="H536" s="13"/>
      <c r="I536" s="13"/>
      <c r="J536" s="13"/>
      <c r="K536" s="185"/>
      <c r="L536" s="186"/>
      <c r="M536" s="13"/>
      <c r="N536" s="13"/>
      <c r="O536" s="185"/>
      <c r="P536" s="13"/>
      <c r="Q536" s="13"/>
      <c r="R536" s="177"/>
      <c r="S536" s="35"/>
      <c r="T536" s="35"/>
      <c r="U536" s="13"/>
      <c r="V536" s="13"/>
      <c r="W536" s="13"/>
      <c r="X536" s="13"/>
      <c r="Y536" s="13"/>
      <c r="Z536" s="13"/>
      <c r="AA536" s="13"/>
      <c r="AB536" s="13"/>
      <c r="AC536" s="13"/>
    </row>
    <row r="537" ht="16.5" customHeight="1">
      <c r="A537" s="13"/>
      <c r="B537" s="13"/>
      <c r="C537" s="13"/>
      <c r="D537" s="13"/>
      <c r="E537" s="13"/>
      <c r="F537" s="13"/>
      <c r="G537" s="13"/>
      <c r="H537" s="13"/>
      <c r="I537" s="13"/>
      <c r="J537" s="13"/>
      <c r="K537" s="185"/>
      <c r="L537" s="186"/>
      <c r="M537" s="13"/>
      <c r="N537" s="13"/>
      <c r="O537" s="185"/>
      <c r="P537" s="13"/>
      <c r="Q537" s="13"/>
      <c r="R537" s="177"/>
      <c r="S537" s="35"/>
      <c r="T537" s="35"/>
      <c r="U537" s="13"/>
      <c r="V537" s="13"/>
      <c r="W537" s="13"/>
      <c r="X537" s="13"/>
      <c r="Y537" s="13"/>
      <c r="Z537" s="13"/>
      <c r="AA537" s="13"/>
      <c r="AB537" s="13"/>
      <c r="AC537" s="13"/>
    </row>
    <row r="538" ht="16.5" customHeight="1">
      <c r="A538" s="13"/>
      <c r="B538" s="13"/>
      <c r="C538" s="13"/>
      <c r="D538" s="13"/>
      <c r="E538" s="13"/>
      <c r="F538" s="13"/>
      <c r="G538" s="13"/>
      <c r="H538" s="13"/>
      <c r="I538" s="13"/>
      <c r="J538" s="13"/>
      <c r="K538" s="185"/>
      <c r="L538" s="186"/>
      <c r="M538" s="13"/>
      <c r="N538" s="13"/>
      <c r="O538" s="185"/>
      <c r="P538" s="13"/>
      <c r="Q538" s="13"/>
      <c r="R538" s="177"/>
      <c r="S538" s="35"/>
      <c r="T538" s="35"/>
      <c r="U538" s="13"/>
      <c r="V538" s="13"/>
      <c r="W538" s="13"/>
      <c r="X538" s="13"/>
      <c r="Y538" s="13"/>
      <c r="Z538" s="13"/>
      <c r="AA538" s="13"/>
      <c r="AB538" s="13"/>
      <c r="AC538" s="13"/>
    </row>
    <row r="539" ht="16.5" customHeight="1">
      <c r="A539" s="13"/>
      <c r="B539" s="13"/>
      <c r="C539" s="13"/>
      <c r="D539" s="13"/>
      <c r="E539" s="13"/>
      <c r="F539" s="13"/>
      <c r="G539" s="13"/>
      <c r="H539" s="13"/>
      <c r="I539" s="13"/>
      <c r="J539" s="13"/>
      <c r="K539" s="185"/>
      <c r="L539" s="186"/>
      <c r="M539" s="13"/>
      <c r="N539" s="13"/>
      <c r="O539" s="185"/>
      <c r="P539" s="13"/>
      <c r="Q539" s="13"/>
      <c r="R539" s="177"/>
      <c r="S539" s="35"/>
      <c r="T539" s="35"/>
      <c r="U539" s="13"/>
      <c r="V539" s="13"/>
      <c r="W539" s="13"/>
      <c r="X539" s="13"/>
      <c r="Y539" s="13"/>
      <c r="Z539" s="13"/>
      <c r="AA539" s="13"/>
      <c r="AB539" s="13"/>
      <c r="AC539" s="13"/>
    </row>
    <row r="540" ht="16.5" customHeight="1">
      <c r="A540" s="13"/>
      <c r="B540" s="13"/>
      <c r="C540" s="13"/>
      <c r="D540" s="13"/>
      <c r="E540" s="13"/>
      <c r="F540" s="13"/>
      <c r="G540" s="13"/>
      <c r="H540" s="13"/>
      <c r="I540" s="13"/>
      <c r="J540" s="13"/>
      <c r="K540" s="185"/>
      <c r="L540" s="186"/>
      <c r="M540" s="13"/>
      <c r="N540" s="13"/>
      <c r="O540" s="185"/>
      <c r="P540" s="13"/>
      <c r="Q540" s="13"/>
      <c r="R540" s="177"/>
      <c r="S540" s="35"/>
      <c r="T540" s="35"/>
      <c r="U540" s="13"/>
      <c r="V540" s="13"/>
      <c r="W540" s="13"/>
      <c r="X540" s="13"/>
      <c r="Y540" s="13"/>
      <c r="Z540" s="13"/>
      <c r="AA540" s="13"/>
      <c r="AB540" s="13"/>
      <c r="AC540" s="13"/>
    </row>
    <row r="541" ht="16.5" customHeight="1">
      <c r="A541" s="13"/>
      <c r="B541" s="13"/>
      <c r="C541" s="13"/>
      <c r="D541" s="13"/>
      <c r="E541" s="13"/>
      <c r="F541" s="13"/>
      <c r="G541" s="13"/>
      <c r="H541" s="13"/>
      <c r="I541" s="13"/>
      <c r="J541" s="13"/>
      <c r="K541" s="185"/>
      <c r="L541" s="186"/>
      <c r="M541" s="13"/>
      <c r="N541" s="13"/>
      <c r="O541" s="185"/>
      <c r="P541" s="13"/>
      <c r="Q541" s="13"/>
      <c r="R541" s="177"/>
      <c r="S541" s="35"/>
      <c r="T541" s="35"/>
      <c r="U541" s="13"/>
      <c r="V541" s="13"/>
      <c r="W541" s="13"/>
      <c r="X541" s="13"/>
      <c r="Y541" s="13"/>
      <c r="Z541" s="13"/>
      <c r="AA541" s="13"/>
      <c r="AB541" s="13"/>
      <c r="AC541" s="13"/>
    </row>
    <row r="542" ht="16.5" customHeight="1">
      <c r="A542" s="13"/>
      <c r="B542" s="13"/>
      <c r="C542" s="13"/>
      <c r="D542" s="13"/>
      <c r="E542" s="13"/>
      <c r="F542" s="13"/>
      <c r="G542" s="13"/>
      <c r="H542" s="13"/>
      <c r="I542" s="13"/>
      <c r="J542" s="13"/>
      <c r="K542" s="185"/>
      <c r="L542" s="186"/>
      <c r="M542" s="13"/>
      <c r="N542" s="13"/>
      <c r="O542" s="185"/>
      <c r="P542" s="13"/>
      <c r="Q542" s="13"/>
      <c r="R542" s="177"/>
      <c r="S542" s="35"/>
      <c r="T542" s="35"/>
      <c r="U542" s="13"/>
      <c r="V542" s="13"/>
      <c r="W542" s="13"/>
      <c r="X542" s="13"/>
      <c r="Y542" s="13"/>
      <c r="Z542" s="13"/>
      <c r="AA542" s="13"/>
      <c r="AB542" s="13"/>
      <c r="AC542" s="13"/>
    </row>
    <row r="543" ht="16.5" customHeight="1">
      <c r="A543" s="13"/>
      <c r="B543" s="13"/>
      <c r="C543" s="13"/>
      <c r="D543" s="13"/>
      <c r="E543" s="13"/>
      <c r="F543" s="13"/>
      <c r="G543" s="13"/>
      <c r="H543" s="13"/>
      <c r="I543" s="13"/>
      <c r="J543" s="13"/>
      <c r="K543" s="185"/>
      <c r="L543" s="186"/>
      <c r="M543" s="13"/>
      <c r="N543" s="13"/>
      <c r="O543" s="185"/>
      <c r="P543" s="13"/>
      <c r="Q543" s="13"/>
      <c r="R543" s="177"/>
      <c r="S543" s="35"/>
      <c r="T543" s="35"/>
      <c r="U543" s="13"/>
      <c r="V543" s="13"/>
      <c r="W543" s="13"/>
      <c r="X543" s="13"/>
      <c r="Y543" s="13"/>
      <c r="Z543" s="13"/>
      <c r="AA543" s="13"/>
      <c r="AB543" s="13"/>
      <c r="AC543" s="13"/>
    </row>
    <row r="544" ht="16.5" customHeight="1">
      <c r="A544" s="13"/>
      <c r="B544" s="13"/>
      <c r="C544" s="13"/>
      <c r="D544" s="13"/>
      <c r="E544" s="13"/>
      <c r="F544" s="13"/>
      <c r="G544" s="13"/>
      <c r="H544" s="13"/>
      <c r="I544" s="13"/>
      <c r="J544" s="13"/>
      <c r="K544" s="185"/>
      <c r="L544" s="186"/>
      <c r="M544" s="13"/>
      <c r="N544" s="13"/>
      <c r="O544" s="185"/>
      <c r="P544" s="13"/>
      <c r="Q544" s="13"/>
      <c r="R544" s="177"/>
      <c r="S544" s="35"/>
      <c r="T544" s="35"/>
      <c r="U544" s="13"/>
      <c r="V544" s="13"/>
      <c r="W544" s="13"/>
      <c r="X544" s="13"/>
      <c r="Y544" s="13"/>
      <c r="Z544" s="13"/>
      <c r="AA544" s="13"/>
      <c r="AB544" s="13"/>
      <c r="AC544" s="13"/>
    </row>
    <row r="545" ht="16.5" customHeight="1">
      <c r="A545" s="13"/>
      <c r="B545" s="13"/>
      <c r="C545" s="13"/>
      <c r="D545" s="13"/>
      <c r="E545" s="13"/>
      <c r="F545" s="13"/>
      <c r="G545" s="13"/>
      <c r="H545" s="13"/>
      <c r="I545" s="13"/>
      <c r="J545" s="13"/>
      <c r="K545" s="185"/>
      <c r="L545" s="186"/>
      <c r="M545" s="13"/>
      <c r="N545" s="13"/>
      <c r="O545" s="185"/>
      <c r="P545" s="13"/>
      <c r="Q545" s="13"/>
      <c r="R545" s="177"/>
      <c r="S545" s="35"/>
      <c r="T545" s="35"/>
      <c r="U545" s="13"/>
      <c r="V545" s="13"/>
      <c r="W545" s="13"/>
      <c r="X545" s="13"/>
      <c r="Y545" s="13"/>
      <c r="Z545" s="13"/>
      <c r="AA545" s="13"/>
      <c r="AB545" s="13"/>
      <c r="AC545" s="13"/>
    </row>
    <row r="546" ht="16.5" customHeight="1">
      <c r="A546" s="13"/>
      <c r="B546" s="13"/>
      <c r="C546" s="13"/>
      <c r="D546" s="13"/>
      <c r="E546" s="13"/>
      <c r="F546" s="13"/>
      <c r="G546" s="13"/>
      <c r="H546" s="13"/>
      <c r="I546" s="13"/>
      <c r="J546" s="13"/>
      <c r="K546" s="185"/>
      <c r="L546" s="186"/>
      <c r="M546" s="13"/>
      <c r="N546" s="13"/>
      <c r="O546" s="185"/>
      <c r="P546" s="13"/>
      <c r="Q546" s="13"/>
      <c r="R546" s="177"/>
      <c r="S546" s="35"/>
      <c r="T546" s="35"/>
      <c r="U546" s="13"/>
      <c r="V546" s="13"/>
      <c r="W546" s="13"/>
      <c r="X546" s="13"/>
      <c r="Y546" s="13"/>
      <c r="Z546" s="13"/>
      <c r="AA546" s="13"/>
      <c r="AB546" s="13"/>
      <c r="AC546" s="13"/>
    </row>
    <row r="547" ht="16.5" customHeight="1">
      <c r="A547" s="13"/>
      <c r="B547" s="13"/>
      <c r="C547" s="13"/>
      <c r="D547" s="13"/>
      <c r="E547" s="13"/>
      <c r="F547" s="13"/>
      <c r="G547" s="13"/>
      <c r="H547" s="13"/>
      <c r="I547" s="13"/>
      <c r="J547" s="13"/>
      <c r="K547" s="185"/>
      <c r="L547" s="186"/>
      <c r="M547" s="13"/>
      <c r="N547" s="13"/>
      <c r="O547" s="185"/>
      <c r="P547" s="13"/>
      <c r="Q547" s="13"/>
      <c r="R547" s="177"/>
      <c r="S547" s="35"/>
      <c r="T547" s="35"/>
      <c r="U547" s="13"/>
      <c r="V547" s="13"/>
      <c r="W547" s="13"/>
      <c r="X547" s="13"/>
      <c r="Y547" s="13"/>
      <c r="Z547" s="13"/>
      <c r="AA547" s="13"/>
      <c r="AB547" s="13"/>
      <c r="AC547" s="13"/>
    </row>
    <row r="548" ht="16.5" customHeight="1">
      <c r="A548" s="13"/>
      <c r="B548" s="13"/>
      <c r="C548" s="13"/>
      <c r="D548" s="13"/>
      <c r="E548" s="13"/>
      <c r="F548" s="13"/>
      <c r="G548" s="13"/>
      <c r="H548" s="13"/>
      <c r="I548" s="13"/>
      <c r="J548" s="13"/>
      <c r="K548" s="185"/>
      <c r="L548" s="186"/>
      <c r="M548" s="13"/>
      <c r="N548" s="13"/>
      <c r="O548" s="185"/>
      <c r="P548" s="13"/>
      <c r="Q548" s="13"/>
      <c r="R548" s="177"/>
      <c r="S548" s="35"/>
      <c r="T548" s="35"/>
      <c r="U548" s="13"/>
      <c r="V548" s="13"/>
      <c r="W548" s="13"/>
      <c r="X548" s="13"/>
      <c r="Y548" s="13"/>
      <c r="Z548" s="13"/>
      <c r="AA548" s="13"/>
      <c r="AB548" s="13"/>
      <c r="AC548" s="13"/>
    </row>
    <row r="549" ht="16.5" customHeight="1">
      <c r="A549" s="13"/>
      <c r="B549" s="13"/>
      <c r="C549" s="13"/>
      <c r="D549" s="13"/>
      <c r="E549" s="13"/>
      <c r="F549" s="13"/>
      <c r="G549" s="13"/>
      <c r="H549" s="13"/>
      <c r="I549" s="13"/>
      <c r="J549" s="13"/>
      <c r="K549" s="185"/>
      <c r="L549" s="186"/>
      <c r="M549" s="13"/>
      <c r="N549" s="13"/>
      <c r="O549" s="185"/>
      <c r="P549" s="13"/>
      <c r="Q549" s="13"/>
      <c r="R549" s="177"/>
      <c r="S549" s="35"/>
      <c r="T549" s="35"/>
      <c r="U549" s="13"/>
      <c r="V549" s="13"/>
      <c r="W549" s="13"/>
      <c r="X549" s="13"/>
      <c r="Y549" s="13"/>
      <c r="Z549" s="13"/>
      <c r="AA549" s="13"/>
      <c r="AB549" s="13"/>
      <c r="AC549" s="13"/>
    </row>
    <row r="550" ht="16.5" customHeight="1">
      <c r="A550" s="13"/>
      <c r="B550" s="13"/>
      <c r="C550" s="13"/>
      <c r="D550" s="13"/>
      <c r="E550" s="13"/>
      <c r="F550" s="13"/>
      <c r="G550" s="13"/>
      <c r="H550" s="13"/>
      <c r="I550" s="13"/>
      <c r="J550" s="13"/>
      <c r="K550" s="185"/>
      <c r="L550" s="186"/>
      <c r="M550" s="13"/>
      <c r="N550" s="13"/>
      <c r="O550" s="185"/>
      <c r="P550" s="13"/>
      <c r="Q550" s="13"/>
      <c r="R550" s="177"/>
      <c r="S550" s="35"/>
      <c r="T550" s="35"/>
      <c r="U550" s="13"/>
      <c r="V550" s="13"/>
      <c r="W550" s="13"/>
      <c r="X550" s="13"/>
      <c r="Y550" s="13"/>
      <c r="Z550" s="13"/>
      <c r="AA550" s="13"/>
      <c r="AB550" s="13"/>
      <c r="AC550" s="13"/>
    </row>
    <row r="551" ht="16.5" customHeight="1">
      <c r="A551" s="13"/>
      <c r="B551" s="13"/>
      <c r="C551" s="13"/>
      <c r="D551" s="13"/>
      <c r="E551" s="13"/>
      <c r="F551" s="13"/>
      <c r="G551" s="13"/>
      <c r="H551" s="13"/>
      <c r="I551" s="13"/>
      <c r="J551" s="13"/>
      <c r="K551" s="185"/>
      <c r="L551" s="186"/>
      <c r="M551" s="13"/>
      <c r="N551" s="13"/>
      <c r="O551" s="185"/>
      <c r="P551" s="13"/>
      <c r="Q551" s="13"/>
      <c r="R551" s="177"/>
      <c r="S551" s="35"/>
      <c r="T551" s="35"/>
      <c r="U551" s="13"/>
      <c r="V551" s="13"/>
      <c r="W551" s="13"/>
      <c r="X551" s="13"/>
      <c r="Y551" s="13"/>
      <c r="Z551" s="13"/>
      <c r="AA551" s="13"/>
      <c r="AB551" s="13"/>
      <c r="AC551" s="13"/>
    </row>
    <row r="552" ht="16.5" customHeight="1">
      <c r="A552" s="13"/>
      <c r="B552" s="13"/>
      <c r="C552" s="13"/>
      <c r="D552" s="13"/>
      <c r="E552" s="13"/>
      <c r="F552" s="13"/>
      <c r="G552" s="13"/>
      <c r="H552" s="13"/>
      <c r="I552" s="13"/>
      <c r="J552" s="13"/>
      <c r="K552" s="185"/>
      <c r="L552" s="186"/>
      <c r="M552" s="13"/>
      <c r="N552" s="13"/>
      <c r="O552" s="185"/>
      <c r="P552" s="13"/>
      <c r="Q552" s="13"/>
      <c r="R552" s="177"/>
      <c r="S552" s="35"/>
      <c r="T552" s="35"/>
      <c r="U552" s="13"/>
      <c r="V552" s="13"/>
      <c r="W552" s="13"/>
      <c r="X552" s="13"/>
      <c r="Y552" s="13"/>
      <c r="Z552" s="13"/>
      <c r="AA552" s="13"/>
      <c r="AB552" s="13"/>
      <c r="AC552" s="13"/>
    </row>
    <row r="553" ht="16.5" customHeight="1">
      <c r="A553" s="13"/>
      <c r="B553" s="13"/>
      <c r="C553" s="13"/>
      <c r="D553" s="13"/>
      <c r="E553" s="13"/>
      <c r="F553" s="13"/>
      <c r="G553" s="13"/>
      <c r="H553" s="13"/>
      <c r="I553" s="13"/>
      <c r="J553" s="13"/>
      <c r="K553" s="185"/>
      <c r="L553" s="186"/>
      <c r="M553" s="13"/>
      <c r="N553" s="13"/>
      <c r="O553" s="185"/>
      <c r="P553" s="13"/>
      <c r="Q553" s="13"/>
      <c r="R553" s="177"/>
      <c r="S553" s="35"/>
      <c r="T553" s="35"/>
      <c r="U553" s="13"/>
      <c r="V553" s="13"/>
      <c r="W553" s="13"/>
      <c r="X553" s="13"/>
      <c r="Y553" s="13"/>
      <c r="Z553" s="13"/>
      <c r="AA553" s="13"/>
      <c r="AB553" s="13"/>
      <c r="AC553" s="13"/>
    </row>
    <row r="554" ht="16.5" customHeight="1">
      <c r="A554" s="13"/>
      <c r="B554" s="13"/>
      <c r="C554" s="13"/>
      <c r="D554" s="13"/>
      <c r="E554" s="13"/>
      <c r="F554" s="13"/>
      <c r="G554" s="13"/>
      <c r="H554" s="13"/>
      <c r="I554" s="13"/>
      <c r="J554" s="13"/>
      <c r="K554" s="185"/>
      <c r="L554" s="186"/>
      <c r="M554" s="13"/>
      <c r="N554" s="13"/>
      <c r="O554" s="185"/>
      <c r="P554" s="13"/>
      <c r="Q554" s="13"/>
      <c r="R554" s="177"/>
      <c r="S554" s="35"/>
      <c r="T554" s="35"/>
      <c r="U554" s="13"/>
      <c r="V554" s="13"/>
      <c r="W554" s="13"/>
      <c r="X554" s="13"/>
      <c r="Y554" s="13"/>
      <c r="Z554" s="13"/>
      <c r="AA554" s="13"/>
      <c r="AB554" s="13"/>
      <c r="AC554" s="13"/>
    </row>
    <row r="555" ht="16.5" customHeight="1">
      <c r="A555" s="13"/>
      <c r="B555" s="13"/>
      <c r="C555" s="13"/>
      <c r="D555" s="13"/>
      <c r="E555" s="13"/>
      <c r="F555" s="13"/>
      <c r="G555" s="13"/>
      <c r="H555" s="13"/>
      <c r="I555" s="13"/>
      <c r="J555" s="13"/>
      <c r="K555" s="185"/>
      <c r="L555" s="186"/>
      <c r="M555" s="13"/>
      <c r="N555" s="13"/>
      <c r="O555" s="185"/>
      <c r="P555" s="13"/>
      <c r="Q555" s="13"/>
      <c r="R555" s="177"/>
      <c r="S555" s="35"/>
      <c r="T555" s="35"/>
      <c r="U555" s="13"/>
      <c r="V555" s="13"/>
      <c r="W555" s="13"/>
      <c r="X555" s="13"/>
      <c r="Y555" s="13"/>
      <c r="Z555" s="13"/>
      <c r="AA555" s="13"/>
      <c r="AB555" s="13"/>
      <c r="AC555" s="13"/>
    </row>
    <row r="556" ht="16.5" customHeight="1">
      <c r="A556" s="13"/>
      <c r="B556" s="13"/>
      <c r="C556" s="13"/>
      <c r="D556" s="13"/>
      <c r="E556" s="13"/>
      <c r="F556" s="13"/>
      <c r="G556" s="13"/>
      <c r="H556" s="13"/>
      <c r="I556" s="13"/>
      <c r="J556" s="13"/>
      <c r="K556" s="185"/>
      <c r="L556" s="186"/>
      <c r="M556" s="13"/>
      <c r="N556" s="13"/>
      <c r="O556" s="185"/>
      <c r="P556" s="13"/>
      <c r="Q556" s="13"/>
      <c r="R556" s="177"/>
      <c r="S556" s="35"/>
      <c r="T556" s="35"/>
      <c r="U556" s="13"/>
      <c r="V556" s="13"/>
      <c r="W556" s="13"/>
      <c r="X556" s="13"/>
      <c r="Y556" s="13"/>
      <c r="Z556" s="13"/>
      <c r="AA556" s="13"/>
      <c r="AB556" s="13"/>
      <c r="AC556" s="13"/>
    </row>
    <row r="557" ht="16.5" customHeight="1">
      <c r="A557" s="13"/>
      <c r="B557" s="13"/>
      <c r="C557" s="13"/>
      <c r="D557" s="13"/>
      <c r="E557" s="13"/>
      <c r="F557" s="13"/>
      <c r="G557" s="13"/>
      <c r="H557" s="13"/>
      <c r="I557" s="13"/>
      <c r="J557" s="13"/>
      <c r="K557" s="185"/>
      <c r="L557" s="186"/>
      <c r="M557" s="13"/>
      <c r="N557" s="13"/>
      <c r="O557" s="185"/>
      <c r="P557" s="13"/>
      <c r="Q557" s="13"/>
      <c r="R557" s="177"/>
      <c r="S557" s="35"/>
      <c r="T557" s="35"/>
      <c r="U557" s="13"/>
      <c r="V557" s="13"/>
      <c r="W557" s="13"/>
      <c r="X557" s="13"/>
      <c r="Y557" s="13"/>
      <c r="Z557" s="13"/>
      <c r="AA557" s="13"/>
      <c r="AB557" s="13"/>
      <c r="AC557" s="13"/>
    </row>
    <row r="558" ht="16.5" customHeight="1">
      <c r="A558" s="13"/>
      <c r="B558" s="13"/>
      <c r="C558" s="13"/>
      <c r="D558" s="13"/>
      <c r="E558" s="13"/>
      <c r="F558" s="13"/>
      <c r="G558" s="13"/>
      <c r="H558" s="13"/>
      <c r="I558" s="13"/>
      <c r="J558" s="13"/>
      <c r="K558" s="185"/>
      <c r="L558" s="186"/>
      <c r="M558" s="13"/>
      <c r="N558" s="13"/>
      <c r="O558" s="185"/>
      <c r="P558" s="13"/>
      <c r="Q558" s="13"/>
      <c r="R558" s="177"/>
      <c r="S558" s="35"/>
      <c r="T558" s="35"/>
      <c r="U558" s="13"/>
      <c r="V558" s="13"/>
      <c r="W558" s="13"/>
      <c r="X558" s="13"/>
      <c r="Y558" s="13"/>
      <c r="Z558" s="13"/>
      <c r="AA558" s="13"/>
      <c r="AB558" s="13"/>
      <c r="AC558" s="13"/>
    </row>
    <row r="559" ht="16.5" customHeight="1">
      <c r="A559" s="13"/>
      <c r="B559" s="13"/>
      <c r="C559" s="13"/>
      <c r="D559" s="13"/>
      <c r="E559" s="13"/>
      <c r="F559" s="13"/>
      <c r="G559" s="13"/>
      <c r="H559" s="13"/>
      <c r="I559" s="13"/>
      <c r="J559" s="13"/>
      <c r="K559" s="185"/>
      <c r="L559" s="186"/>
      <c r="M559" s="13"/>
      <c r="N559" s="13"/>
      <c r="O559" s="185"/>
      <c r="P559" s="13"/>
      <c r="Q559" s="13"/>
      <c r="R559" s="177"/>
      <c r="S559" s="35"/>
      <c r="T559" s="35"/>
      <c r="U559" s="13"/>
      <c r="V559" s="13"/>
      <c r="W559" s="13"/>
      <c r="X559" s="13"/>
      <c r="Y559" s="13"/>
      <c r="Z559" s="13"/>
      <c r="AA559" s="13"/>
      <c r="AB559" s="13"/>
      <c r="AC559" s="13"/>
    </row>
    <row r="560" ht="16.5" customHeight="1">
      <c r="A560" s="13"/>
      <c r="B560" s="13"/>
      <c r="C560" s="13"/>
      <c r="D560" s="13"/>
      <c r="E560" s="13"/>
      <c r="F560" s="13"/>
      <c r="G560" s="13"/>
      <c r="H560" s="13"/>
      <c r="I560" s="13"/>
      <c r="J560" s="13"/>
      <c r="K560" s="185"/>
      <c r="L560" s="186"/>
      <c r="M560" s="13"/>
      <c r="N560" s="13"/>
      <c r="O560" s="185"/>
      <c r="P560" s="13"/>
      <c r="Q560" s="13"/>
      <c r="R560" s="177"/>
      <c r="S560" s="35"/>
      <c r="T560" s="35"/>
      <c r="U560" s="13"/>
      <c r="V560" s="13"/>
      <c r="W560" s="13"/>
      <c r="X560" s="13"/>
      <c r="Y560" s="13"/>
      <c r="Z560" s="13"/>
      <c r="AA560" s="13"/>
      <c r="AB560" s="13"/>
      <c r="AC560" s="13"/>
    </row>
    <row r="561" ht="16.5" customHeight="1">
      <c r="A561" s="13"/>
      <c r="B561" s="13"/>
      <c r="C561" s="13"/>
      <c r="D561" s="13"/>
      <c r="E561" s="13"/>
      <c r="F561" s="13"/>
      <c r="G561" s="13"/>
      <c r="H561" s="13"/>
      <c r="I561" s="13"/>
      <c r="J561" s="13"/>
      <c r="K561" s="185"/>
      <c r="L561" s="186"/>
      <c r="M561" s="13"/>
      <c r="N561" s="13"/>
      <c r="O561" s="185"/>
      <c r="P561" s="13"/>
      <c r="Q561" s="13"/>
      <c r="R561" s="177"/>
      <c r="S561" s="35"/>
      <c r="T561" s="35"/>
      <c r="U561" s="13"/>
      <c r="V561" s="13"/>
      <c r="W561" s="13"/>
      <c r="X561" s="13"/>
      <c r="Y561" s="13"/>
      <c r="Z561" s="13"/>
      <c r="AA561" s="13"/>
      <c r="AB561" s="13"/>
      <c r="AC561" s="13"/>
    </row>
    <row r="562" ht="16.5" customHeight="1">
      <c r="A562" s="13"/>
      <c r="B562" s="13"/>
      <c r="C562" s="13"/>
      <c r="D562" s="13"/>
      <c r="E562" s="13"/>
      <c r="F562" s="13"/>
      <c r="G562" s="13"/>
      <c r="H562" s="13"/>
      <c r="I562" s="13"/>
      <c r="J562" s="13"/>
      <c r="K562" s="185"/>
      <c r="L562" s="186"/>
      <c r="M562" s="13"/>
      <c r="N562" s="13"/>
      <c r="O562" s="185"/>
      <c r="P562" s="13"/>
      <c r="Q562" s="13"/>
      <c r="R562" s="177"/>
      <c r="S562" s="35"/>
      <c r="T562" s="35"/>
      <c r="U562" s="13"/>
      <c r="V562" s="13"/>
      <c r="W562" s="13"/>
      <c r="X562" s="13"/>
      <c r="Y562" s="13"/>
      <c r="Z562" s="13"/>
      <c r="AA562" s="13"/>
      <c r="AB562" s="13"/>
      <c r="AC562" s="13"/>
    </row>
    <row r="563" ht="16.5" customHeight="1">
      <c r="A563" s="13"/>
      <c r="B563" s="13"/>
      <c r="C563" s="13"/>
      <c r="D563" s="13"/>
      <c r="E563" s="13"/>
      <c r="F563" s="13"/>
      <c r="G563" s="13"/>
      <c r="H563" s="13"/>
      <c r="I563" s="13"/>
      <c r="J563" s="13"/>
      <c r="K563" s="185"/>
      <c r="L563" s="186"/>
      <c r="M563" s="13"/>
      <c r="N563" s="13"/>
      <c r="O563" s="185"/>
      <c r="P563" s="13"/>
      <c r="Q563" s="13"/>
      <c r="R563" s="177"/>
      <c r="S563" s="35"/>
      <c r="T563" s="35"/>
      <c r="U563" s="13"/>
      <c r="V563" s="13"/>
      <c r="W563" s="13"/>
      <c r="X563" s="13"/>
      <c r="Y563" s="13"/>
      <c r="Z563" s="13"/>
      <c r="AA563" s="13"/>
      <c r="AB563" s="13"/>
      <c r="AC563" s="13"/>
    </row>
    <row r="564" ht="16.5" customHeight="1">
      <c r="A564" s="13"/>
      <c r="B564" s="13"/>
      <c r="C564" s="13"/>
      <c r="D564" s="13"/>
      <c r="E564" s="13"/>
      <c r="F564" s="13"/>
      <c r="G564" s="13"/>
      <c r="H564" s="13"/>
      <c r="I564" s="13"/>
      <c r="J564" s="13"/>
      <c r="K564" s="185"/>
      <c r="L564" s="186"/>
      <c r="M564" s="13"/>
      <c r="N564" s="13"/>
      <c r="O564" s="185"/>
      <c r="P564" s="13"/>
      <c r="Q564" s="13"/>
      <c r="R564" s="177"/>
      <c r="S564" s="35"/>
      <c r="T564" s="35"/>
      <c r="U564" s="13"/>
      <c r="V564" s="13"/>
      <c r="W564" s="13"/>
      <c r="X564" s="13"/>
      <c r="Y564" s="13"/>
      <c r="Z564" s="13"/>
      <c r="AA564" s="13"/>
      <c r="AB564" s="13"/>
      <c r="AC564" s="13"/>
    </row>
    <row r="565" ht="16.5" customHeight="1">
      <c r="A565" s="13"/>
      <c r="B565" s="13"/>
      <c r="C565" s="13"/>
      <c r="D565" s="13"/>
      <c r="E565" s="13"/>
      <c r="F565" s="13"/>
      <c r="G565" s="13"/>
      <c r="H565" s="13"/>
      <c r="I565" s="13"/>
      <c r="J565" s="13"/>
      <c r="K565" s="185"/>
      <c r="L565" s="186"/>
      <c r="M565" s="13"/>
      <c r="N565" s="13"/>
      <c r="O565" s="185"/>
      <c r="P565" s="13"/>
      <c r="Q565" s="13"/>
      <c r="R565" s="177"/>
      <c r="S565" s="35"/>
      <c r="T565" s="35"/>
      <c r="U565" s="13"/>
      <c r="V565" s="13"/>
      <c r="W565" s="13"/>
      <c r="X565" s="13"/>
      <c r="Y565" s="13"/>
      <c r="Z565" s="13"/>
      <c r="AA565" s="13"/>
      <c r="AB565" s="13"/>
      <c r="AC565" s="13"/>
    </row>
    <row r="566" ht="16.5" customHeight="1">
      <c r="A566" s="13"/>
      <c r="B566" s="13"/>
      <c r="C566" s="13"/>
      <c r="D566" s="13"/>
      <c r="E566" s="13"/>
      <c r="F566" s="13"/>
      <c r="G566" s="13"/>
      <c r="H566" s="13"/>
      <c r="I566" s="13"/>
      <c r="J566" s="13"/>
      <c r="K566" s="185"/>
      <c r="L566" s="186"/>
      <c r="M566" s="13"/>
      <c r="N566" s="13"/>
      <c r="O566" s="185"/>
      <c r="P566" s="13"/>
      <c r="Q566" s="13"/>
      <c r="R566" s="177"/>
      <c r="S566" s="35"/>
      <c r="T566" s="35"/>
      <c r="U566" s="13"/>
      <c r="V566" s="13"/>
      <c r="W566" s="13"/>
      <c r="X566" s="13"/>
      <c r="Y566" s="13"/>
      <c r="Z566" s="13"/>
      <c r="AA566" s="13"/>
      <c r="AB566" s="13"/>
      <c r="AC566" s="13"/>
    </row>
    <row r="567" ht="16.5" customHeight="1">
      <c r="A567" s="13"/>
      <c r="B567" s="13"/>
      <c r="C567" s="13"/>
      <c r="D567" s="13"/>
      <c r="E567" s="13"/>
      <c r="F567" s="13"/>
      <c r="G567" s="13"/>
      <c r="H567" s="13"/>
      <c r="I567" s="13"/>
      <c r="J567" s="13"/>
      <c r="K567" s="185"/>
      <c r="L567" s="186"/>
      <c r="M567" s="13"/>
      <c r="N567" s="13"/>
      <c r="O567" s="185"/>
      <c r="P567" s="13"/>
      <c r="Q567" s="13"/>
      <c r="R567" s="177"/>
      <c r="S567" s="35"/>
      <c r="T567" s="35"/>
      <c r="U567" s="13"/>
      <c r="V567" s="13"/>
      <c r="W567" s="13"/>
      <c r="X567" s="13"/>
      <c r="Y567" s="13"/>
      <c r="Z567" s="13"/>
      <c r="AA567" s="13"/>
      <c r="AB567" s="13"/>
      <c r="AC567" s="13"/>
    </row>
    <row r="568" ht="16.5" customHeight="1">
      <c r="A568" s="13"/>
      <c r="B568" s="13"/>
      <c r="C568" s="13"/>
      <c r="D568" s="13"/>
      <c r="E568" s="13"/>
      <c r="F568" s="13"/>
      <c r="G568" s="13"/>
      <c r="H568" s="13"/>
      <c r="I568" s="13"/>
      <c r="J568" s="13"/>
      <c r="K568" s="185"/>
      <c r="L568" s="186"/>
      <c r="M568" s="13"/>
      <c r="N568" s="13"/>
      <c r="O568" s="185"/>
      <c r="P568" s="13"/>
      <c r="Q568" s="13"/>
      <c r="R568" s="177"/>
      <c r="S568" s="35"/>
      <c r="T568" s="35"/>
      <c r="U568" s="13"/>
      <c r="V568" s="13"/>
      <c r="W568" s="13"/>
      <c r="X568" s="13"/>
      <c r="Y568" s="13"/>
      <c r="Z568" s="13"/>
      <c r="AA568" s="13"/>
      <c r="AB568" s="13"/>
      <c r="AC568" s="13"/>
    </row>
    <row r="569" ht="16.5" customHeight="1">
      <c r="A569" s="13"/>
      <c r="B569" s="13"/>
      <c r="C569" s="13"/>
      <c r="D569" s="13"/>
      <c r="E569" s="13"/>
      <c r="F569" s="13"/>
      <c r="G569" s="13"/>
      <c r="H569" s="13"/>
      <c r="I569" s="13"/>
      <c r="J569" s="13"/>
      <c r="K569" s="185"/>
      <c r="L569" s="186"/>
      <c r="M569" s="13"/>
      <c r="N569" s="13"/>
      <c r="O569" s="185"/>
      <c r="P569" s="13"/>
      <c r="Q569" s="13"/>
      <c r="R569" s="177"/>
      <c r="S569" s="35"/>
      <c r="T569" s="35"/>
      <c r="U569" s="13"/>
      <c r="V569" s="13"/>
      <c r="W569" s="13"/>
      <c r="X569" s="13"/>
      <c r="Y569" s="13"/>
      <c r="Z569" s="13"/>
      <c r="AA569" s="13"/>
      <c r="AB569" s="13"/>
      <c r="AC569" s="13"/>
    </row>
    <row r="570" ht="16.5" customHeight="1">
      <c r="A570" s="13"/>
      <c r="B570" s="13"/>
      <c r="C570" s="13"/>
      <c r="D570" s="13"/>
      <c r="E570" s="13"/>
      <c r="F570" s="13"/>
      <c r="G570" s="13"/>
      <c r="H570" s="13"/>
      <c r="I570" s="13"/>
      <c r="J570" s="13"/>
      <c r="K570" s="185"/>
      <c r="L570" s="186"/>
      <c r="M570" s="13"/>
      <c r="N570" s="13"/>
      <c r="O570" s="185"/>
      <c r="P570" s="13"/>
      <c r="Q570" s="13"/>
      <c r="R570" s="177"/>
      <c r="S570" s="35"/>
      <c r="T570" s="35"/>
      <c r="U570" s="13"/>
      <c r="V570" s="13"/>
      <c r="W570" s="13"/>
      <c r="X570" s="13"/>
      <c r="Y570" s="13"/>
      <c r="Z570" s="13"/>
      <c r="AA570" s="13"/>
      <c r="AB570" s="13"/>
      <c r="AC570" s="13"/>
    </row>
    <row r="571" ht="16.5" customHeight="1">
      <c r="A571" s="13"/>
      <c r="B571" s="13"/>
      <c r="C571" s="13"/>
      <c r="D571" s="13"/>
      <c r="E571" s="13"/>
      <c r="F571" s="13"/>
      <c r="G571" s="13"/>
      <c r="H571" s="13"/>
      <c r="I571" s="13"/>
      <c r="J571" s="13"/>
      <c r="K571" s="185"/>
      <c r="L571" s="186"/>
      <c r="M571" s="13"/>
      <c r="N571" s="13"/>
      <c r="O571" s="185"/>
      <c r="P571" s="13"/>
      <c r="Q571" s="13"/>
      <c r="R571" s="177"/>
      <c r="S571" s="35"/>
      <c r="T571" s="35"/>
      <c r="U571" s="13"/>
      <c r="V571" s="13"/>
      <c r="W571" s="13"/>
      <c r="X571" s="13"/>
      <c r="Y571" s="13"/>
      <c r="Z571" s="13"/>
      <c r="AA571" s="13"/>
      <c r="AB571" s="13"/>
      <c r="AC571" s="13"/>
    </row>
    <row r="572" ht="16.5" customHeight="1">
      <c r="A572" s="13"/>
      <c r="B572" s="13"/>
      <c r="C572" s="13"/>
      <c r="D572" s="13"/>
      <c r="E572" s="13"/>
      <c r="F572" s="13"/>
      <c r="G572" s="13"/>
      <c r="H572" s="13"/>
      <c r="I572" s="13"/>
      <c r="J572" s="13"/>
      <c r="K572" s="185"/>
      <c r="L572" s="186"/>
      <c r="M572" s="13"/>
      <c r="N572" s="13"/>
      <c r="O572" s="185"/>
      <c r="P572" s="13"/>
      <c r="Q572" s="13"/>
      <c r="R572" s="177"/>
      <c r="S572" s="35"/>
      <c r="T572" s="35"/>
      <c r="U572" s="13"/>
      <c r="V572" s="13"/>
      <c r="W572" s="13"/>
      <c r="X572" s="13"/>
      <c r="Y572" s="13"/>
      <c r="Z572" s="13"/>
      <c r="AA572" s="13"/>
      <c r="AB572" s="13"/>
      <c r="AC572" s="13"/>
    </row>
    <row r="573" ht="16.5" customHeight="1">
      <c r="A573" s="13"/>
      <c r="B573" s="13"/>
      <c r="C573" s="13"/>
      <c r="D573" s="13"/>
      <c r="E573" s="13"/>
      <c r="F573" s="13"/>
      <c r="G573" s="13"/>
      <c r="H573" s="13"/>
      <c r="I573" s="13"/>
      <c r="J573" s="13"/>
      <c r="K573" s="185"/>
      <c r="L573" s="186"/>
      <c r="M573" s="13"/>
      <c r="N573" s="13"/>
      <c r="O573" s="185"/>
      <c r="P573" s="13"/>
      <c r="Q573" s="13"/>
      <c r="R573" s="177"/>
      <c r="S573" s="35"/>
      <c r="T573" s="35"/>
      <c r="U573" s="13"/>
      <c r="V573" s="13"/>
      <c r="W573" s="13"/>
      <c r="X573" s="13"/>
      <c r="Y573" s="13"/>
      <c r="Z573" s="13"/>
      <c r="AA573" s="13"/>
      <c r="AB573" s="13"/>
      <c r="AC573" s="13"/>
    </row>
    <row r="574" ht="16.5" customHeight="1">
      <c r="A574" s="13"/>
      <c r="B574" s="13"/>
      <c r="C574" s="13"/>
      <c r="D574" s="13"/>
      <c r="E574" s="13"/>
      <c r="F574" s="13"/>
      <c r="G574" s="13"/>
      <c r="H574" s="13"/>
      <c r="I574" s="13"/>
      <c r="J574" s="13"/>
      <c r="K574" s="185"/>
      <c r="L574" s="186"/>
      <c r="M574" s="13"/>
      <c r="N574" s="13"/>
      <c r="O574" s="185"/>
      <c r="P574" s="13"/>
      <c r="Q574" s="13"/>
      <c r="R574" s="177"/>
      <c r="S574" s="35"/>
      <c r="T574" s="35"/>
      <c r="U574" s="13"/>
      <c r="V574" s="13"/>
      <c r="W574" s="13"/>
      <c r="X574" s="13"/>
      <c r="Y574" s="13"/>
      <c r="Z574" s="13"/>
      <c r="AA574" s="13"/>
      <c r="AB574" s="13"/>
      <c r="AC574" s="13"/>
    </row>
    <row r="575" ht="16.5" customHeight="1">
      <c r="A575" s="13"/>
      <c r="B575" s="13"/>
      <c r="C575" s="13"/>
      <c r="D575" s="13"/>
      <c r="E575" s="13"/>
      <c r="F575" s="13"/>
      <c r="G575" s="13"/>
      <c r="H575" s="13"/>
      <c r="I575" s="13"/>
      <c r="J575" s="13"/>
      <c r="K575" s="185"/>
      <c r="L575" s="186"/>
      <c r="M575" s="13"/>
      <c r="N575" s="13"/>
      <c r="O575" s="185"/>
      <c r="P575" s="13"/>
      <c r="Q575" s="13"/>
      <c r="R575" s="177"/>
      <c r="S575" s="35"/>
      <c r="T575" s="35"/>
      <c r="U575" s="13"/>
      <c r="V575" s="13"/>
      <c r="W575" s="13"/>
      <c r="X575" s="13"/>
      <c r="Y575" s="13"/>
      <c r="Z575" s="13"/>
      <c r="AA575" s="13"/>
      <c r="AB575" s="13"/>
      <c r="AC575" s="13"/>
    </row>
    <row r="576" ht="16.5" customHeight="1">
      <c r="A576" s="13"/>
      <c r="B576" s="13"/>
      <c r="C576" s="13"/>
      <c r="D576" s="13"/>
      <c r="E576" s="13"/>
      <c r="F576" s="13"/>
      <c r="G576" s="13"/>
      <c r="H576" s="13"/>
      <c r="I576" s="13"/>
      <c r="J576" s="13"/>
      <c r="K576" s="185"/>
      <c r="L576" s="186"/>
      <c r="M576" s="13"/>
      <c r="N576" s="13"/>
      <c r="O576" s="185"/>
      <c r="P576" s="13"/>
      <c r="Q576" s="13"/>
      <c r="R576" s="177"/>
      <c r="S576" s="35"/>
      <c r="T576" s="35"/>
      <c r="U576" s="13"/>
      <c r="V576" s="13"/>
      <c r="W576" s="13"/>
      <c r="X576" s="13"/>
      <c r="Y576" s="13"/>
      <c r="Z576" s="13"/>
      <c r="AA576" s="13"/>
      <c r="AB576" s="13"/>
      <c r="AC576" s="13"/>
    </row>
    <row r="577" ht="16.5" customHeight="1">
      <c r="A577" s="13"/>
      <c r="B577" s="13"/>
      <c r="C577" s="13"/>
      <c r="D577" s="13"/>
      <c r="E577" s="13"/>
      <c r="F577" s="13"/>
      <c r="G577" s="13"/>
      <c r="H577" s="13"/>
      <c r="I577" s="13"/>
      <c r="J577" s="13"/>
      <c r="K577" s="185"/>
      <c r="L577" s="186"/>
      <c r="M577" s="13"/>
      <c r="N577" s="13"/>
      <c r="O577" s="185"/>
      <c r="P577" s="13"/>
      <c r="Q577" s="13"/>
      <c r="R577" s="177"/>
      <c r="S577" s="35"/>
      <c r="T577" s="35"/>
      <c r="U577" s="13"/>
      <c r="V577" s="13"/>
      <c r="W577" s="13"/>
      <c r="X577" s="13"/>
      <c r="Y577" s="13"/>
      <c r="Z577" s="13"/>
      <c r="AA577" s="13"/>
      <c r="AB577" s="13"/>
      <c r="AC577" s="13"/>
    </row>
    <row r="578" ht="16.5" customHeight="1">
      <c r="A578" s="13"/>
      <c r="B578" s="13"/>
      <c r="C578" s="13"/>
      <c r="D578" s="13"/>
      <c r="E578" s="13"/>
      <c r="F578" s="13"/>
      <c r="G578" s="13"/>
      <c r="H578" s="13"/>
      <c r="I578" s="13"/>
      <c r="J578" s="13"/>
      <c r="K578" s="185"/>
      <c r="L578" s="186"/>
      <c r="M578" s="13"/>
      <c r="N578" s="13"/>
      <c r="O578" s="185"/>
      <c r="P578" s="13"/>
      <c r="Q578" s="13"/>
      <c r="R578" s="177"/>
      <c r="S578" s="35"/>
      <c r="T578" s="35"/>
      <c r="U578" s="13"/>
      <c r="V578" s="13"/>
      <c r="W578" s="13"/>
      <c r="X578" s="13"/>
      <c r="Y578" s="13"/>
      <c r="Z578" s="13"/>
      <c r="AA578" s="13"/>
      <c r="AB578" s="13"/>
      <c r="AC578" s="13"/>
    </row>
    <row r="579" ht="16.5" customHeight="1">
      <c r="A579" s="13"/>
      <c r="B579" s="13"/>
      <c r="C579" s="13"/>
      <c r="D579" s="13"/>
      <c r="E579" s="13"/>
      <c r="F579" s="13"/>
      <c r="G579" s="13"/>
      <c r="H579" s="13"/>
      <c r="I579" s="13"/>
      <c r="J579" s="13"/>
      <c r="K579" s="185"/>
      <c r="L579" s="186"/>
      <c r="M579" s="13"/>
      <c r="N579" s="13"/>
      <c r="O579" s="185"/>
      <c r="P579" s="13"/>
      <c r="Q579" s="13"/>
      <c r="R579" s="177"/>
      <c r="S579" s="35"/>
      <c r="T579" s="35"/>
      <c r="U579" s="13"/>
      <c r="V579" s="13"/>
      <c r="W579" s="13"/>
      <c r="X579" s="13"/>
      <c r="Y579" s="13"/>
      <c r="Z579" s="13"/>
      <c r="AA579" s="13"/>
      <c r="AB579" s="13"/>
      <c r="AC579" s="13"/>
    </row>
    <row r="580" ht="16.5" customHeight="1">
      <c r="A580" s="13"/>
      <c r="B580" s="13"/>
      <c r="C580" s="13"/>
      <c r="D580" s="13"/>
      <c r="E580" s="13"/>
      <c r="F580" s="13"/>
      <c r="G580" s="13"/>
      <c r="H580" s="13"/>
      <c r="I580" s="13"/>
      <c r="J580" s="13"/>
      <c r="K580" s="185"/>
      <c r="L580" s="186"/>
      <c r="M580" s="13"/>
      <c r="N580" s="13"/>
      <c r="O580" s="185"/>
      <c r="P580" s="13"/>
      <c r="Q580" s="13"/>
      <c r="R580" s="177"/>
      <c r="S580" s="35"/>
      <c r="T580" s="35"/>
      <c r="U580" s="13"/>
      <c r="V580" s="13"/>
      <c r="W580" s="13"/>
      <c r="X580" s="13"/>
      <c r="Y580" s="13"/>
      <c r="Z580" s="13"/>
      <c r="AA580" s="13"/>
      <c r="AB580" s="13"/>
      <c r="AC580" s="13"/>
    </row>
    <row r="581" ht="16.5" customHeight="1">
      <c r="A581" s="13"/>
      <c r="B581" s="13"/>
      <c r="C581" s="13"/>
      <c r="D581" s="13"/>
      <c r="E581" s="13"/>
      <c r="F581" s="13"/>
      <c r="G581" s="13"/>
      <c r="H581" s="13"/>
      <c r="I581" s="13"/>
      <c r="J581" s="13"/>
      <c r="K581" s="185"/>
      <c r="L581" s="186"/>
      <c r="M581" s="13"/>
      <c r="N581" s="13"/>
      <c r="O581" s="185"/>
      <c r="P581" s="13"/>
      <c r="Q581" s="13"/>
      <c r="R581" s="177"/>
      <c r="S581" s="35"/>
      <c r="T581" s="35"/>
      <c r="U581" s="13"/>
      <c r="V581" s="13"/>
      <c r="W581" s="13"/>
      <c r="X581" s="13"/>
      <c r="Y581" s="13"/>
      <c r="Z581" s="13"/>
      <c r="AA581" s="13"/>
      <c r="AB581" s="13"/>
      <c r="AC581" s="13"/>
    </row>
    <row r="582" ht="16.5" customHeight="1">
      <c r="A582" s="13"/>
      <c r="B582" s="13"/>
      <c r="C582" s="13"/>
      <c r="D582" s="13"/>
      <c r="E582" s="13"/>
      <c r="F582" s="13"/>
      <c r="G582" s="13"/>
      <c r="H582" s="13"/>
      <c r="I582" s="13"/>
      <c r="J582" s="13"/>
      <c r="K582" s="185"/>
      <c r="L582" s="186"/>
      <c r="M582" s="13"/>
      <c r="N582" s="13"/>
      <c r="O582" s="185"/>
      <c r="P582" s="13"/>
      <c r="Q582" s="13"/>
      <c r="R582" s="177"/>
      <c r="S582" s="35"/>
      <c r="T582" s="35"/>
      <c r="U582" s="13"/>
      <c r="V582" s="13"/>
      <c r="W582" s="13"/>
      <c r="X582" s="13"/>
      <c r="Y582" s="13"/>
      <c r="Z582" s="13"/>
      <c r="AA582" s="13"/>
      <c r="AB582" s="13"/>
      <c r="AC582" s="13"/>
    </row>
    <row r="583" ht="16.5" customHeight="1">
      <c r="A583" s="13"/>
      <c r="B583" s="13"/>
      <c r="C583" s="13"/>
      <c r="D583" s="13"/>
      <c r="E583" s="13"/>
      <c r="F583" s="13"/>
      <c r="G583" s="13"/>
      <c r="H583" s="13"/>
      <c r="I583" s="13"/>
      <c r="J583" s="13"/>
      <c r="K583" s="185"/>
      <c r="L583" s="186"/>
      <c r="M583" s="13"/>
      <c r="N583" s="13"/>
      <c r="O583" s="185"/>
      <c r="P583" s="13"/>
      <c r="Q583" s="13"/>
      <c r="R583" s="177"/>
      <c r="S583" s="35"/>
      <c r="T583" s="35"/>
      <c r="U583" s="13"/>
      <c r="V583" s="13"/>
      <c r="W583" s="13"/>
      <c r="X583" s="13"/>
      <c r="Y583" s="13"/>
      <c r="Z583" s="13"/>
      <c r="AA583" s="13"/>
      <c r="AB583" s="13"/>
      <c r="AC583" s="13"/>
    </row>
    <row r="584" ht="16.5" customHeight="1">
      <c r="A584" s="13"/>
      <c r="B584" s="13"/>
      <c r="C584" s="13"/>
      <c r="D584" s="13"/>
      <c r="E584" s="13"/>
      <c r="F584" s="13"/>
      <c r="G584" s="13"/>
      <c r="H584" s="13"/>
      <c r="I584" s="13"/>
      <c r="J584" s="13"/>
      <c r="K584" s="185"/>
      <c r="L584" s="186"/>
      <c r="M584" s="13"/>
      <c r="N584" s="13"/>
      <c r="O584" s="185"/>
      <c r="P584" s="13"/>
      <c r="Q584" s="13"/>
      <c r="R584" s="177"/>
      <c r="S584" s="35"/>
      <c r="T584" s="35"/>
      <c r="U584" s="13"/>
      <c r="V584" s="13"/>
      <c r="W584" s="13"/>
      <c r="X584" s="13"/>
      <c r="Y584" s="13"/>
      <c r="Z584" s="13"/>
      <c r="AA584" s="13"/>
      <c r="AB584" s="13"/>
      <c r="AC584" s="13"/>
    </row>
    <row r="585" ht="16.5" customHeight="1">
      <c r="A585" s="13"/>
      <c r="B585" s="13"/>
      <c r="C585" s="13"/>
      <c r="D585" s="13"/>
      <c r="E585" s="13"/>
      <c r="F585" s="13"/>
      <c r="G585" s="13"/>
      <c r="H585" s="13"/>
      <c r="I585" s="13"/>
      <c r="J585" s="13"/>
      <c r="K585" s="185"/>
      <c r="L585" s="186"/>
      <c r="M585" s="13"/>
      <c r="N585" s="13"/>
      <c r="O585" s="185"/>
      <c r="P585" s="13"/>
      <c r="Q585" s="13"/>
      <c r="R585" s="177"/>
      <c r="S585" s="35"/>
      <c r="T585" s="35"/>
      <c r="U585" s="13"/>
      <c r="V585" s="13"/>
      <c r="W585" s="13"/>
      <c r="X585" s="13"/>
      <c r="Y585" s="13"/>
      <c r="Z585" s="13"/>
      <c r="AA585" s="13"/>
      <c r="AB585" s="13"/>
      <c r="AC585" s="13"/>
    </row>
    <row r="586" ht="16.5" customHeight="1">
      <c r="A586" s="13"/>
      <c r="B586" s="13"/>
      <c r="C586" s="13"/>
      <c r="D586" s="13"/>
      <c r="E586" s="13"/>
      <c r="F586" s="13"/>
      <c r="G586" s="13"/>
      <c r="H586" s="13"/>
      <c r="I586" s="13"/>
      <c r="J586" s="13"/>
      <c r="K586" s="185"/>
      <c r="L586" s="186"/>
      <c r="M586" s="13"/>
      <c r="N586" s="13"/>
      <c r="O586" s="185"/>
      <c r="P586" s="13"/>
      <c r="Q586" s="13"/>
      <c r="R586" s="177"/>
      <c r="S586" s="35"/>
      <c r="T586" s="35"/>
      <c r="U586" s="13"/>
      <c r="V586" s="13"/>
      <c r="W586" s="13"/>
      <c r="X586" s="13"/>
      <c r="Y586" s="13"/>
      <c r="Z586" s="13"/>
      <c r="AA586" s="13"/>
      <c r="AB586" s="13"/>
      <c r="AC586" s="13"/>
    </row>
    <row r="587" ht="16.5" customHeight="1">
      <c r="A587" s="13"/>
      <c r="B587" s="13"/>
      <c r="C587" s="13"/>
      <c r="D587" s="13"/>
      <c r="E587" s="13"/>
      <c r="F587" s="13"/>
      <c r="G587" s="13"/>
      <c r="H587" s="13"/>
      <c r="I587" s="13"/>
      <c r="J587" s="13"/>
      <c r="K587" s="185"/>
      <c r="L587" s="186"/>
      <c r="M587" s="13"/>
      <c r="N587" s="13"/>
      <c r="O587" s="185"/>
      <c r="P587" s="13"/>
      <c r="Q587" s="13"/>
      <c r="R587" s="177"/>
      <c r="S587" s="35"/>
      <c r="T587" s="35"/>
      <c r="U587" s="13"/>
      <c r="V587" s="13"/>
      <c r="W587" s="13"/>
      <c r="X587" s="13"/>
      <c r="Y587" s="13"/>
      <c r="Z587" s="13"/>
      <c r="AA587" s="13"/>
      <c r="AB587" s="13"/>
      <c r="AC587" s="13"/>
    </row>
    <row r="588" ht="16.5" customHeight="1">
      <c r="A588" s="13"/>
      <c r="B588" s="13"/>
      <c r="C588" s="13"/>
      <c r="D588" s="13"/>
      <c r="E588" s="13"/>
      <c r="F588" s="13"/>
      <c r="G588" s="13"/>
      <c r="H588" s="13"/>
      <c r="I588" s="13"/>
      <c r="J588" s="13"/>
      <c r="K588" s="185"/>
      <c r="L588" s="186"/>
      <c r="M588" s="13"/>
      <c r="N588" s="13"/>
      <c r="O588" s="185"/>
      <c r="P588" s="13"/>
      <c r="Q588" s="13"/>
      <c r="R588" s="177"/>
      <c r="S588" s="35"/>
      <c r="T588" s="35"/>
      <c r="U588" s="13"/>
      <c r="V588" s="13"/>
      <c r="W588" s="13"/>
      <c r="X588" s="13"/>
      <c r="Y588" s="13"/>
      <c r="Z588" s="13"/>
      <c r="AA588" s="13"/>
      <c r="AB588" s="13"/>
      <c r="AC588" s="13"/>
    </row>
    <row r="589" ht="16.5" customHeight="1">
      <c r="A589" s="13"/>
      <c r="B589" s="13"/>
      <c r="C589" s="13"/>
      <c r="D589" s="13"/>
      <c r="E589" s="13"/>
      <c r="F589" s="13"/>
      <c r="G589" s="13"/>
      <c r="H589" s="13"/>
      <c r="I589" s="13"/>
      <c r="J589" s="13"/>
      <c r="K589" s="185"/>
      <c r="L589" s="186"/>
      <c r="M589" s="13"/>
      <c r="N589" s="13"/>
      <c r="O589" s="185"/>
      <c r="P589" s="13"/>
      <c r="Q589" s="13"/>
      <c r="R589" s="177"/>
      <c r="S589" s="35"/>
      <c r="T589" s="35"/>
      <c r="U589" s="13"/>
      <c r="V589" s="13"/>
      <c r="W589" s="13"/>
      <c r="X589" s="13"/>
      <c r="Y589" s="13"/>
      <c r="Z589" s="13"/>
      <c r="AA589" s="13"/>
      <c r="AB589" s="13"/>
      <c r="AC589" s="13"/>
    </row>
    <row r="590" ht="16.5" customHeight="1">
      <c r="A590" s="13"/>
      <c r="B590" s="13"/>
      <c r="C590" s="13"/>
      <c r="D590" s="13"/>
      <c r="E590" s="13"/>
      <c r="F590" s="13"/>
      <c r="G590" s="13"/>
      <c r="H590" s="13"/>
      <c r="I590" s="13"/>
      <c r="J590" s="13"/>
      <c r="K590" s="185"/>
      <c r="L590" s="186"/>
      <c r="M590" s="13"/>
      <c r="N590" s="13"/>
      <c r="O590" s="185"/>
      <c r="P590" s="13"/>
      <c r="Q590" s="13"/>
      <c r="R590" s="177"/>
      <c r="S590" s="35"/>
      <c r="T590" s="35"/>
      <c r="U590" s="13"/>
      <c r="V590" s="13"/>
      <c r="W590" s="13"/>
      <c r="X590" s="13"/>
      <c r="Y590" s="13"/>
      <c r="Z590" s="13"/>
      <c r="AA590" s="13"/>
      <c r="AB590" s="13"/>
      <c r="AC590" s="13"/>
    </row>
    <row r="591" ht="16.5" customHeight="1">
      <c r="A591" s="13"/>
      <c r="B591" s="13"/>
      <c r="C591" s="13"/>
      <c r="D591" s="13"/>
      <c r="E591" s="13"/>
      <c r="F591" s="13"/>
      <c r="G591" s="13"/>
      <c r="H591" s="13"/>
      <c r="I591" s="13"/>
      <c r="J591" s="13"/>
      <c r="K591" s="185"/>
      <c r="L591" s="186"/>
      <c r="M591" s="13"/>
      <c r="N591" s="13"/>
      <c r="O591" s="185"/>
      <c r="P591" s="13"/>
      <c r="Q591" s="13"/>
      <c r="R591" s="177"/>
      <c r="S591" s="35"/>
      <c r="T591" s="35"/>
      <c r="U591" s="13"/>
      <c r="V591" s="13"/>
      <c r="W591" s="13"/>
      <c r="X591" s="13"/>
      <c r="Y591" s="13"/>
      <c r="Z591" s="13"/>
      <c r="AA591" s="13"/>
      <c r="AB591" s="13"/>
      <c r="AC591" s="13"/>
    </row>
    <row r="592" ht="16.5" customHeight="1">
      <c r="A592" s="13"/>
      <c r="B592" s="13"/>
      <c r="C592" s="13"/>
      <c r="D592" s="13"/>
      <c r="E592" s="13"/>
      <c r="F592" s="13"/>
      <c r="G592" s="13"/>
      <c r="H592" s="13"/>
      <c r="I592" s="13"/>
      <c r="J592" s="13"/>
      <c r="K592" s="185"/>
      <c r="L592" s="186"/>
      <c r="M592" s="13"/>
      <c r="N592" s="13"/>
      <c r="O592" s="185"/>
      <c r="P592" s="13"/>
      <c r="Q592" s="13"/>
      <c r="R592" s="177"/>
      <c r="S592" s="35"/>
      <c r="T592" s="35"/>
      <c r="U592" s="13"/>
      <c r="V592" s="13"/>
      <c r="W592" s="13"/>
      <c r="X592" s="13"/>
      <c r="Y592" s="13"/>
      <c r="Z592" s="13"/>
      <c r="AA592" s="13"/>
      <c r="AB592" s="13"/>
      <c r="AC592" s="13"/>
    </row>
    <row r="593" ht="16.5" customHeight="1">
      <c r="A593" s="13"/>
      <c r="B593" s="13"/>
      <c r="C593" s="13"/>
      <c r="D593" s="13"/>
      <c r="E593" s="13"/>
      <c r="F593" s="13"/>
      <c r="G593" s="13"/>
      <c r="H593" s="13"/>
      <c r="I593" s="13"/>
      <c r="J593" s="13"/>
      <c r="K593" s="185"/>
      <c r="L593" s="186"/>
      <c r="M593" s="13"/>
      <c r="N593" s="13"/>
      <c r="O593" s="185"/>
      <c r="P593" s="13"/>
      <c r="Q593" s="13"/>
      <c r="R593" s="177"/>
      <c r="S593" s="35"/>
      <c r="T593" s="35"/>
      <c r="U593" s="13"/>
      <c r="V593" s="13"/>
      <c r="W593" s="13"/>
      <c r="X593" s="13"/>
      <c r="Y593" s="13"/>
      <c r="Z593" s="13"/>
      <c r="AA593" s="13"/>
      <c r="AB593" s="13"/>
      <c r="AC593" s="13"/>
    </row>
    <row r="594" ht="16.5" customHeight="1">
      <c r="A594" s="13"/>
      <c r="B594" s="13"/>
      <c r="C594" s="13"/>
      <c r="D594" s="13"/>
      <c r="E594" s="13"/>
      <c r="F594" s="13"/>
      <c r="G594" s="13"/>
      <c r="H594" s="13"/>
      <c r="I594" s="13"/>
      <c r="J594" s="13"/>
      <c r="K594" s="185"/>
      <c r="L594" s="186"/>
      <c r="M594" s="13"/>
      <c r="N594" s="13"/>
      <c r="O594" s="185"/>
      <c r="P594" s="13"/>
      <c r="Q594" s="13"/>
      <c r="R594" s="177"/>
      <c r="S594" s="35"/>
      <c r="T594" s="35"/>
      <c r="U594" s="13"/>
      <c r="V594" s="13"/>
      <c r="W594" s="13"/>
      <c r="X594" s="13"/>
      <c r="Y594" s="13"/>
      <c r="Z594" s="13"/>
      <c r="AA594" s="13"/>
      <c r="AB594" s="13"/>
      <c r="AC594" s="13"/>
    </row>
    <row r="595" ht="16.5" customHeight="1">
      <c r="A595" s="13"/>
      <c r="B595" s="13"/>
      <c r="C595" s="13"/>
      <c r="D595" s="13"/>
      <c r="E595" s="13"/>
      <c r="F595" s="13"/>
      <c r="G595" s="13"/>
      <c r="H595" s="13"/>
      <c r="I595" s="13"/>
      <c r="J595" s="13"/>
      <c r="K595" s="185"/>
      <c r="L595" s="186"/>
      <c r="M595" s="13"/>
      <c r="N595" s="13"/>
      <c r="O595" s="185"/>
      <c r="P595" s="13"/>
      <c r="Q595" s="13"/>
      <c r="R595" s="177"/>
      <c r="S595" s="35"/>
      <c r="T595" s="35"/>
      <c r="U595" s="13"/>
      <c r="V595" s="13"/>
      <c r="W595" s="13"/>
      <c r="X595" s="13"/>
      <c r="Y595" s="13"/>
      <c r="Z595" s="13"/>
      <c r="AA595" s="13"/>
      <c r="AB595" s="13"/>
      <c r="AC595" s="13"/>
    </row>
    <row r="596" ht="16.5" customHeight="1">
      <c r="A596" s="13"/>
      <c r="B596" s="13"/>
      <c r="C596" s="13"/>
      <c r="D596" s="13"/>
      <c r="E596" s="13"/>
      <c r="F596" s="13"/>
      <c r="G596" s="13"/>
      <c r="H596" s="13"/>
      <c r="I596" s="13"/>
      <c r="J596" s="13"/>
      <c r="K596" s="185"/>
      <c r="L596" s="186"/>
      <c r="M596" s="13"/>
      <c r="N596" s="13"/>
      <c r="O596" s="185"/>
      <c r="P596" s="13"/>
      <c r="Q596" s="13"/>
      <c r="R596" s="177"/>
      <c r="S596" s="35"/>
      <c r="T596" s="35"/>
      <c r="U596" s="13"/>
      <c r="V596" s="13"/>
      <c r="W596" s="13"/>
      <c r="X596" s="13"/>
      <c r="Y596" s="13"/>
      <c r="Z596" s="13"/>
      <c r="AA596" s="13"/>
      <c r="AB596" s="13"/>
      <c r="AC596" s="13"/>
    </row>
    <row r="597" ht="16.5" customHeight="1">
      <c r="A597" s="13"/>
      <c r="B597" s="13"/>
      <c r="C597" s="13"/>
      <c r="D597" s="13"/>
      <c r="E597" s="13"/>
      <c r="F597" s="13"/>
      <c r="G597" s="13"/>
      <c r="H597" s="13"/>
      <c r="I597" s="13"/>
      <c r="J597" s="13"/>
      <c r="K597" s="185"/>
      <c r="L597" s="186"/>
      <c r="M597" s="13"/>
      <c r="N597" s="13"/>
      <c r="O597" s="185"/>
      <c r="P597" s="13"/>
      <c r="Q597" s="13"/>
      <c r="R597" s="177"/>
      <c r="S597" s="35"/>
      <c r="T597" s="35"/>
      <c r="U597" s="13"/>
      <c r="V597" s="13"/>
      <c r="W597" s="13"/>
      <c r="X597" s="13"/>
      <c r="Y597" s="13"/>
      <c r="Z597" s="13"/>
      <c r="AA597" s="13"/>
      <c r="AB597" s="13"/>
      <c r="AC597" s="13"/>
    </row>
    <row r="598" ht="16.5" customHeight="1">
      <c r="A598" s="13"/>
      <c r="B598" s="13"/>
      <c r="C598" s="13"/>
      <c r="D598" s="13"/>
      <c r="E598" s="13"/>
      <c r="F598" s="13"/>
      <c r="G598" s="13"/>
      <c r="H598" s="13"/>
      <c r="I598" s="13"/>
      <c r="J598" s="13"/>
      <c r="K598" s="185"/>
      <c r="L598" s="186"/>
      <c r="M598" s="13"/>
      <c r="N598" s="13"/>
      <c r="O598" s="185"/>
      <c r="P598" s="13"/>
      <c r="Q598" s="13"/>
      <c r="R598" s="177"/>
      <c r="S598" s="35"/>
      <c r="T598" s="35"/>
      <c r="U598" s="13"/>
      <c r="V598" s="13"/>
      <c r="W598" s="13"/>
      <c r="X598" s="13"/>
      <c r="Y598" s="13"/>
      <c r="Z598" s="13"/>
      <c r="AA598" s="13"/>
      <c r="AB598" s="13"/>
      <c r="AC598" s="13"/>
    </row>
    <row r="599" ht="16.5" customHeight="1">
      <c r="A599" s="13"/>
      <c r="B599" s="13"/>
      <c r="C599" s="13"/>
      <c r="D599" s="13"/>
      <c r="E599" s="13"/>
      <c r="F599" s="13"/>
      <c r="G599" s="13"/>
      <c r="H599" s="13"/>
      <c r="I599" s="13"/>
      <c r="J599" s="13"/>
      <c r="K599" s="185"/>
      <c r="L599" s="186"/>
      <c r="M599" s="13"/>
      <c r="N599" s="13"/>
      <c r="O599" s="185"/>
      <c r="P599" s="13"/>
      <c r="Q599" s="13"/>
      <c r="R599" s="177"/>
      <c r="S599" s="35"/>
      <c r="T599" s="35"/>
      <c r="U599" s="13"/>
      <c r="V599" s="13"/>
      <c r="W599" s="13"/>
      <c r="X599" s="13"/>
      <c r="Y599" s="13"/>
      <c r="Z599" s="13"/>
      <c r="AA599" s="13"/>
      <c r="AB599" s="13"/>
      <c r="AC599" s="13"/>
    </row>
    <row r="600" ht="16.5" customHeight="1">
      <c r="A600" s="13"/>
      <c r="B600" s="13"/>
      <c r="C600" s="13"/>
      <c r="D600" s="13"/>
      <c r="E600" s="13"/>
      <c r="F600" s="13"/>
      <c r="G600" s="13"/>
      <c r="H600" s="13"/>
      <c r="I600" s="13"/>
      <c r="J600" s="13"/>
      <c r="K600" s="185"/>
      <c r="L600" s="186"/>
      <c r="M600" s="13"/>
      <c r="N600" s="13"/>
      <c r="O600" s="185"/>
      <c r="P600" s="13"/>
      <c r="Q600" s="13"/>
      <c r="R600" s="177"/>
      <c r="S600" s="35"/>
      <c r="T600" s="35"/>
      <c r="U600" s="13"/>
      <c r="V600" s="13"/>
      <c r="W600" s="13"/>
      <c r="X600" s="13"/>
      <c r="Y600" s="13"/>
      <c r="Z600" s="13"/>
      <c r="AA600" s="13"/>
      <c r="AB600" s="13"/>
      <c r="AC600" s="13"/>
    </row>
    <row r="601" ht="16.5" customHeight="1">
      <c r="A601" s="13"/>
      <c r="B601" s="13"/>
      <c r="C601" s="13"/>
      <c r="D601" s="13"/>
      <c r="E601" s="13"/>
      <c r="F601" s="13"/>
      <c r="G601" s="13"/>
      <c r="H601" s="13"/>
      <c r="I601" s="13"/>
      <c r="J601" s="13"/>
      <c r="K601" s="185"/>
      <c r="L601" s="186"/>
      <c r="M601" s="13"/>
      <c r="N601" s="13"/>
      <c r="O601" s="185"/>
      <c r="P601" s="13"/>
      <c r="Q601" s="13"/>
      <c r="R601" s="177"/>
      <c r="S601" s="35"/>
      <c r="T601" s="35"/>
      <c r="U601" s="13"/>
      <c r="V601" s="13"/>
      <c r="W601" s="13"/>
      <c r="X601" s="13"/>
      <c r="Y601" s="13"/>
      <c r="Z601" s="13"/>
      <c r="AA601" s="13"/>
      <c r="AB601" s="13"/>
      <c r="AC601" s="13"/>
    </row>
    <row r="602" ht="16.5" customHeight="1">
      <c r="A602" s="13"/>
      <c r="B602" s="13"/>
      <c r="C602" s="13"/>
      <c r="D602" s="13"/>
      <c r="E602" s="13"/>
      <c r="F602" s="13"/>
      <c r="G602" s="13"/>
      <c r="H602" s="13"/>
      <c r="I602" s="13"/>
      <c r="J602" s="13"/>
      <c r="K602" s="185"/>
      <c r="L602" s="186"/>
      <c r="M602" s="13"/>
      <c r="N602" s="13"/>
      <c r="O602" s="185"/>
      <c r="P602" s="13"/>
      <c r="Q602" s="13"/>
      <c r="R602" s="177"/>
      <c r="S602" s="35"/>
      <c r="T602" s="35"/>
      <c r="U602" s="13"/>
      <c r="V602" s="13"/>
      <c r="W602" s="13"/>
      <c r="X602" s="13"/>
      <c r="Y602" s="13"/>
      <c r="Z602" s="13"/>
      <c r="AA602" s="13"/>
      <c r="AB602" s="13"/>
      <c r="AC602" s="13"/>
    </row>
    <row r="603" ht="16.5" customHeight="1">
      <c r="A603" s="13"/>
      <c r="B603" s="13"/>
      <c r="C603" s="13"/>
      <c r="D603" s="13"/>
      <c r="E603" s="13"/>
      <c r="F603" s="13"/>
      <c r="G603" s="13"/>
      <c r="H603" s="13"/>
      <c r="I603" s="13"/>
      <c r="J603" s="13"/>
      <c r="K603" s="185"/>
      <c r="L603" s="186"/>
      <c r="M603" s="13"/>
      <c r="N603" s="13"/>
      <c r="O603" s="185"/>
      <c r="P603" s="13"/>
      <c r="Q603" s="13"/>
      <c r="R603" s="177"/>
      <c r="S603" s="35"/>
      <c r="T603" s="35"/>
      <c r="U603" s="13"/>
      <c r="V603" s="13"/>
      <c r="W603" s="13"/>
      <c r="X603" s="13"/>
      <c r="Y603" s="13"/>
      <c r="Z603" s="13"/>
      <c r="AA603" s="13"/>
      <c r="AB603" s="13"/>
      <c r="AC603" s="13"/>
    </row>
    <row r="604" ht="16.5" customHeight="1">
      <c r="A604" s="13"/>
      <c r="B604" s="13"/>
      <c r="C604" s="13"/>
      <c r="D604" s="13"/>
      <c r="E604" s="13"/>
      <c r="F604" s="13"/>
      <c r="G604" s="13"/>
      <c r="H604" s="13"/>
      <c r="I604" s="13"/>
      <c r="J604" s="13"/>
      <c r="K604" s="185"/>
      <c r="L604" s="186"/>
      <c r="M604" s="13"/>
      <c r="N604" s="13"/>
      <c r="O604" s="185"/>
      <c r="P604" s="13"/>
      <c r="Q604" s="13"/>
      <c r="R604" s="177"/>
      <c r="S604" s="35"/>
      <c r="T604" s="35"/>
      <c r="U604" s="13"/>
      <c r="V604" s="13"/>
      <c r="W604" s="13"/>
      <c r="X604" s="13"/>
      <c r="Y604" s="13"/>
      <c r="Z604" s="13"/>
      <c r="AA604" s="13"/>
      <c r="AB604" s="13"/>
      <c r="AC604" s="13"/>
    </row>
    <row r="605" ht="16.5" customHeight="1">
      <c r="A605" s="13"/>
      <c r="B605" s="13"/>
      <c r="C605" s="13"/>
      <c r="D605" s="13"/>
      <c r="E605" s="13"/>
      <c r="F605" s="13"/>
      <c r="G605" s="13"/>
      <c r="H605" s="13"/>
      <c r="I605" s="13"/>
      <c r="J605" s="13"/>
      <c r="K605" s="185"/>
      <c r="L605" s="186"/>
      <c r="M605" s="13"/>
      <c r="N605" s="13"/>
      <c r="O605" s="185"/>
      <c r="P605" s="13"/>
      <c r="Q605" s="13"/>
      <c r="R605" s="177"/>
      <c r="S605" s="35"/>
      <c r="T605" s="35"/>
      <c r="U605" s="13"/>
      <c r="V605" s="13"/>
      <c r="W605" s="13"/>
      <c r="X605" s="13"/>
      <c r="Y605" s="13"/>
      <c r="Z605" s="13"/>
      <c r="AA605" s="13"/>
      <c r="AB605" s="13"/>
      <c r="AC605" s="13"/>
    </row>
    <row r="606" ht="16.5" customHeight="1">
      <c r="A606" s="13"/>
      <c r="B606" s="13"/>
      <c r="C606" s="13"/>
      <c r="D606" s="13"/>
      <c r="E606" s="13"/>
      <c r="F606" s="13"/>
      <c r="G606" s="13"/>
      <c r="H606" s="13"/>
      <c r="I606" s="13"/>
      <c r="J606" s="13"/>
      <c r="K606" s="185"/>
      <c r="L606" s="186"/>
      <c r="M606" s="13"/>
      <c r="N606" s="13"/>
      <c r="O606" s="185"/>
      <c r="P606" s="13"/>
      <c r="Q606" s="13"/>
      <c r="R606" s="177"/>
      <c r="S606" s="35"/>
      <c r="T606" s="35"/>
      <c r="U606" s="13"/>
      <c r="V606" s="13"/>
      <c r="W606" s="13"/>
      <c r="X606" s="13"/>
      <c r="Y606" s="13"/>
      <c r="Z606" s="13"/>
      <c r="AA606" s="13"/>
      <c r="AB606" s="13"/>
      <c r="AC606" s="13"/>
    </row>
    <row r="607" ht="16.5" customHeight="1">
      <c r="A607" s="13"/>
      <c r="B607" s="13"/>
      <c r="C607" s="13"/>
      <c r="D607" s="13"/>
      <c r="E607" s="13"/>
      <c r="F607" s="13"/>
      <c r="G607" s="13"/>
      <c r="H607" s="13"/>
      <c r="I607" s="13"/>
      <c r="J607" s="13"/>
      <c r="K607" s="185"/>
      <c r="L607" s="186"/>
      <c r="M607" s="13"/>
      <c r="N607" s="13"/>
      <c r="O607" s="185"/>
      <c r="P607" s="13"/>
      <c r="Q607" s="13"/>
      <c r="R607" s="177"/>
      <c r="S607" s="35"/>
      <c r="T607" s="35"/>
      <c r="U607" s="13"/>
      <c r="V607" s="13"/>
      <c r="W607" s="13"/>
      <c r="X607" s="13"/>
      <c r="Y607" s="13"/>
      <c r="Z607" s="13"/>
      <c r="AA607" s="13"/>
      <c r="AB607" s="13"/>
      <c r="AC607" s="13"/>
    </row>
    <row r="608" ht="16.5" customHeight="1">
      <c r="A608" s="13"/>
      <c r="B608" s="13"/>
      <c r="C608" s="13"/>
      <c r="D608" s="13"/>
      <c r="E608" s="13"/>
      <c r="F608" s="13"/>
      <c r="G608" s="13"/>
      <c r="H608" s="13"/>
      <c r="I608" s="13"/>
      <c r="J608" s="13"/>
      <c r="K608" s="185"/>
      <c r="L608" s="186"/>
      <c r="M608" s="13"/>
      <c r="N608" s="13"/>
      <c r="O608" s="185"/>
      <c r="P608" s="13"/>
      <c r="Q608" s="13"/>
      <c r="R608" s="177"/>
      <c r="S608" s="35"/>
      <c r="T608" s="35"/>
      <c r="U608" s="13"/>
      <c r="V608" s="13"/>
      <c r="W608" s="13"/>
      <c r="X608" s="13"/>
      <c r="Y608" s="13"/>
      <c r="Z608" s="13"/>
      <c r="AA608" s="13"/>
      <c r="AB608" s="13"/>
      <c r="AC608" s="13"/>
    </row>
    <row r="609" ht="16.5" customHeight="1">
      <c r="A609" s="13"/>
      <c r="B609" s="13"/>
      <c r="C609" s="13"/>
      <c r="D609" s="13"/>
      <c r="E609" s="13"/>
      <c r="F609" s="13"/>
      <c r="G609" s="13"/>
      <c r="H609" s="13"/>
      <c r="I609" s="13"/>
      <c r="J609" s="13"/>
      <c r="K609" s="185"/>
      <c r="L609" s="186"/>
      <c r="M609" s="13"/>
      <c r="N609" s="13"/>
      <c r="O609" s="185"/>
      <c r="P609" s="13"/>
      <c r="Q609" s="13"/>
      <c r="R609" s="177"/>
      <c r="S609" s="35"/>
      <c r="T609" s="35"/>
      <c r="U609" s="13"/>
      <c r="V609" s="13"/>
      <c r="W609" s="13"/>
      <c r="X609" s="13"/>
      <c r="Y609" s="13"/>
      <c r="Z609" s="13"/>
      <c r="AA609" s="13"/>
      <c r="AB609" s="13"/>
      <c r="AC609" s="13"/>
    </row>
    <row r="610" ht="16.5" customHeight="1">
      <c r="A610" s="13"/>
      <c r="B610" s="13"/>
      <c r="C610" s="13"/>
      <c r="D610" s="13"/>
      <c r="E610" s="13"/>
      <c r="F610" s="13"/>
      <c r="G610" s="13"/>
      <c r="H610" s="13"/>
      <c r="I610" s="13"/>
      <c r="J610" s="13"/>
      <c r="K610" s="185"/>
      <c r="L610" s="186"/>
      <c r="M610" s="13"/>
      <c r="N610" s="13"/>
      <c r="O610" s="185"/>
      <c r="P610" s="13"/>
      <c r="Q610" s="13"/>
      <c r="R610" s="177"/>
      <c r="S610" s="35"/>
      <c r="T610" s="35"/>
      <c r="U610" s="13"/>
      <c r="V610" s="13"/>
      <c r="W610" s="13"/>
      <c r="X610" s="13"/>
      <c r="Y610" s="13"/>
      <c r="Z610" s="13"/>
      <c r="AA610" s="13"/>
      <c r="AB610" s="13"/>
      <c r="AC610" s="13"/>
    </row>
    <row r="611" ht="16.5" customHeight="1">
      <c r="A611" s="13"/>
      <c r="B611" s="13"/>
      <c r="C611" s="13"/>
      <c r="D611" s="13"/>
      <c r="E611" s="13"/>
      <c r="F611" s="13"/>
      <c r="G611" s="13"/>
      <c r="H611" s="13"/>
      <c r="I611" s="13"/>
      <c r="J611" s="13"/>
      <c r="K611" s="185"/>
      <c r="L611" s="186"/>
      <c r="M611" s="13"/>
      <c r="N611" s="13"/>
      <c r="O611" s="185"/>
      <c r="P611" s="13"/>
      <c r="Q611" s="13"/>
      <c r="R611" s="177"/>
      <c r="S611" s="35"/>
      <c r="T611" s="35"/>
      <c r="U611" s="13"/>
      <c r="V611" s="13"/>
      <c r="W611" s="13"/>
      <c r="X611" s="13"/>
      <c r="Y611" s="13"/>
      <c r="Z611" s="13"/>
      <c r="AA611" s="13"/>
      <c r="AB611" s="13"/>
      <c r="AC611" s="13"/>
    </row>
    <row r="612" ht="16.5" customHeight="1">
      <c r="A612" s="13"/>
      <c r="B612" s="13"/>
      <c r="C612" s="13"/>
      <c r="D612" s="13"/>
      <c r="E612" s="13"/>
      <c r="F612" s="13"/>
      <c r="G612" s="13"/>
      <c r="H612" s="13"/>
      <c r="I612" s="13"/>
      <c r="J612" s="13"/>
      <c r="K612" s="185"/>
      <c r="L612" s="186"/>
      <c r="M612" s="13"/>
      <c r="N612" s="13"/>
      <c r="O612" s="185"/>
      <c r="P612" s="13"/>
      <c r="Q612" s="13"/>
      <c r="R612" s="177"/>
      <c r="S612" s="35"/>
      <c r="T612" s="35"/>
      <c r="U612" s="13"/>
      <c r="V612" s="13"/>
      <c r="W612" s="13"/>
      <c r="X612" s="13"/>
      <c r="Y612" s="13"/>
      <c r="Z612" s="13"/>
      <c r="AA612" s="13"/>
      <c r="AB612" s="13"/>
      <c r="AC612" s="13"/>
    </row>
    <row r="613" ht="16.5" customHeight="1">
      <c r="A613" s="13"/>
      <c r="B613" s="13"/>
      <c r="C613" s="13"/>
      <c r="D613" s="13"/>
      <c r="E613" s="13"/>
      <c r="F613" s="13"/>
      <c r="G613" s="13"/>
      <c r="H613" s="13"/>
      <c r="I613" s="13"/>
      <c r="J613" s="13"/>
      <c r="K613" s="185"/>
      <c r="L613" s="186"/>
      <c r="M613" s="13"/>
      <c r="N613" s="13"/>
      <c r="O613" s="185"/>
      <c r="P613" s="13"/>
      <c r="Q613" s="13"/>
      <c r="R613" s="177"/>
      <c r="S613" s="35"/>
      <c r="T613" s="35"/>
      <c r="U613" s="13"/>
      <c r="V613" s="13"/>
      <c r="W613" s="13"/>
      <c r="X613" s="13"/>
      <c r="Y613" s="13"/>
      <c r="Z613" s="13"/>
      <c r="AA613" s="13"/>
      <c r="AB613" s="13"/>
      <c r="AC613" s="13"/>
    </row>
    <row r="614" ht="16.5" customHeight="1">
      <c r="A614" s="13"/>
      <c r="B614" s="13"/>
      <c r="C614" s="13"/>
      <c r="D614" s="13"/>
      <c r="E614" s="13"/>
      <c r="F614" s="13"/>
      <c r="G614" s="13"/>
      <c r="H614" s="13"/>
      <c r="I614" s="13"/>
      <c r="J614" s="13"/>
      <c r="K614" s="185"/>
      <c r="L614" s="186"/>
      <c r="M614" s="13"/>
      <c r="N614" s="13"/>
      <c r="O614" s="185"/>
      <c r="P614" s="13"/>
      <c r="Q614" s="13"/>
      <c r="R614" s="177"/>
      <c r="S614" s="35"/>
      <c r="T614" s="35"/>
      <c r="U614" s="13"/>
      <c r="V614" s="13"/>
      <c r="W614" s="13"/>
      <c r="X614" s="13"/>
      <c r="Y614" s="13"/>
      <c r="Z614" s="13"/>
      <c r="AA614" s="13"/>
      <c r="AB614" s="13"/>
      <c r="AC614" s="13"/>
    </row>
    <row r="615" ht="16.5" customHeight="1">
      <c r="A615" s="13"/>
      <c r="B615" s="13"/>
      <c r="C615" s="13"/>
      <c r="D615" s="13"/>
      <c r="E615" s="13"/>
      <c r="F615" s="13"/>
      <c r="G615" s="13"/>
      <c r="H615" s="13"/>
      <c r="I615" s="13"/>
      <c r="J615" s="13"/>
      <c r="K615" s="185"/>
      <c r="L615" s="186"/>
      <c r="M615" s="13"/>
      <c r="N615" s="13"/>
      <c r="O615" s="185"/>
      <c r="P615" s="13"/>
      <c r="Q615" s="13"/>
      <c r="R615" s="177"/>
      <c r="S615" s="35"/>
      <c r="T615" s="35"/>
      <c r="U615" s="13"/>
      <c r="V615" s="13"/>
      <c r="W615" s="13"/>
      <c r="X615" s="13"/>
      <c r="Y615" s="13"/>
      <c r="Z615" s="13"/>
      <c r="AA615" s="13"/>
      <c r="AB615" s="13"/>
      <c r="AC615" s="13"/>
    </row>
    <row r="616" ht="16.5" customHeight="1">
      <c r="A616" s="13"/>
      <c r="B616" s="13"/>
      <c r="C616" s="13"/>
      <c r="D616" s="13"/>
      <c r="E616" s="13"/>
      <c r="F616" s="13"/>
      <c r="G616" s="13"/>
      <c r="H616" s="13"/>
      <c r="I616" s="13"/>
      <c r="J616" s="13"/>
      <c r="K616" s="185"/>
      <c r="L616" s="186"/>
      <c r="M616" s="13"/>
      <c r="N616" s="13"/>
      <c r="O616" s="185"/>
      <c r="P616" s="13"/>
      <c r="Q616" s="13"/>
      <c r="R616" s="177"/>
      <c r="S616" s="35"/>
      <c r="T616" s="35"/>
      <c r="U616" s="13"/>
      <c r="V616" s="13"/>
      <c r="W616" s="13"/>
      <c r="X616" s="13"/>
      <c r="Y616" s="13"/>
      <c r="Z616" s="13"/>
      <c r="AA616" s="13"/>
      <c r="AB616" s="13"/>
      <c r="AC616" s="13"/>
    </row>
    <row r="617" ht="16.5" customHeight="1">
      <c r="A617" s="13"/>
      <c r="B617" s="13"/>
      <c r="C617" s="13"/>
      <c r="D617" s="13"/>
      <c r="E617" s="13"/>
      <c r="F617" s="13"/>
      <c r="G617" s="13"/>
      <c r="H617" s="13"/>
      <c r="I617" s="13"/>
      <c r="J617" s="13"/>
      <c r="K617" s="185"/>
      <c r="L617" s="186"/>
      <c r="M617" s="13"/>
      <c r="N617" s="13"/>
      <c r="O617" s="185"/>
      <c r="P617" s="13"/>
      <c r="Q617" s="13"/>
      <c r="R617" s="177"/>
      <c r="S617" s="35"/>
      <c r="T617" s="35"/>
      <c r="U617" s="13"/>
      <c r="V617" s="13"/>
      <c r="W617" s="13"/>
      <c r="X617" s="13"/>
      <c r="Y617" s="13"/>
      <c r="Z617" s="13"/>
      <c r="AA617" s="13"/>
      <c r="AB617" s="13"/>
      <c r="AC617" s="13"/>
    </row>
    <row r="618" ht="16.5" customHeight="1">
      <c r="A618" s="13"/>
      <c r="B618" s="13"/>
      <c r="C618" s="13"/>
      <c r="D618" s="13"/>
      <c r="E618" s="13"/>
      <c r="F618" s="13"/>
      <c r="G618" s="13"/>
      <c r="H618" s="13"/>
      <c r="I618" s="13"/>
      <c r="J618" s="13"/>
      <c r="K618" s="185"/>
      <c r="L618" s="186"/>
      <c r="M618" s="13"/>
      <c r="N618" s="13"/>
      <c r="O618" s="185"/>
      <c r="P618" s="13"/>
      <c r="Q618" s="13"/>
      <c r="R618" s="177"/>
      <c r="S618" s="35"/>
      <c r="T618" s="35"/>
      <c r="U618" s="13"/>
      <c r="V618" s="13"/>
      <c r="W618" s="13"/>
      <c r="X618" s="13"/>
      <c r="Y618" s="13"/>
      <c r="Z618" s="13"/>
      <c r="AA618" s="13"/>
      <c r="AB618" s="13"/>
      <c r="AC618" s="13"/>
    </row>
    <row r="619" ht="16.5" customHeight="1">
      <c r="A619" s="13"/>
      <c r="B619" s="13"/>
      <c r="C619" s="13"/>
      <c r="D619" s="13"/>
      <c r="E619" s="13"/>
      <c r="F619" s="13"/>
      <c r="G619" s="13"/>
      <c r="H619" s="13"/>
      <c r="I619" s="13"/>
      <c r="J619" s="13"/>
      <c r="K619" s="185"/>
      <c r="L619" s="186"/>
      <c r="M619" s="13"/>
      <c r="N619" s="13"/>
      <c r="O619" s="185"/>
      <c r="P619" s="13"/>
      <c r="Q619" s="13"/>
      <c r="R619" s="177"/>
      <c r="S619" s="35"/>
      <c r="T619" s="35"/>
      <c r="U619" s="13"/>
      <c r="V619" s="13"/>
      <c r="W619" s="13"/>
      <c r="X619" s="13"/>
      <c r="Y619" s="13"/>
      <c r="Z619" s="13"/>
      <c r="AA619" s="13"/>
      <c r="AB619" s="13"/>
      <c r="AC619" s="13"/>
    </row>
    <row r="620" ht="16.5" customHeight="1">
      <c r="A620" s="13"/>
      <c r="B620" s="13"/>
      <c r="C620" s="13"/>
      <c r="D620" s="13"/>
      <c r="E620" s="13"/>
      <c r="F620" s="13"/>
      <c r="G620" s="13"/>
      <c r="H620" s="13"/>
      <c r="I620" s="13"/>
      <c r="J620" s="13"/>
      <c r="K620" s="185"/>
      <c r="L620" s="186"/>
      <c r="M620" s="13"/>
      <c r="N620" s="13"/>
      <c r="O620" s="185"/>
      <c r="P620" s="13"/>
      <c r="Q620" s="13"/>
      <c r="R620" s="177"/>
      <c r="S620" s="35"/>
      <c r="T620" s="35"/>
      <c r="U620" s="13"/>
      <c r="V620" s="13"/>
      <c r="W620" s="13"/>
      <c r="X620" s="13"/>
      <c r="Y620" s="13"/>
      <c r="Z620" s="13"/>
      <c r="AA620" s="13"/>
      <c r="AB620" s="13"/>
      <c r="AC620" s="13"/>
    </row>
    <row r="621" ht="16.5" customHeight="1">
      <c r="A621" s="13"/>
      <c r="B621" s="13"/>
      <c r="C621" s="13"/>
      <c r="D621" s="13"/>
      <c r="E621" s="13"/>
      <c r="F621" s="13"/>
      <c r="G621" s="13"/>
      <c r="H621" s="13"/>
      <c r="I621" s="13"/>
      <c r="J621" s="13"/>
      <c r="K621" s="185"/>
      <c r="L621" s="186"/>
      <c r="M621" s="13"/>
      <c r="N621" s="13"/>
      <c r="O621" s="185"/>
      <c r="P621" s="13"/>
      <c r="Q621" s="13"/>
      <c r="R621" s="177"/>
      <c r="S621" s="35"/>
      <c r="T621" s="35"/>
      <c r="U621" s="13"/>
      <c r="V621" s="13"/>
      <c r="W621" s="13"/>
      <c r="X621" s="13"/>
      <c r="Y621" s="13"/>
      <c r="Z621" s="13"/>
      <c r="AA621" s="13"/>
      <c r="AB621" s="13"/>
      <c r="AC621" s="13"/>
    </row>
    <row r="622" ht="16.5" customHeight="1">
      <c r="A622" s="13"/>
      <c r="B622" s="13"/>
      <c r="C622" s="13"/>
      <c r="D622" s="13"/>
      <c r="E622" s="13"/>
      <c r="F622" s="13"/>
      <c r="G622" s="13"/>
      <c r="H622" s="13"/>
      <c r="I622" s="13"/>
      <c r="J622" s="13"/>
      <c r="K622" s="185"/>
      <c r="L622" s="186"/>
      <c r="M622" s="13"/>
      <c r="N622" s="13"/>
      <c r="O622" s="185"/>
      <c r="P622" s="13"/>
      <c r="Q622" s="13"/>
      <c r="R622" s="177"/>
      <c r="S622" s="35"/>
      <c r="T622" s="35"/>
      <c r="U622" s="13"/>
      <c r="V622" s="13"/>
      <c r="W622" s="13"/>
      <c r="X622" s="13"/>
      <c r="Y622" s="13"/>
      <c r="Z622" s="13"/>
      <c r="AA622" s="13"/>
      <c r="AB622" s="13"/>
      <c r="AC622" s="13"/>
    </row>
    <row r="623" ht="16.5" customHeight="1">
      <c r="A623" s="13"/>
      <c r="B623" s="13"/>
      <c r="C623" s="13"/>
      <c r="D623" s="13"/>
      <c r="E623" s="13"/>
      <c r="F623" s="13"/>
      <c r="G623" s="13"/>
      <c r="H623" s="13"/>
      <c r="I623" s="13"/>
      <c r="J623" s="13"/>
      <c r="K623" s="185"/>
      <c r="L623" s="186"/>
      <c r="M623" s="13"/>
      <c r="N623" s="13"/>
      <c r="O623" s="185"/>
      <c r="P623" s="13"/>
      <c r="Q623" s="13"/>
      <c r="R623" s="177"/>
      <c r="S623" s="35"/>
      <c r="T623" s="35"/>
      <c r="U623" s="13"/>
      <c r="V623" s="13"/>
      <c r="W623" s="13"/>
      <c r="X623" s="13"/>
      <c r="Y623" s="13"/>
      <c r="Z623" s="13"/>
      <c r="AA623" s="13"/>
      <c r="AB623" s="13"/>
      <c r="AC623" s="13"/>
    </row>
    <row r="624" ht="16.5" customHeight="1">
      <c r="A624" s="13"/>
      <c r="B624" s="13"/>
      <c r="C624" s="13"/>
      <c r="D624" s="13"/>
      <c r="E624" s="13"/>
      <c r="F624" s="13"/>
      <c r="G624" s="13"/>
      <c r="H624" s="13"/>
      <c r="I624" s="13"/>
      <c r="J624" s="13"/>
      <c r="K624" s="185"/>
      <c r="L624" s="186"/>
      <c r="M624" s="13"/>
      <c r="N624" s="13"/>
      <c r="O624" s="185"/>
      <c r="P624" s="13"/>
      <c r="Q624" s="13"/>
      <c r="R624" s="177"/>
      <c r="S624" s="35"/>
      <c r="T624" s="35"/>
      <c r="U624" s="13"/>
      <c r="V624" s="13"/>
      <c r="W624" s="13"/>
      <c r="X624" s="13"/>
      <c r="Y624" s="13"/>
      <c r="Z624" s="13"/>
      <c r="AA624" s="13"/>
      <c r="AB624" s="13"/>
      <c r="AC624" s="13"/>
    </row>
    <row r="625" ht="16.5" customHeight="1">
      <c r="A625" s="13"/>
      <c r="B625" s="13"/>
      <c r="C625" s="13"/>
      <c r="D625" s="13"/>
      <c r="E625" s="13"/>
      <c r="F625" s="13"/>
      <c r="G625" s="13"/>
      <c r="H625" s="13"/>
      <c r="I625" s="13"/>
      <c r="J625" s="13"/>
      <c r="K625" s="185"/>
      <c r="L625" s="186"/>
      <c r="M625" s="13"/>
      <c r="N625" s="13"/>
      <c r="O625" s="185"/>
      <c r="P625" s="13"/>
      <c r="Q625" s="13"/>
      <c r="R625" s="177"/>
      <c r="S625" s="35"/>
      <c r="T625" s="35"/>
      <c r="U625" s="13"/>
      <c r="V625" s="13"/>
      <c r="W625" s="13"/>
      <c r="X625" s="13"/>
      <c r="Y625" s="13"/>
      <c r="Z625" s="13"/>
      <c r="AA625" s="13"/>
      <c r="AB625" s="13"/>
      <c r="AC625" s="13"/>
    </row>
    <row r="626" ht="16.5" customHeight="1">
      <c r="A626" s="13"/>
      <c r="B626" s="13"/>
      <c r="C626" s="13"/>
      <c r="D626" s="13"/>
      <c r="E626" s="13"/>
      <c r="F626" s="13"/>
      <c r="G626" s="13"/>
      <c r="H626" s="13"/>
      <c r="I626" s="13"/>
      <c r="J626" s="13"/>
      <c r="K626" s="185"/>
      <c r="L626" s="186"/>
      <c r="M626" s="13"/>
      <c r="N626" s="13"/>
      <c r="O626" s="185"/>
      <c r="P626" s="13"/>
      <c r="Q626" s="13"/>
      <c r="R626" s="177"/>
      <c r="S626" s="35"/>
      <c r="T626" s="35"/>
      <c r="U626" s="13"/>
      <c r="V626" s="13"/>
      <c r="W626" s="13"/>
      <c r="X626" s="13"/>
      <c r="Y626" s="13"/>
      <c r="Z626" s="13"/>
      <c r="AA626" s="13"/>
      <c r="AB626" s="13"/>
      <c r="AC626" s="13"/>
    </row>
    <row r="627" ht="16.5" customHeight="1">
      <c r="A627" s="13"/>
      <c r="B627" s="13"/>
      <c r="C627" s="13"/>
      <c r="D627" s="13"/>
      <c r="E627" s="13"/>
      <c r="F627" s="13"/>
      <c r="G627" s="13"/>
      <c r="H627" s="13"/>
      <c r="I627" s="13"/>
      <c r="J627" s="13"/>
      <c r="K627" s="185"/>
      <c r="L627" s="186"/>
      <c r="M627" s="13"/>
      <c r="N627" s="13"/>
      <c r="O627" s="185"/>
      <c r="P627" s="13"/>
      <c r="Q627" s="13"/>
      <c r="R627" s="177"/>
      <c r="S627" s="35"/>
      <c r="T627" s="35"/>
      <c r="U627" s="13"/>
      <c r="V627" s="13"/>
      <c r="W627" s="13"/>
      <c r="X627" s="13"/>
      <c r="Y627" s="13"/>
      <c r="Z627" s="13"/>
      <c r="AA627" s="13"/>
      <c r="AB627" s="13"/>
      <c r="AC627" s="13"/>
    </row>
    <row r="628" ht="16.5" customHeight="1">
      <c r="A628" s="13"/>
      <c r="B628" s="13"/>
      <c r="C628" s="13"/>
      <c r="D628" s="13"/>
      <c r="E628" s="13"/>
      <c r="F628" s="13"/>
      <c r="G628" s="13"/>
      <c r="H628" s="13"/>
      <c r="I628" s="13"/>
      <c r="J628" s="13"/>
      <c r="K628" s="185"/>
      <c r="L628" s="186"/>
      <c r="M628" s="13"/>
      <c r="N628" s="13"/>
      <c r="O628" s="185"/>
      <c r="P628" s="13"/>
      <c r="Q628" s="13"/>
      <c r="R628" s="177"/>
      <c r="S628" s="35"/>
      <c r="T628" s="35"/>
      <c r="U628" s="13"/>
      <c r="V628" s="13"/>
      <c r="W628" s="13"/>
      <c r="X628" s="13"/>
      <c r="Y628" s="13"/>
      <c r="Z628" s="13"/>
      <c r="AA628" s="13"/>
      <c r="AB628" s="13"/>
      <c r="AC628" s="13"/>
    </row>
    <row r="629" ht="16.5" customHeight="1">
      <c r="A629" s="13"/>
      <c r="B629" s="13"/>
      <c r="C629" s="13"/>
      <c r="D629" s="13"/>
      <c r="E629" s="13"/>
      <c r="F629" s="13"/>
      <c r="G629" s="13"/>
      <c r="H629" s="13"/>
      <c r="I629" s="13"/>
      <c r="J629" s="13"/>
      <c r="K629" s="185"/>
      <c r="L629" s="186"/>
      <c r="M629" s="13"/>
      <c r="N629" s="13"/>
      <c r="O629" s="185"/>
      <c r="P629" s="13"/>
      <c r="Q629" s="13"/>
      <c r="R629" s="177"/>
      <c r="S629" s="35"/>
      <c r="T629" s="35"/>
      <c r="U629" s="13"/>
      <c r="V629" s="13"/>
      <c r="W629" s="13"/>
      <c r="X629" s="13"/>
      <c r="Y629" s="13"/>
      <c r="Z629" s="13"/>
      <c r="AA629" s="13"/>
      <c r="AB629" s="13"/>
      <c r="AC629" s="13"/>
    </row>
    <row r="630" ht="16.5" customHeight="1">
      <c r="A630" s="13"/>
      <c r="B630" s="13"/>
      <c r="C630" s="13"/>
      <c r="D630" s="13"/>
      <c r="E630" s="13"/>
      <c r="F630" s="13"/>
      <c r="G630" s="13"/>
      <c r="H630" s="13"/>
      <c r="I630" s="13"/>
      <c r="J630" s="13"/>
      <c r="K630" s="185"/>
      <c r="L630" s="186"/>
      <c r="M630" s="13"/>
      <c r="N630" s="13"/>
      <c r="O630" s="185"/>
      <c r="P630" s="13"/>
      <c r="Q630" s="13"/>
      <c r="R630" s="177"/>
      <c r="S630" s="35"/>
      <c r="T630" s="35"/>
      <c r="U630" s="13"/>
      <c r="V630" s="13"/>
      <c r="W630" s="13"/>
      <c r="X630" s="13"/>
      <c r="Y630" s="13"/>
      <c r="Z630" s="13"/>
      <c r="AA630" s="13"/>
      <c r="AB630" s="13"/>
      <c r="AC630" s="13"/>
    </row>
    <row r="631" ht="16.5" customHeight="1">
      <c r="A631" s="13"/>
      <c r="B631" s="13"/>
      <c r="C631" s="13"/>
      <c r="D631" s="13"/>
      <c r="E631" s="13"/>
      <c r="F631" s="13"/>
      <c r="G631" s="13"/>
      <c r="H631" s="13"/>
      <c r="I631" s="13"/>
      <c r="J631" s="13"/>
      <c r="K631" s="185"/>
      <c r="L631" s="186"/>
      <c r="M631" s="13"/>
      <c r="N631" s="13"/>
      <c r="O631" s="185"/>
      <c r="P631" s="13"/>
      <c r="Q631" s="13"/>
      <c r="R631" s="177"/>
      <c r="S631" s="35"/>
      <c r="T631" s="35"/>
      <c r="U631" s="13"/>
      <c r="V631" s="13"/>
      <c r="W631" s="13"/>
      <c r="X631" s="13"/>
      <c r="Y631" s="13"/>
      <c r="Z631" s="13"/>
      <c r="AA631" s="13"/>
      <c r="AB631" s="13"/>
      <c r="AC631" s="13"/>
    </row>
    <row r="632" ht="16.5" customHeight="1">
      <c r="A632" s="13"/>
      <c r="B632" s="13"/>
      <c r="C632" s="13"/>
      <c r="D632" s="13"/>
      <c r="E632" s="13"/>
      <c r="F632" s="13"/>
      <c r="G632" s="13"/>
      <c r="H632" s="13"/>
      <c r="I632" s="13"/>
      <c r="J632" s="13"/>
      <c r="K632" s="185"/>
      <c r="L632" s="186"/>
      <c r="M632" s="13"/>
      <c r="N632" s="13"/>
      <c r="O632" s="185"/>
      <c r="P632" s="13"/>
      <c r="Q632" s="13"/>
      <c r="R632" s="177"/>
      <c r="S632" s="35"/>
      <c r="T632" s="35"/>
      <c r="U632" s="13"/>
      <c r="V632" s="13"/>
      <c r="W632" s="13"/>
      <c r="X632" s="13"/>
      <c r="Y632" s="13"/>
      <c r="Z632" s="13"/>
      <c r="AA632" s="13"/>
      <c r="AB632" s="13"/>
      <c r="AC632" s="13"/>
    </row>
    <row r="633" ht="16.5" customHeight="1">
      <c r="A633" s="13"/>
      <c r="B633" s="13"/>
      <c r="C633" s="13"/>
      <c r="D633" s="13"/>
      <c r="E633" s="13"/>
      <c r="F633" s="13"/>
      <c r="G633" s="13"/>
      <c r="H633" s="13"/>
      <c r="I633" s="13"/>
      <c r="J633" s="13"/>
      <c r="K633" s="185"/>
      <c r="L633" s="186"/>
      <c r="M633" s="13"/>
      <c r="N633" s="13"/>
      <c r="O633" s="185"/>
      <c r="P633" s="13"/>
      <c r="Q633" s="13"/>
      <c r="R633" s="177"/>
      <c r="S633" s="35"/>
      <c r="T633" s="35"/>
      <c r="U633" s="13"/>
      <c r="V633" s="13"/>
      <c r="W633" s="13"/>
      <c r="X633" s="13"/>
      <c r="Y633" s="13"/>
      <c r="Z633" s="13"/>
      <c r="AA633" s="13"/>
      <c r="AB633" s="13"/>
      <c r="AC633" s="13"/>
    </row>
    <row r="634" ht="16.5" customHeight="1">
      <c r="A634" s="13"/>
      <c r="B634" s="13"/>
      <c r="C634" s="13"/>
      <c r="D634" s="13"/>
      <c r="E634" s="13"/>
      <c r="F634" s="13"/>
      <c r="G634" s="13"/>
      <c r="H634" s="13"/>
      <c r="I634" s="13"/>
      <c r="J634" s="13"/>
      <c r="K634" s="185"/>
      <c r="L634" s="186"/>
      <c r="M634" s="13"/>
      <c r="N634" s="13"/>
      <c r="O634" s="185"/>
      <c r="P634" s="13"/>
      <c r="Q634" s="13"/>
      <c r="R634" s="177"/>
      <c r="S634" s="35"/>
      <c r="T634" s="35"/>
      <c r="U634" s="13"/>
      <c r="V634" s="13"/>
      <c r="W634" s="13"/>
      <c r="X634" s="13"/>
      <c r="Y634" s="13"/>
      <c r="Z634" s="13"/>
      <c r="AA634" s="13"/>
      <c r="AB634" s="13"/>
      <c r="AC634" s="13"/>
    </row>
    <row r="635" ht="16.5" customHeight="1">
      <c r="A635" s="13"/>
      <c r="B635" s="13"/>
      <c r="C635" s="13"/>
      <c r="D635" s="13"/>
      <c r="E635" s="13"/>
      <c r="F635" s="13"/>
      <c r="G635" s="13"/>
      <c r="H635" s="13"/>
      <c r="I635" s="13"/>
      <c r="J635" s="13"/>
      <c r="K635" s="185"/>
      <c r="L635" s="186"/>
      <c r="M635" s="13"/>
      <c r="N635" s="13"/>
      <c r="O635" s="185"/>
      <c r="P635" s="13"/>
      <c r="Q635" s="13"/>
      <c r="R635" s="177"/>
      <c r="S635" s="35"/>
      <c r="T635" s="35"/>
      <c r="U635" s="13"/>
      <c r="V635" s="13"/>
      <c r="W635" s="13"/>
      <c r="X635" s="13"/>
      <c r="Y635" s="13"/>
      <c r="Z635" s="13"/>
      <c r="AA635" s="13"/>
      <c r="AB635" s="13"/>
      <c r="AC635" s="13"/>
    </row>
    <row r="636" ht="16.5" customHeight="1">
      <c r="A636" s="13"/>
      <c r="B636" s="13"/>
      <c r="C636" s="13"/>
      <c r="D636" s="13"/>
      <c r="E636" s="13"/>
      <c r="F636" s="13"/>
      <c r="G636" s="13"/>
      <c r="H636" s="13"/>
      <c r="I636" s="13"/>
      <c r="J636" s="13"/>
      <c r="K636" s="185"/>
      <c r="L636" s="186"/>
      <c r="M636" s="13"/>
      <c r="N636" s="13"/>
      <c r="O636" s="185"/>
      <c r="P636" s="13"/>
      <c r="Q636" s="13"/>
      <c r="R636" s="177"/>
      <c r="S636" s="35"/>
      <c r="T636" s="35"/>
      <c r="U636" s="13"/>
      <c r="V636" s="13"/>
      <c r="W636" s="13"/>
      <c r="X636" s="13"/>
      <c r="Y636" s="13"/>
      <c r="Z636" s="13"/>
      <c r="AA636" s="13"/>
      <c r="AB636" s="13"/>
      <c r="AC636" s="13"/>
    </row>
    <row r="637" ht="16.5" customHeight="1">
      <c r="A637" s="13"/>
      <c r="B637" s="13"/>
      <c r="C637" s="13"/>
      <c r="D637" s="13"/>
      <c r="E637" s="13"/>
      <c r="F637" s="13"/>
      <c r="G637" s="13"/>
      <c r="H637" s="13"/>
      <c r="I637" s="13"/>
      <c r="J637" s="13"/>
      <c r="K637" s="185"/>
      <c r="L637" s="186"/>
      <c r="M637" s="13"/>
      <c r="N637" s="13"/>
      <c r="O637" s="185"/>
      <c r="P637" s="13"/>
      <c r="Q637" s="13"/>
      <c r="R637" s="177"/>
      <c r="S637" s="35"/>
      <c r="T637" s="35"/>
      <c r="U637" s="13"/>
      <c r="V637" s="13"/>
      <c r="W637" s="13"/>
      <c r="X637" s="13"/>
      <c r="Y637" s="13"/>
      <c r="Z637" s="13"/>
      <c r="AA637" s="13"/>
      <c r="AB637" s="13"/>
      <c r="AC637" s="13"/>
    </row>
    <row r="638" ht="16.5" customHeight="1">
      <c r="A638" s="13"/>
      <c r="B638" s="13"/>
      <c r="C638" s="13"/>
      <c r="D638" s="13"/>
      <c r="E638" s="13"/>
      <c r="F638" s="13"/>
      <c r="G638" s="13"/>
      <c r="H638" s="13"/>
      <c r="I638" s="13"/>
      <c r="J638" s="13"/>
      <c r="K638" s="185"/>
      <c r="L638" s="186"/>
      <c r="M638" s="13"/>
      <c r="N638" s="13"/>
      <c r="O638" s="185"/>
      <c r="P638" s="13"/>
      <c r="Q638" s="13"/>
      <c r="R638" s="177"/>
      <c r="S638" s="35"/>
      <c r="T638" s="35"/>
      <c r="U638" s="13"/>
      <c r="V638" s="13"/>
      <c r="W638" s="13"/>
      <c r="X638" s="13"/>
      <c r="Y638" s="13"/>
      <c r="Z638" s="13"/>
      <c r="AA638" s="13"/>
      <c r="AB638" s="13"/>
      <c r="AC638" s="13"/>
    </row>
    <row r="639" ht="16.5" customHeight="1">
      <c r="A639" s="13"/>
      <c r="B639" s="13"/>
      <c r="C639" s="13"/>
      <c r="D639" s="13"/>
      <c r="E639" s="13"/>
      <c r="F639" s="13"/>
      <c r="G639" s="13"/>
      <c r="H639" s="13"/>
      <c r="I639" s="13"/>
      <c r="J639" s="13"/>
      <c r="K639" s="185"/>
      <c r="L639" s="186"/>
      <c r="M639" s="13"/>
      <c r="N639" s="13"/>
      <c r="O639" s="185"/>
      <c r="P639" s="13"/>
      <c r="Q639" s="13"/>
      <c r="R639" s="177"/>
      <c r="S639" s="35"/>
      <c r="T639" s="35"/>
      <c r="U639" s="13"/>
      <c r="V639" s="13"/>
      <c r="W639" s="13"/>
      <c r="X639" s="13"/>
      <c r="Y639" s="13"/>
      <c r="Z639" s="13"/>
      <c r="AA639" s="13"/>
      <c r="AB639" s="13"/>
      <c r="AC639" s="13"/>
    </row>
    <row r="640" ht="16.5" customHeight="1">
      <c r="A640" s="13"/>
      <c r="B640" s="13"/>
      <c r="C640" s="13"/>
      <c r="D640" s="13"/>
      <c r="E640" s="13"/>
      <c r="F640" s="13"/>
      <c r="G640" s="13"/>
      <c r="H640" s="13"/>
      <c r="I640" s="13"/>
      <c r="J640" s="13"/>
      <c r="K640" s="185"/>
      <c r="L640" s="186"/>
      <c r="M640" s="13"/>
      <c r="N640" s="13"/>
      <c r="O640" s="185"/>
      <c r="P640" s="13"/>
      <c r="Q640" s="13"/>
      <c r="R640" s="177"/>
      <c r="S640" s="35"/>
      <c r="T640" s="35"/>
      <c r="U640" s="13"/>
      <c r="V640" s="13"/>
      <c r="W640" s="13"/>
      <c r="X640" s="13"/>
      <c r="Y640" s="13"/>
      <c r="Z640" s="13"/>
      <c r="AA640" s="13"/>
      <c r="AB640" s="13"/>
      <c r="AC640" s="13"/>
    </row>
    <row r="641" ht="16.5" customHeight="1">
      <c r="A641" s="13"/>
      <c r="B641" s="13"/>
      <c r="C641" s="13"/>
      <c r="D641" s="13"/>
      <c r="E641" s="13"/>
      <c r="F641" s="13"/>
      <c r="G641" s="13"/>
      <c r="H641" s="13"/>
      <c r="I641" s="13"/>
      <c r="J641" s="13"/>
      <c r="K641" s="185"/>
      <c r="L641" s="186"/>
      <c r="M641" s="13"/>
      <c r="N641" s="13"/>
      <c r="O641" s="185"/>
      <c r="P641" s="13"/>
      <c r="Q641" s="13"/>
      <c r="R641" s="177"/>
      <c r="S641" s="35"/>
      <c r="T641" s="35"/>
      <c r="U641" s="13"/>
      <c r="V641" s="13"/>
      <c r="W641" s="13"/>
      <c r="X641" s="13"/>
      <c r="Y641" s="13"/>
      <c r="Z641" s="13"/>
      <c r="AA641" s="13"/>
      <c r="AB641" s="13"/>
      <c r="AC641" s="13"/>
    </row>
    <row r="642" ht="16.5" customHeight="1">
      <c r="A642" s="13"/>
      <c r="B642" s="13"/>
      <c r="C642" s="13"/>
      <c r="D642" s="13"/>
      <c r="E642" s="13"/>
      <c r="F642" s="13"/>
      <c r="G642" s="13"/>
      <c r="H642" s="13"/>
      <c r="I642" s="13"/>
      <c r="J642" s="13"/>
      <c r="K642" s="185"/>
      <c r="L642" s="186"/>
      <c r="M642" s="13"/>
      <c r="N642" s="13"/>
      <c r="O642" s="185"/>
      <c r="P642" s="13"/>
      <c r="Q642" s="13"/>
      <c r="R642" s="177"/>
      <c r="S642" s="35"/>
      <c r="T642" s="35"/>
      <c r="U642" s="13"/>
      <c r="V642" s="13"/>
      <c r="W642" s="13"/>
      <c r="X642" s="13"/>
      <c r="Y642" s="13"/>
      <c r="Z642" s="13"/>
      <c r="AA642" s="13"/>
      <c r="AB642" s="13"/>
      <c r="AC642" s="13"/>
    </row>
    <row r="643" ht="16.5" customHeight="1">
      <c r="A643" s="13"/>
      <c r="B643" s="13"/>
      <c r="C643" s="13"/>
      <c r="D643" s="13"/>
      <c r="E643" s="13"/>
      <c r="F643" s="13"/>
      <c r="G643" s="13"/>
      <c r="H643" s="13"/>
      <c r="I643" s="13"/>
      <c r="J643" s="13"/>
      <c r="K643" s="185"/>
      <c r="L643" s="186"/>
      <c r="M643" s="13"/>
      <c r="N643" s="13"/>
      <c r="O643" s="185"/>
      <c r="P643" s="13"/>
      <c r="Q643" s="13"/>
      <c r="R643" s="177"/>
      <c r="S643" s="35"/>
      <c r="T643" s="35"/>
      <c r="U643" s="13"/>
      <c r="V643" s="13"/>
      <c r="W643" s="13"/>
      <c r="X643" s="13"/>
      <c r="Y643" s="13"/>
      <c r="Z643" s="13"/>
      <c r="AA643" s="13"/>
      <c r="AB643" s="13"/>
      <c r="AC643" s="13"/>
    </row>
    <row r="644" ht="16.5" customHeight="1">
      <c r="A644" s="13"/>
      <c r="B644" s="13"/>
      <c r="C644" s="13"/>
      <c r="D644" s="13"/>
      <c r="E644" s="13"/>
      <c r="F644" s="13"/>
      <c r="G644" s="13"/>
      <c r="H644" s="13"/>
      <c r="I644" s="13"/>
      <c r="J644" s="13"/>
      <c r="K644" s="185"/>
      <c r="L644" s="186"/>
      <c r="M644" s="13"/>
      <c r="N644" s="13"/>
      <c r="O644" s="185"/>
      <c r="P644" s="13"/>
      <c r="Q644" s="13"/>
      <c r="R644" s="177"/>
      <c r="S644" s="35"/>
      <c r="T644" s="35"/>
      <c r="U644" s="13"/>
      <c r="V644" s="13"/>
      <c r="W644" s="13"/>
      <c r="X644" s="13"/>
      <c r="Y644" s="13"/>
      <c r="Z644" s="13"/>
      <c r="AA644" s="13"/>
      <c r="AB644" s="13"/>
      <c r="AC644" s="13"/>
    </row>
    <row r="645" ht="16.5" customHeight="1">
      <c r="A645" s="13"/>
      <c r="B645" s="13"/>
      <c r="C645" s="13"/>
      <c r="D645" s="13"/>
      <c r="E645" s="13"/>
      <c r="F645" s="13"/>
      <c r="G645" s="13"/>
      <c r="H645" s="13"/>
      <c r="I645" s="13"/>
      <c r="J645" s="13"/>
      <c r="K645" s="185"/>
      <c r="L645" s="186"/>
      <c r="M645" s="13"/>
      <c r="N645" s="13"/>
      <c r="O645" s="185"/>
      <c r="P645" s="13"/>
      <c r="Q645" s="13"/>
      <c r="R645" s="177"/>
      <c r="S645" s="35"/>
      <c r="T645" s="35"/>
      <c r="U645" s="13"/>
      <c r="V645" s="13"/>
      <c r="W645" s="13"/>
      <c r="X645" s="13"/>
      <c r="Y645" s="13"/>
      <c r="Z645" s="13"/>
      <c r="AA645" s="13"/>
      <c r="AB645" s="13"/>
      <c r="AC645" s="13"/>
    </row>
    <row r="646" ht="16.5" customHeight="1">
      <c r="A646" s="13"/>
      <c r="B646" s="13"/>
      <c r="C646" s="13"/>
      <c r="D646" s="13"/>
      <c r="E646" s="13"/>
      <c r="F646" s="13"/>
      <c r="G646" s="13"/>
      <c r="H646" s="13"/>
      <c r="I646" s="13"/>
      <c r="J646" s="13"/>
      <c r="K646" s="185"/>
      <c r="L646" s="186"/>
      <c r="M646" s="13"/>
      <c r="N646" s="13"/>
      <c r="O646" s="185"/>
      <c r="P646" s="13"/>
      <c r="Q646" s="13"/>
      <c r="R646" s="177"/>
      <c r="S646" s="35"/>
      <c r="T646" s="35"/>
      <c r="U646" s="13"/>
      <c r="V646" s="13"/>
      <c r="W646" s="13"/>
      <c r="X646" s="13"/>
      <c r="Y646" s="13"/>
      <c r="Z646" s="13"/>
      <c r="AA646" s="13"/>
      <c r="AB646" s="13"/>
      <c r="AC646" s="13"/>
    </row>
    <row r="647" ht="16.5" customHeight="1">
      <c r="A647" s="13"/>
      <c r="B647" s="13"/>
      <c r="C647" s="13"/>
      <c r="D647" s="13"/>
      <c r="E647" s="13"/>
      <c r="F647" s="13"/>
      <c r="G647" s="13"/>
      <c r="H647" s="13"/>
      <c r="I647" s="13"/>
      <c r="J647" s="13"/>
      <c r="K647" s="185"/>
      <c r="L647" s="186"/>
      <c r="M647" s="13"/>
      <c r="N647" s="13"/>
      <c r="O647" s="185"/>
      <c r="P647" s="13"/>
      <c r="Q647" s="13"/>
      <c r="R647" s="177"/>
      <c r="S647" s="35"/>
      <c r="T647" s="35"/>
      <c r="U647" s="13"/>
      <c r="V647" s="13"/>
      <c r="W647" s="13"/>
      <c r="X647" s="13"/>
      <c r="Y647" s="13"/>
      <c r="Z647" s="13"/>
      <c r="AA647" s="13"/>
      <c r="AB647" s="13"/>
      <c r="AC647" s="13"/>
    </row>
    <row r="648" ht="16.5" customHeight="1">
      <c r="A648" s="13"/>
      <c r="B648" s="13"/>
      <c r="C648" s="13"/>
      <c r="D648" s="13"/>
      <c r="E648" s="13"/>
      <c r="F648" s="13"/>
      <c r="G648" s="13"/>
      <c r="H648" s="13"/>
      <c r="I648" s="13"/>
      <c r="J648" s="13"/>
      <c r="K648" s="185"/>
      <c r="L648" s="186"/>
      <c r="M648" s="13"/>
      <c r="N648" s="13"/>
      <c r="O648" s="185"/>
      <c r="P648" s="13"/>
      <c r="Q648" s="13"/>
      <c r="R648" s="177"/>
      <c r="S648" s="35"/>
      <c r="T648" s="35"/>
      <c r="U648" s="13"/>
      <c r="V648" s="13"/>
      <c r="W648" s="13"/>
      <c r="X648" s="13"/>
      <c r="Y648" s="13"/>
      <c r="Z648" s="13"/>
      <c r="AA648" s="13"/>
      <c r="AB648" s="13"/>
      <c r="AC648" s="13"/>
    </row>
    <row r="649" ht="16.5" customHeight="1">
      <c r="A649" s="13"/>
      <c r="B649" s="13"/>
      <c r="C649" s="13"/>
      <c r="D649" s="13"/>
      <c r="E649" s="13"/>
      <c r="F649" s="13"/>
      <c r="G649" s="13"/>
      <c r="H649" s="13"/>
      <c r="I649" s="13"/>
      <c r="J649" s="13"/>
      <c r="K649" s="185"/>
      <c r="L649" s="186"/>
      <c r="M649" s="13"/>
      <c r="N649" s="13"/>
      <c r="O649" s="185"/>
      <c r="P649" s="13"/>
      <c r="Q649" s="13"/>
      <c r="R649" s="177"/>
      <c r="S649" s="35"/>
      <c r="T649" s="35"/>
      <c r="U649" s="13"/>
      <c r="V649" s="13"/>
      <c r="W649" s="13"/>
      <c r="X649" s="13"/>
      <c r="Y649" s="13"/>
      <c r="Z649" s="13"/>
      <c r="AA649" s="13"/>
      <c r="AB649" s="13"/>
      <c r="AC649" s="13"/>
    </row>
    <row r="650" ht="16.5" customHeight="1">
      <c r="A650" s="13"/>
      <c r="B650" s="13"/>
      <c r="C650" s="13"/>
      <c r="D650" s="13"/>
      <c r="E650" s="13"/>
      <c r="F650" s="13"/>
      <c r="G650" s="13"/>
      <c r="H650" s="13"/>
      <c r="I650" s="13"/>
      <c r="J650" s="13"/>
      <c r="K650" s="185"/>
      <c r="L650" s="186"/>
      <c r="M650" s="13"/>
      <c r="N650" s="13"/>
      <c r="O650" s="185"/>
      <c r="P650" s="13"/>
      <c r="Q650" s="13"/>
      <c r="R650" s="177"/>
      <c r="S650" s="35"/>
      <c r="T650" s="35"/>
      <c r="U650" s="13"/>
      <c r="V650" s="13"/>
      <c r="W650" s="13"/>
      <c r="X650" s="13"/>
      <c r="Y650" s="13"/>
      <c r="Z650" s="13"/>
      <c r="AA650" s="13"/>
      <c r="AB650" s="13"/>
      <c r="AC650" s="13"/>
    </row>
    <row r="651" ht="16.5" customHeight="1">
      <c r="A651" s="13"/>
      <c r="B651" s="13"/>
      <c r="C651" s="13"/>
      <c r="D651" s="13"/>
      <c r="E651" s="13"/>
      <c r="F651" s="13"/>
      <c r="G651" s="13"/>
      <c r="H651" s="13"/>
      <c r="I651" s="13"/>
      <c r="J651" s="13"/>
      <c r="K651" s="185"/>
      <c r="L651" s="186"/>
      <c r="M651" s="13"/>
      <c r="N651" s="13"/>
      <c r="O651" s="185"/>
      <c r="P651" s="13"/>
      <c r="Q651" s="13"/>
      <c r="R651" s="177"/>
      <c r="S651" s="35"/>
      <c r="T651" s="35"/>
      <c r="U651" s="13"/>
      <c r="V651" s="13"/>
      <c r="W651" s="13"/>
      <c r="X651" s="13"/>
      <c r="Y651" s="13"/>
      <c r="Z651" s="13"/>
      <c r="AA651" s="13"/>
      <c r="AB651" s="13"/>
      <c r="AC651" s="13"/>
    </row>
    <row r="652" ht="16.5" customHeight="1">
      <c r="A652" s="13"/>
      <c r="B652" s="13"/>
      <c r="C652" s="13"/>
      <c r="D652" s="13"/>
      <c r="E652" s="13"/>
      <c r="F652" s="13"/>
      <c r="G652" s="13"/>
      <c r="H652" s="13"/>
      <c r="I652" s="13"/>
      <c r="J652" s="13"/>
      <c r="K652" s="185"/>
      <c r="L652" s="186"/>
      <c r="M652" s="13"/>
      <c r="N652" s="13"/>
      <c r="O652" s="185"/>
      <c r="P652" s="13"/>
      <c r="Q652" s="13"/>
      <c r="R652" s="177"/>
      <c r="S652" s="35"/>
      <c r="T652" s="35"/>
      <c r="U652" s="13"/>
      <c r="V652" s="13"/>
      <c r="W652" s="13"/>
      <c r="X652" s="13"/>
      <c r="Y652" s="13"/>
      <c r="Z652" s="13"/>
      <c r="AA652" s="13"/>
      <c r="AB652" s="13"/>
      <c r="AC652" s="13"/>
    </row>
    <row r="653" ht="16.5" customHeight="1">
      <c r="A653" s="13"/>
      <c r="B653" s="13"/>
      <c r="C653" s="13"/>
      <c r="D653" s="13"/>
      <c r="E653" s="13"/>
      <c r="F653" s="13"/>
      <c r="G653" s="13"/>
      <c r="H653" s="13"/>
      <c r="I653" s="13"/>
      <c r="J653" s="13"/>
      <c r="K653" s="185"/>
      <c r="L653" s="186"/>
      <c r="M653" s="13"/>
      <c r="N653" s="13"/>
      <c r="O653" s="185"/>
      <c r="P653" s="13"/>
      <c r="Q653" s="13"/>
      <c r="R653" s="177"/>
      <c r="S653" s="35"/>
      <c r="T653" s="35"/>
      <c r="U653" s="13"/>
      <c r="V653" s="13"/>
      <c r="W653" s="13"/>
      <c r="X653" s="13"/>
      <c r="Y653" s="13"/>
      <c r="Z653" s="13"/>
      <c r="AA653" s="13"/>
      <c r="AB653" s="13"/>
      <c r="AC653" s="13"/>
    </row>
    <row r="654" ht="16.5" customHeight="1">
      <c r="A654" s="13"/>
      <c r="B654" s="13"/>
      <c r="C654" s="13"/>
      <c r="D654" s="13"/>
      <c r="E654" s="13"/>
      <c r="F654" s="13"/>
      <c r="G654" s="13"/>
      <c r="H654" s="13"/>
      <c r="I654" s="13"/>
      <c r="J654" s="13"/>
      <c r="K654" s="185"/>
      <c r="L654" s="186"/>
      <c r="M654" s="13"/>
      <c r="N654" s="13"/>
      <c r="O654" s="185"/>
      <c r="P654" s="13"/>
      <c r="Q654" s="13"/>
      <c r="R654" s="177"/>
      <c r="S654" s="35"/>
      <c r="T654" s="35"/>
      <c r="U654" s="13"/>
      <c r="V654" s="13"/>
      <c r="W654" s="13"/>
      <c r="X654" s="13"/>
      <c r="Y654" s="13"/>
      <c r="Z654" s="13"/>
      <c r="AA654" s="13"/>
      <c r="AB654" s="13"/>
      <c r="AC654" s="13"/>
    </row>
    <row r="655" ht="16.5" customHeight="1">
      <c r="A655" s="13"/>
      <c r="B655" s="13"/>
      <c r="C655" s="13"/>
      <c r="D655" s="13"/>
      <c r="E655" s="13"/>
      <c r="F655" s="13"/>
      <c r="G655" s="13"/>
      <c r="H655" s="13"/>
      <c r="I655" s="13"/>
      <c r="J655" s="13"/>
      <c r="K655" s="185"/>
      <c r="L655" s="186"/>
      <c r="M655" s="13"/>
      <c r="N655" s="13"/>
      <c r="O655" s="185"/>
      <c r="P655" s="13"/>
      <c r="Q655" s="13"/>
      <c r="R655" s="177"/>
      <c r="S655" s="35"/>
      <c r="T655" s="35"/>
      <c r="U655" s="13"/>
      <c r="V655" s="13"/>
      <c r="W655" s="13"/>
      <c r="X655" s="13"/>
      <c r="Y655" s="13"/>
      <c r="Z655" s="13"/>
      <c r="AA655" s="13"/>
      <c r="AB655" s="13"/>
      <c r="AC655" s="13"/>
    </row>
    <row r="656" ht="16.5" customHeight="1">
      <c r="A656" s="13"/>
      <c r="B656" s="13"/>
      <c r="C656" s="13"/>
      <c r="D656" s="13"/>
      <c r="E656" s="13"/>
      <c r="F656" s="13"/>
      <c r="G656" s="13"/>
      <c r="H656" s="13"/>
      <c r="I656" s="13"/>
      <c r="J656" s="13"/>
      <c r="K656" s="185"/>
      <c r="L656" s="186"/>
      <c r="M656" s="13"/>
      <c r="N656" s="13"/>
      <c r="O656" s="185"/>
      <c r="P656" s="13"/>
      <c r="Q656" s="13"/>
      <c r="R656" s="177"/>
      <c r="S656" s="35"/>
      <c r="T656" s="35"/>
      <c r="U656" s="13"/>
      <c r="V656" s="13"/>
      <c r="W656" s="13"/>
      <c r="X656" s="13"/>
      <c r="Y656" s="13"/>
      <c r="Z656" s="13"/>
      <c r="AA656" s="13"/>
      <c r="AB656" s="13"/>
      <c r="AC656" s="13"/>
    </row>
    <row r="657" ht="16.5" customHeight="1">
      <c r="A657" s="13"/>
      <c r="B657" s="13"/>
      <c r="C657" s="13"/>
      <c r="D657" s="13"/>
      <c r="E657" s="13"/>
      <c r="F657" s="13"/>
      <c r="G657" s="13"/>
      <c r="H657" s="13"/>
      <c r="I657" s="13"/>
      <c r="J657" s="13"/>
      <c r="K657" s="185"/>
      <c r="L657" s="186"/>
      <c r="M657" s="13"/>
      <c r="N657" s="13"/>
      <c r="O657" s="185"/>
      <c r="P657" s="13"/>
      <c r="Q657" s="13"/>
      <c r="R657" s="177"/>
      <c r="S657" s="35"/>
      <c r="T657" s="35"/>
      <c r="U657" s="13"/>
      <c r="V657" s="13"/>
      <c r="W657" s="13"/>
      <c r="X657" s="13"/>
      <c r="Y657" s="13"/>
      <c r="Z657" s="13"/>
      <c r="AA657" s="13"/>
      <c r="AB657" s="13"/>
      <c r="AC657" s="13"/>
    </row>
    <row r="658" ht="16.5" customHeight="1">
      <c r="A658" s="13"/>
      <c r="B658" s="13"/>
      <c r="C658" s="13"/>
      <c r="D658" s="13"/>
      <c r="E658" s="13"/>
      <c r="F658" s="13"/>
      <c r="G658" s="13"/>
      <c r="H658" s="13"/>
      <c r="I658" s="13"/>
      <c r="J658" s="13"/>
      <c r="K658" s="185"/>
      <c r="L658" s="186"/>
      <c r="M658" s="13"/>
      <c r="N658" s="13"/>
      <c r="O658" s="185"/>
      <c r="P658" s="13"/>
      <c r="Q658" s="13"/>
      <c r="R658" s="177"/>
      <c r="S658" s="35"/>
      <c r="T658" s="35"/>
      <c r="U658" s="13"/>
      <c r="V658" s="13"/>
      <c r="W658" s="13"/>
      <c r="X658" s="13"/>
      <c r="Y658" s="13"/>
      <c r="Z658" s="13"/>
      <c r="AA658" s="13"/>
      <c r="AB658" s="13"/>
      <c r="AC658" s="13"/>
    </row>
    <row r="659" ht="16.5" customHeight="1">
      <c r="A659" s="13"/>
      <c r="B659" s="13"/>
      <c r="C659" s="13"/>
      <c r="D659" s="13"/>
      <c r="E659" s="13"/>
      <c r="F659" s="13"/>
      <c r="G659" s="13"/>
      <c r="H659" s="13"/>
      <c r="I659" s="13"/>
      <c r="J659" s="13"/>
      <c r="K659" s="185"/>
      <c r="L659" s="186"/>
      <c r="M659" s="13"/>
      <c r="N659" s="13"/>
      <c r="O659" s="185"/>
      <c r="P659" s="13"/>
      <c r="Q659" s="13"/>
      <c r="R659" s="177"/>
      <c r="S659" s="35"/>
      <c r="T659" s="35"/>
      <c r="U659" s="13"/>
      <c r="V659" s="13"/>
      <c r="W659" s="13"/>
      <c r="X659" s="13"/>
      <c r="Y659" s="13"/>
      <c r="Z659" s="13"/>
      <c r="AA659" s="13"/>
      <c r="AB659" s="13"/>
      <c r="AC659" s="13"/>
    </row>
    <row r="660" ht="16.5" customHeight="1">
      <c r="A660" s="13"/>
      <c r="B660" s="13"/>
      <c r="C660" s="13"/>
      <c r="D660" s="13"/>
      <c r="E660" s="13"/>
      <c r="F660" s="13"/>
      <c r="G660" s="13"/>
      <c r="H660" s="13"/>
      <c r="I660" s="13"/>
      <c r="J660" s="13"/>
      <c r="K660" s="185"/>
      <c r="L660" s="186"/>
      <c r="M660" s="13"/>
      <c r="N660" s="13"/>
      <c r="O660" s="185"/>
      <c r="P660" s="13"/>
      <c r="Q660" s="13"/>
      <c r="R660" s="177"/>
      <c r="S660" s="35"/>
      <c r="T660" s="35"/>
      <c r="U660" s="13"/>
      <c r="V660" s="13"/>
      <c r="W660" s="13"/>
      <c r="X660" s="13"/>
      <c r="Y660" s="13"/>
      <c r="Z660" s="13"/>
      <c r="AA660" s="13"/>
      <c r="AB660" s="13"/>
      <c r="AC660" s="13"/>
    </row>
    <row r="661" ht="16.5" customHeight="1">
      <c r="A661" s="13"/>
      <c r="B661" s="13"/>
      <c r="C661" s="13"/>
      <c r="D661" s="13"/>
      <c r="E661" s="13"/>
      <c r="F661" s="13"/>
      <c r="G661" s="13"/>
      <c r="H661" s="13"/>
      <c r="I661" s="13"/>
      <c r="J661" s="13"/>
      <c r="K661" s="185"/>
      <c r="L661" s="186"/>
      <c r="M661" s="13"/>
      <c r="N661" s="13"/>
      <c r="O661" s="185"/>
      <c r="P661" s="13"/>
      <c r="Q661" s="13"/>
      <c r="R661" s="177"/>
      <c r="S661" s="35"/>
      <c r="T661" s="35"/>
      <c r="U661" s="13"/>
      <c r="V661" s="13"/>
      <c r="W661" s="13"/>
      <c r="X661" s="13"/>
      <c r="Y661" s="13"/>
      <c r="Z661" s="13"/>
      <c r="AA661" s="13"/>
      <c r="AB661" s="13"/>
      <c r="AC661" s="13"/>
    </row>
    <row r="662" ht="16.5" customHeight="1">
      <c r="A662" s="13"/>
      <c r="B662" s="13"/>
      <c r="C662" s="13"/>
      <c r="D662" s="13"/>
      <c r="E662" s="13"/>
      <c r="F662" s="13"/>
      <c r="G662" s="13"/>
      <c r="H662" s="13"/>
      <c r="I662" s="13"/>
      <c r="J662" s="13"/>
      <c r="K662" s="185"/>
      <c r="L662" s="186"/>
      <c r="M662" s="13"/>
      <c r="N662" s="13"/>
      <c r="O662" s="185"/>
      <c r="P662" s="13"/>
      <c r="Q662" s="13"/>
      <c r="R662" s="177"/>
      <c r="S662" s="35"/>
      <c r="T662" s="35"/>
      <c r="U662" s="13"/>
      <c r="V662" s="13"/>
      <c r="W662" s="13"/>
      <c r="X662" s="13"/>
      <c r="Y662" s="13"/>
      <c r="Z662" s="13"/>
      <c r="AA662" s="13"/>
      <c r="AB662" s="13"/>
      <c r="AC662" s="13"/>
    </row>
    <row r="663" ht="16.5" customHeight="1">
      <c r="A663" s="13"/>
      <c r="B663" s="13"/>
      <c r="C663" s="13"/>
      <c r="D663" s="13"/>
      <c r="E663" s="13"/>
      <c r="F663" s="13"/>
      <c r="G663" s="13"/>
      <c r="H663" s="13"/>
      <c r="I663" s="13"/>
      <c r="J663" s="13"/>
      <c r="K663" s="185"/>
      <c r="L663" s="186"/>
      <c r="M663" s="13"/>
      <c r="N663" s="13"/>
      <c r="O663" s="185"/>
      <c r="P663" s="13"/>
      <c r="Q663" s="13"/>
      <c r="R663" s="177"/>
      <c r="S663" s="35"/>
      <c r="T663" s="35"/>
      <c r="U663" s="13"/>
      <c r="V663" s="13"/>
      <c r="W663" s="13"/>
      <c r="X663" s="13"/>
      <c r="Y663" s="13"/>
      <c r="Z663" s="13"/>
      <c r="AA663" s="13"/>
      <c r="AB663" s="13"/>
      <c r="AC663" s="13"/>
    </row>
    <row r="664" ht="16.5" customHeight="1">
      <c r="A664" s="13"/>
      <c r="B664" s="13"/>
      <c r="C664" s="13"/>
      <c r="D664" s="13"/>
      <c r="E664" s="13"/>
      <c r="F664" s="13"/>
      <c r="G664" s="13"/>
      <c r="H664" s="13"/>
      <c r="I664" s="13"/>
      <c r="J664" s="13"/>
      <c r="K664" s="185"/>
      <c r="L664" s="186"/>
      <c r="M664" s="13"/>
      <c r="N664" s="13"/>
      <c r="O664" s="185"/>
      <c r="P664" s="13"/>
      <c r="Q664" s="13"/>
      <c r="R664" s="177"/>
      <c r="S664" s="35"/>
      <c r="T664" s="35"/>
      <c r="U664" s="13"/>
      <c r="V664" s="13"/>
      <c r="W664" s="13"/>
      <c r="X664" s="13"/>
      <c r="Y664" s="13"/>
      <c r="Z664" s="13"/>
      <c r="AA664" s="13"/>
      <c r="AB664" s="13"/>
      <c r="AC664" s="13"/>
    </row>
    <row r="665" ht="16.5" customHeight="1">
      <c r="A665" s="13"/>
      <c r="B665" s="13"/>
      <c r="C665" s="13"/>
      <c r="D665" s="13"/>
      <c r="E665" s="13"/>
      <c r="F665" s="13"/>
      <c r="G665" s="13"/>
      <c r="H665" s="13"/>
      <c r="I665" s="13"/>
      <c r="J665" s="13"/>
      <c r="K665" s="185"/>
      <c r="L665" s="186"/>
      <c r="M665" s="13"/>
      <c r="N665" s="13"/>
      <c r="O665" s="185"/>
      <c r="P665" s="13"/>
      <c r="Q665" s="13"/>
      <c r="R665" s="177"/>
      <c r="S665" s="35"/>
      <c r="T665" s="35"/>
      <c r="U665" s="13"/>
      <c r="V665" s="13"/>
      <c r="W665" s="13"/>
      <c r="X665" s="13"/>
      <c r="Y665" s="13"/>
      <c r="Z665" s="13"/>
      <c r="AA665" s="13"/>
      <c r="AB665" s="13"/>
      <c r="AC665" s="13"/>
    </row>
    <row r="666" ht="16.5" customHeight="1">
      <c r="A666" s="13"/>
      <c r="B666" s="13"/>
      <c r="C666" s="13"/>
      <c r="D666" s="13"/>
      <c r="E666" s="13"/>
      <c r="F666" s="13"/>
      <c r="G666" s="13"/>
      <c r="H666" s="13"/>
      <c r="I666" s="13"/>
      <c r="J666" s="13"/>
      <c r="K666" s="185"/>
      <c r="L666" s="186"/>
      <c r="M666" s="13"/>
      <c r="N666" s="13"/>
      <c r="O666" s="185"/>
      <c r="P666" s="13"/>
      <c r="Q666" s="13"/>
      <c r="R666" s="177"/>
      <c r="S666" s="35"/>
      <c r="T666" s="35"/>
      <c r="U666" s="13"/>
      <c r="V666" s="13"/>
      <c r="W666" s="13"/>
      <c r="X666" s="13"/>
      <c r="Y666" s="13"/>
      <c r="Z666" s="13"/>
      <c r="AA666" s="13"/>
      <c r="AB666" s="13"/>
      <c r="AC666" s="13"/>
    </row>
    <row r="667" ht="16.5" customHeight="1">
      <c r="A667" s="13"/>
      <c r="B667" s="13"/>
      <c r="C667" s="13"/>
      <c r="D667" s="13"/>
      <c r="E667" s="13"/>
      <c r="F667" s="13"/>
      <c r="G667" s="13"/>
      <c r="H667" s="13"/>
      <c r="I667" s="13"/>
      <c r="J667" s="13"/>
      <c r="K667" s="185"/>
      <c r="L667" s="186"/>
      <c r="M667" s="13"/>
      <c r="N667" s="13"/>
      <c r="O667" s="185"/>
      <c r="P667" s="13"/>
      <c r="Q667" s="13"/>
      <c r="R667" s="177"/>
      <c r="S667" s="35"/>
      <c r="T667" s="35"/>
      <c r="U667" s="13"/>
      <c r="V667" s="13"/>
      <c r="W667" s="13"/>
      <c r="X667" s="13"/>
      <c r="Y667" s="13"/>
      <c r="Z667" s="13"/>
      <c r="AA667" s="13"/>
      <c r="AB667" s="13"/>
      <c r="AC667" s="13"/>
    </row>
    <row r="668" ht="16.5" customHeight="1">
      <c r="A668" s="13"/>
      <c r="B668" s="13"/>
      <c r="C668" s="13"/>
      <c r="D668" s="13"/>
      <c r="E668" s="13"/>
      <c r="F668" s="13"/>
      <c r="G668" s="13"/>
      <c r="H668" s="13"/>
      <c r="I668" s="13"/>
      <c r="J668" s="13"/>
      <c r="K668" s="185"/>
      <c r="L668" s="186"/>
      <c r="M668" s="13"/>
      <c r="N668" s="13"/>
      <c r="O668" s="185"/>
      <c r="P668" s="13"/>
      <c r="Q668" s="13"/>
      <c r="R668" s="177"/>
      <c r="S668" s="35"/>
      <c r="T668" s="35"/>
      <c r="U668" s="13"/>
      <c r="V668" s="13"/>
      <c r="W668" s="13"/>
      <c r="X668" s="13"/>
      <c r="Y668" s="13"/>
      <c r="Z668" s="13"/>
      <c r="AA668" s="13"/>
      <c r="AB668" s="13"/>
      <c r="AC668" s="13"/>
    </row>
    <row r="669" ht="16.5" customHeight="1">
      <c r="A669" s="13"/>
      <c r="B669" s="13"/>
      <c r="C669" s="13"/>
      <c r="D669" s="13"/>
      <c r="E669" s="13"/>
      <c r="F669" s="13"/>
      <c r="G669" s="13"/>
      <c r="H669" s="13"/>
      <c r="I669" s="13"/>
      <c r="J669" s="13"/>
      <c r="K669" s="185"/>
      <c r="L669" s="186"/>
      <c r="M669" s="13"/>
      <c r="N669" s="13"/>
      <c r="O669" s="185"/>
      <c r="P669" s="13"/>
      <c r="Q669" s="13"/>
      <c r="R669" s="177"/>
      <c r="S669" s="35"/>
      <c r="T669" s="35"/>
      <c r="U669" s="13"/>
      <c r="V669" s="13"/>
      <c r="W669" s="13"/>
      <c r="X669" s="13"/>
      <c r="Y669" s="13"/>
      <c r="Z669" s="13"/>
      <c r="AA669" s="13"/>
      <c r="AB669" s="13"/>
      <c r="AC669" s="13"/>
    </row>
    <row r="670" ht="16.5" customHeight="1">
      <c r="A670" s="13"/>
      <c r="B670" s="13"/>
      <c r="C670" s="13"/>
      <c r="D670" s="13"/>
      <c r="E670" s="13"/>
      <c r="F670" s="13"/>
      <c r="G670" s="13"/>
      <c r="H670" s="13"/>
      <c r="I670" s="13"/>
      <c r="J670" s="13"/>
      <c r="K670" s="185"/>
      <c r="L670" s="186"/>
      <c r="M670" s="13"/>
      <c r="N670" s="13"/>
      <c r="O670" s="185"/>
      <c r="P670" s="13"/>
      <c r="Q670" s="13"/>
      <c r="R670" s="177"/>
      <c r="S670" s="35"/>
      <c r="T670" s="35"/>
      <c r="U670" s="13"/>
      <c r="V670" s="13"/>
      <c r="W670" s="13"/>
      <c r="X670" s="13"/>
      <c r="Y670" s="13"/>
      <c r="Z670" s="13"/>
      <c r="AA670" s="13"/>
      <c r="AB670" s="13"/>
      <c r="AC670" s="13"/>
    </row>
    <row r="671" ht="16.5" customHeight="1">
      <c r="A671" s="13"/>
      <c r="B671" s="13"/>
      <c r="C671" s="13"/>
      <c r="D671" s="13"/>
      <c r="E671" s="13"/>
      <c r="F671" s="13"/>
      <c r="G671" s="13"/>
      <c r="H671" s="13"/>
      <c r="I671" s="13"/>
      <c r="J671" s="13"/>
      <c r="K671" s="185"/>
      <c r="L671" s="186"/>
      <c r="M671" s="13"/>
      <c r="N671" s="13"/>
      <c r="O671" s="185"/>
      <c r="P671" s="13"/>
      <c r="Q671" s="13"/>
      <c r="R671" s="177"/>
      <c r="S671" s="35"/>
      <c r="T671" s="35"/>
      <c r="U671" s="13"/>
      <c r="V671" s="13"/>
      <c r="W671" s="13"/>
      <c r="X671" s="13"/>
      <c r="Y671" s="13"/>
      <c r="Z671" s="13"/>
      <c r="AA671" s="13"/>
      <c r="AB671" s="13"/>
      <c r="AC671" s="13"/>
    </row>
    <row r="672" ht="16.5" customHeight="1">
      <c r="A672" s="13"/>
      <c r="B672" s="13"/>
      <c r="C672" s="13"/>
      <c r="D672" s="13"/>
      <c r="E672" s="13"/>
      <c r="F672" s="13"/>
      <c r="G672" s="13"/>
      <c r="H672" s="13"/>
      <c r="I672" s="13"/>
      <c r="J672" s="13"/>
      <c r="K672" s="185"/>
      <c r="L672" s="186"/>
      <c r="M672" s="13"/>
      <c r="N672" s="13"/>
      <c r="O672" s="185"/>
      <c r="P672" s="13"/>
      <c r="Q672" s="13"/>
      <c r="R672" s="177"/>
      <c r="S672" s="35"/>
      <c r="T672" s="35"/>
      <c r="U672" s="13"/>
      <c r="V672" s="13"/>
      <c r="W672" s="13"/>
      <c r="X672" s="13"/>
      <c r="Y672" s="13"/>
      <c r="Z672" s="13"/>
      <c r="AA672" s="13"/>
      <c r="AB672" s="13"/>
      <c r="AC672" s="13"/>
    </row>
    <row r="673" ht="16.5" customHeight="1">
      <c r="A673" s="13"/>
      <c r="B673" s="13"/>
      <c r="C673" s="13"/>
      <c r="D673" s="13"/>
      <c r="E673" s="13"/>
      <c r="F673" s="13"/>
      <c r="G673" s="13"/>
      <c r="H673" s="13"/>
      <c r="I673" s="13"/>
      <c r="J673" s="13"/>
      <c r="K673" s="185"/>
      <c r="L673" s="186"/>
      <c r="M673" s="13"/>
      <c r="N673" s="13"/>
      <c r="O673" s="185"/>
      <c r="P673" s="13"/>
      <c r="Q673" s="13"/>
      <c r="R673" s="177"/>
      <c r="S673" s="35"/>
      <c r="T673" s="35"/>
      <c r="U673" s="13"/>
      <c r="V673" s="13"/>
      <c r="W673" s="13"/>
      <c r="X673" s="13"/>
      <c r="Y673" s="13"/>
      <c r="Z673" s="13"/>
      <c r="AA673" s="13"/>
      <c r="AB673" s="13"/>
      <c r="AC673" s="13"/>
    </row>
    <row r="674" ht="16.5" customHeight="1">
      <c r="A674" s="13"/>
      <c r="B674" s="13"/>
      <c r="C674" s="13"/>
      <c r="D674" s="13"/>
      <c r="E674" s="13"/>
      <c r="F674" s="13"/>
      <c r="G674" s="13"/>
      <c r="H674" s="13"/>
      <c r="I674" s="13"/>
      <c r="J674" s="13"/>
      <c r="K674" s="185"/>
      <c r="L674" s="186"/>
      <c r="M674" s="13"/>
      <c r="N674" s="13"/>
      <c r="O674" s="185"/>
      <c r="P674" s="13"/>
      <c r="Q674" s="13"/>
      <c r="R674" s="177"/>
      <c r="S674" s="35"/>
      <c r="T674" s="35"/>
      <c r="U674" s="13"/>
      <c r="V674" s="13"/>
      <c r="W674" s="13"/>
      <c r="X674" s="13"/>
      <c r="Y674" s="13"/>
      <c r="Z674" s="13"/>
      <c r="AA674" s="13"/>
      <c r="AB674" s="13"/>
      <c r="AC674" s="13"/>
    </row>
    <row r="675" ht="16.5" customHeight="1">
      <c r="A675" s="13"/>
      <c r="B675" s="13"/>
      <c r="C675" s="13"/>
      <c r="D675" s="13"/>
      <c r="E675" s="13"/>
      <c r="F675" s="13"/>
      <c r="G675" s="13"/>
      <c r="H675" s="13"/>
      <c r="I675" s="13"/>
      <c r="J675" s="13"/>
      <c r="K675" s="185"/>
      <c r="L675" s="186"/>
      <c r="M675" s="13"/>
      <c r="N675" s="13"/>
      <c r="O675" s="185"/>
      <c r="P675" s="13"/>
      <c r="Q675" s="13"/>
      <c r="R675" s="177"/>
      <c r="S675" s="35"/>
      <c r="T675" s="35"/>
      <c r="U675" s="13"/>
      <c r="V675" s="13"/>
      <c r="W675" s="13"/>
      <c r="X675" s="13"/>
      <c r="Y675" s="13"/>
      <c r="Z675" s="13"/>
      <c r="AA675" s="13"/>
      <c r="AB675" s="13"/>
      <c r="AC675" s="13"/>
    </row>
    <row r="676" ht="16.5" customHeight="1">
      <c r="A676" s="13"/>
      <c r="B676" s="13"/>
      <c r="C676" s="13"/>
      <c r="D676" s="13"/>
      <c r="E676" s="13"/>
      <c r="F676" s="13"/>
      <c r="G676" s="13"/>
      <c r="H676" s="13"/>
      <c r="I676" s="13"/>
      <c r="J676" s="13"/>
      <c r="K676" s="185"/>
      <c r="L676" s="186"/>
      <c r="M676" s="13"/>
      <c r="N676" s="13"/>
      <c r="O676" s="185"/>
      <c r="P676" s="13"/>
      <c r="Q676" s="13"/>
      <c r="R676" s="177"/>
      <c r="S676" s="35"/>
      <c r="T676" s="35"/>
      <c r="U676" s="13"/>
      <c r="V676" s="13"/>
      <c r="W676" s="13"/>
      <c r="X676" s="13"/>
      <c r="Y676" s="13"/>
      <c r="Z676" s="13"/>
      <c r="AA676" s="13"/>
      <c r="AB676" s="13"/>
      <c r="AC676" s="13"/>
    </row>
    <row r="677" ht="16.5" customHeight="1">
      <c r="A677" s="13"/>
      <c r="B677" s="13"/>
      <c r="C677" s="13"/>
      <c r="D677" s="13"/>
      <c r="E677" s="13"/>
      <c r="F677" s="13"/>
      <c r="G677" s="13"/>
      <c r="H677" s="13"/>
      <c r="I677" s="13"/>
      <c r="J677" s="13"/>
      <c r="K677" s="185"/>
      <c r="L677" s="186"/>
      <c r="M677" s="13"/>
      <c r="N677" s="13"/>
      <c r="O677" s="185"/>
      <c r="P677" s="13"/>
      <c r="Q677" s="13"/>
      <c r="R677" s="177"/>
      <c r="S677" s="35"/>
      <c r="T677" s="35"/>
      <c r="U677" s="13"/>
      <c r="V677" s="13"/>
      <c r="W677" s="13"/>
      <c r="X677" s="13"/>
      <c r="Y677" s="13"/>
      <c r="Z677" s="13"/>
      <c r="AA677" s="13"/>
      <c r="AB677" s="13"/>
      <c r="AC677" s="13"/>
    </row>
    <row r="678" ht="16.5" customHeight="1">
      <c r="A678" s="13"/>
      <c r="B678" s="13"/>
      <c r="C678" s="13"/>
      <c r="D678" s="13"/>
      <c r="E678" s="13"/>
      <c r="F678" s="13"/>
      <c r="G678" s="13"/>
      <c r="H678" s="13"/>
      <c r="I678" s="13"/>
      <c r="J678" s="13"/>
      <c r="K678" s="185"/>
      <c r="L678" s="186"/>
      <c r="M678" s="13"/>
      <c r="N678" s="13"/>
      <c r="O678" s="185"/>
      <c r="P678" s="13"/>
      <c r="Q678" s="13"/>
      <c r="R678" s="177"/>
      <c r="S678" s="35"/>
      <c r="T678" s="35"/>
      <c r="U678" s="13"/>
      <c r="V678" s="13"/>
      <c r="W678" s="13"/>
      <c r="X678" s="13"/>
      <c r="Y678" s="13"/>
      <c r="Z678" s="13"/>
      <c r="AA678" s="13"/>
      <c r="AB678" s="13"/>
      <c r="AC678" s="13"/>
    </row>
    <row r="679" ht="16.5" customHeight="1">
      <c r="A679" s="13"/>
      <c r="B679" s="13"/>
      <c r="C679" s="13"/>
      <c r="D679" s="13"/>
      <c r="E679" s="13"/>
      <c r="F679" s="13"/>
      <c r="G679" s="13"/>
      <c r="H679" s="13"/>
      <c r="I679" s="13"/>
      <c r="J679" s="13"/>
      <c r="K679" s="185"/>
      <c r="L679" s="186"/>
      <c r="M679" s="13"/>
      <c r="N679" s="13"/>
      <c r="O679" s="185"/>
      <c r="P679" s="13"/>
      <c r="Q679" s="13"/>
      <c r="R679" s="177"/>
      <c r="S679" s="35"/>
      <c r="T679" s="35"/>
      <c r="U679" s="13"/>
      <c r="V679" s="13"/>
      <c r="W679" s="13"/>
      <c r="X679" s="13"/>
      <c r="Y679" s="13"/>
      <c r="Z679" s="13"/>
      <c r="AA679" s="13"/>
      <c r="AB679" s="13"/>
      <c r="AC679" s="13"/>
    </row>
    <row r="680" ht="16.5" customHeight="1">
      <c r="A680" s="13"/>
      <c r="B680" s="13"/>
      <c r="C680" s="13"/>
      <c r="D680" s="13"/>
      <c r="E680" s="13"/>
      <c r="F680" s="13"/>
      <c r="G680" s="13"/>
      <c r="H680" s="13"/>
      <c r="I680" s="13"/>
      <c r="J680" s="13"/>
      <c r="K680" s="185"/>
      <c r="L680" s="186"/>
      <c r="M680" s="13"/>
      <c r="N680" s="13"/>
      <c r="O680" s="185"/>
      <c r="P680" s="13"/>
      <c r="Q680" s="13"/>
      <c r="R680" s="177"/>
      <c r="S680" s="35"/>
      <c r="T680" s="35"/>
      <c r="U680" s="13"/>
      <c r="V680" s="13"/>
      <c r="W680" s="13"/>
      <c r="X680" s="13"/>
      <c r="Y680" s="13"/>
      <c r="Z680" s="13"/>
      <c r="AA680" s="13"/>
      <c r="AB680" s="13"/>
      <c r="AC680" s="13"/>
    </row>
    <row r="681" ht="16.5" customHeight="1">
      <c r="A681" s="13"/>
      <c r="B681" s="13"/>
      <c r="C681" s="13"/>
      <c r="D681" s="13"/>
      <c r="E681" s="13"/>
      <c r="F681" s="13"/>
      <c r="G681" s="13"/>
      <c r="H681" s="13"/>
      <c r="I681" s="13"/>
      <c r="J681" s="13"/>
      <c r="K681" s="185"/>
      <c r="L681" s="186"/>
      <c r="M681" s="13"/>
      <c r="N681" s="13"/>
      <c r="O681" s="185"/>
      <c r="P681" s="13"/>
      <c r="Q681" s="13"/>
      <c r="R681" s="177"/>
      <c r="S681" s="35"/>
      <c r="T681" s="35"/>
      <c r="U681" s="13"/>
      <c r="V681" s="13"/>
      <c r="W681" s="13"/>
      <c r="X681" s="13"/>
      <c r="Y681" s="13"/>
      <c r="Z681" s="13"/>
      <c r="AA681" s="13"/>
      <c r="AB681" s="13"/>
      <c r="AC681" s="13"/>
    </row>
    <row r="682" ht="16.5" customHeight="1">
      <c r="A682" s="13"/>
      <c r="B682" s="13"/>
      <c r="C682" s="13"/>
      <c r="D682" s="13"/>
      <c r="E682" s="13"/>
      <c r="F682" s="13"/>
      <c r="G682" s="13"/>
      <c r="H682" s="13"/>
      <c r="I682" s="13"/>
      <c r="J682" s="13"/>
      <c r="K682" s="185"/>
      <c r="L682" s="186"/>
      <c r="M682" s="13"/>
      <c r="N682" s="13"/>
      <c r="O682" s="185"/>
      <c r="P682" s="13"/>
      <c r="Q682" s="13"/>
      <c r="R682" s="177"/>
      <c r="S682" s="35"/>
      <c r="T682" s="35"/>
      <c r="U682" s="13"/>
      <c r="V682" s="13"/>
      <c r="W682" s="13"/>
      <c r="X682" s="13"/>
      <c r="Y682" s="13"/>
      <c r="Z682" s="13"/>
      <c r="AA682" s="13"/>
      <c r="AB682" s="13"/>
      <c r="AC682" s="13"/>
    </row>
    <row r="683" ht="16.5" customHeight="1">
      <c r="A683" s="13"/>
      <c r="B683" s="13"/>
      <c r="C683" s="13"/>
      <c r="D683" s="13"/>
      <c r="E683" s="13"/>
      <c r="F683" s="13"/>
      <c r="G683" s="13"/>
      <c r="H683" s="13"/>
      <c r="I683" s="13"/>
      <c r="J683" s="13"/>
      <c r="K683" s="185"/>
      <c r="L683" s="186"/>
      <c r="M683" s="13"/>
      <c r="N683" s="13"/>
      <c r="O683" s="185"/>
      <c r="P683" s="13"/>
      <c r="Q683" s="13"/>
      <c r="R683" s="177"/>
      <c r="S683" s="35"/>
      <c r="T683" s="35"/>
      <c r="U683" s="13"/>
      <c r="V683" s="13"/>
      <c r="W683" s="13"/>
      <c r="X683" s="13"/>
      <c r="Y683" s="13"/>
      <c r="Z683" s="13"/>
      <c r="AA683" s="13"/>
      <c r="AB683" s="13"/>
      <c r="AC683" s="13"/>
    </row>
    <row r="684" ht="16.5" customHeight="1">
      <c r="A684" s="13"/>
      <c r="B684" s="13"/>
      <c r="C684" s="13"/>
      <c r="D684" s="13"/>
      <c r="E684" s="13"/>
      <c r="F684" s="13"/>
      <c r="G684" s="13"/>
      <c r="H684" s="13"/>
      <c r="I684" s="13"/>
      <c r="J684" s="13"/>
      <c r="K684" s="185"/>
      <c r="L684" s="186"/>
      <c r="M684" s="13"/>
      <c r="N684" s="13"/>
      <c r="O684" s="185"/>
      <c r="P684" s="13"/>
      <c r="Q684" s="13"/>
      <c r="R684" s="177"/>
      <c r="S684" s="35"/>
      <c r="T684" s="35"/>
      <c r="U684" s="13"/>
      <c r="V684" s="13"/>
      <c r="W684" s="13"/>
      <c r="X684" s="13"/>
      <c r="Y684" s="13"/>
      <c r="Z684" s="13"/>
      <c r="AA684" s="13"/>
      <c r="AB684" s="13"/>
      <c r="AC684" s="13"/>
    </row>
    <row r="685" ht="16.5" customHeight="1">
      <c r="A685" s="13"/>
      <c r="B685" s="13"/>
      <c r="C685" s="13"/>
      <c r="D685" s="13"/>
      <c r="E685" s="13"/>
      <c r="F685" s="13"/>
      <c r="G685" s="13"/>
      <c r="H685" s="13"/>
      <c r="I685" s="13"/>
      <c r="J685" s="13"/>
      <c r="K685" s="185"/>
      <c r="L685" s="186"/>
      <c r="M685" s="13"/>
      <c r="N685" s="13"/>
      <c r="O685" s="185"/>
      <c r="P685" s="13"/>
      <c r="Q685" s="13"/>
      <c r="R685" s="177"/>
      <c r="S685" s="35"/>
      <c r="T685" s="35"/>
      <c r="U685" s="13"/>
      <c r="V685" s="13"/>
      <c r="W685" s="13"/>
      <c r="X685" s="13"/>
      <c r="Y685" s="13"/>
      <c r="Z685" s="13"/>
      <c r="AA685" s="13"/>
      <c r="AB685" s="13"/>
      <c r="AC685" s="13"/>
    </row>
    <row r="686" ht="16.5" customHeight="1">
      <c r="A686" s="13"/>
      <c r="B686" s="13"/>
      <c r="C686" s="13"/>
      <c r="D686" s="13"/>
      <c r="E686" s="13"/>
      <c r="F686" s="13"/>
      <c r="G686" s="13"/>
      <c r="H686" s="13"/>
      <c r="I686" s="13"/>
      <c r="J686" s="13"/>
      <c r="K686" s="185"/>
      <c r="L686" s="186"/>
      <c r="M686" s="13"/>
      <c r="N686" s="13"/>
      <c r="O686" s="185"/>
      <c r="P686" s="13"/>
      <c r="Q686" s="13"/>
      <c r="R686" s="177"/>
      <c r="S686" s="35"/>
      <c r="T686" s="35"/>
      <c r="U686" s="13"/>
      <c r="V686" s="13"/>
      <c r="W686" s="13"/>
      <c r="X686" s="13"/>
      <c r="Y686" s="13"/>
      <c r="Z686" s="13"/>
      <c r="AA686" s="13"/>
      <c r="AB686" s="13"/>
      <c r="AC686" s="13"/>
    </row>
    <row r="687" ht="16.5" customHeight="1">
      <c r="A687" s="13"/>
      <c r="B687" s="13"/>
      <c r="C687" s="13"/>
      <c r="D687" s="13"/>
      <c r="E687" s="13"/>
      <c r="F687" s="13"/>
      <c r="G687" s="13"/>
      <c r="H687" s="13"/>
      <c r="I687" s="13"/>
      <c r="J687" s="13"/>
      <c r="K687" s="185"/>
      <c r="L687" s="186"/>
      <c r="M687" s="13"/>
      <c r="N687" s="13"/>
      <c r="O687" s="185"/>
      <c r="P687" s="13"/>
      <c r="Q687" s="13"/>
      <c r="R687" s="177"/>
      <c r="S687" s="35"/>
      <c r="T687" s="35"/>
      <c r="U687" s="13"/>
      <c r="V687" s="13"/>
      <c r="W687" s="13"/>
      <c r="X687" s="13"/>
      <c r="Y687" s="13"/>
      <c r="Z687" s="13"/>
      <c r="AA687" s="13"/>
      <c r="AB687" s="13"/>
      <c r="AC687" s="13"/>
    </row>
    <row r="688" ht="16.5" customHeight="1">
      <c r="A688" s="13"/>
      <c r="B688" s="13"/>
      <c r="C688" s="13"/>
      <c r="D688" s="13"/>
      <c r="E688" s="13"/>
      <c r="F688" s="13"/>
      <c r="G688" s="13"/>
      <c r="H688" s="13"/>
      <c r="I688" s="13"/>
      <c r="J688" s="13"/>
      <c r="K688" s="185"/>
      <c r="L688" s="186"/>
      <c r="M688" s="13"/>
      <c r="N688" s="13"/>
      <c r="O688" s="185"/>
      <c r="P688" s="13"/>
      <c r="Q688" s="13"/>
      <c r="R688" s="177"/>
      <c r="S688" s="35"/>
      <c r="T688" s="35"/>
      <c r="U688" s="13"/>
      <c r="V688" s="13"/>
      <c r="W688" s="13"/>
      <c r="X688" s="13"/>
      <c r="Y688" s="13"/>
      <c r="Z688" s="13"/>
      <c r="AA688" s="13"/>
      <c r="AB688" s="13"/>
      <c r="AC688" s="13"/>
    </row>
    <row r="689" ht="16.5" customHeight="1">
      <c r="A689" s="13"/>
      <c r="B689" s="13"/>
      <c r="C689" s="13"/>
      <c r="D689" s="13"/>
      <c r="E689" s="13"/>
      <c r="F689" s="13"/>
      <c r="G689" s="13"/>
      <c r="H689" s="13"/>
      <c r="I689" s="13"/>
      <c r="J689" s="13"/>
      <c r="K689" s="185"/>
      <c r="L689" s="186"/>
      <c r="M689" s="13"/>
      <c r="N689" s="13"/>
      <c r="O689" s="185"/>
      <c r="P689" s="13"/>
      <c r="Q689" s="13"/>
      <c r="R689" s="177"/>
      <c r="S689" s="35"/>
      <c r="T689" s="35"/>
      <c r="U689" s="13"/>
      <c r="V689" s="13"/>
      <c r="W689" s="13"/>
      <c r="X689" s="13"/>
      <c r="Y689" s="13"/>
      <c r="Z689" s="13"/>
      <c r="AA689" s="13"/>
      <c r="AB689" s="13"/>
      <c r="AC689" s="13"/>
    </row>
    <row r="690" ht="16.5" customHeight="1">
      <c r="A690" s="13"/>
      <c r="B690" s="13"/>
      <c r="C690" s="13"/>
      <c r="D690" s="13"/>
      <c r="E690" s="13"/>
      <c r="F690" s="13"/>
      <c r="G690" s="13"/>
      <c r="H690" s="13"/>
      <c r="I690" s="13"/>
      <c r="J690" s="13"/>
      <c r="K690" s="185"/>
      <c r="L690" s="186"/>
      <c r="M690" s="13"/>
      <c r="N690" s="13"/>
      <c r="O690" s="185"/>
      <c r="P690" s="13"/>
      <c r="Q690" s="13"/>
      <c r="R690" s="177"/>
      <c r="S690" s="35"/>
      <c r="T690" s="35"/>
      <c r="U690" s="13"/>
      <c r="V690" s="13"/>
      <c r="W690" s="13"/>
      <c r="X690" s="13"/>
      <c r="Y690" s="13"/>
      <c r="Z690" s="13"/>
      <c r="AA690" s="13"/>
      <c r="AB690" s="13"/>
      <c r="AC690" s="13"/>
    </row>
    <row r="691" ht="16.5" customHeight="1">
      <c r="A691" s="13"/>
      <c r="B691" s="13"/>
      <c r="C691" s="13"/>
      <c r="D691" s="13"/>
      <c r="E691" s="13"/>
      <c r="F691" s="13"/>
      <c r="G691" s="13"/>
      <c r="H691" s="13"/>
      <c r="I691" s="13"/>
      <c r="J691" s="13"/>
      <c r="K691" s="185"/>
      <c r="L691" s="186"/>
      <c r="M691" s="13"/>
      <c r="N691" s="13"/>
      <c r="O691" s="185"/>
      <c r="P691" s="13"/>
      <c r="Q691" s="13"/>
      <c r="R691" s="177"/>
      <c r="S691" s="35"/>
      <c r="T691" s="35"/>
      <c r="U691" s="13"/>
      <c r="V691" s="13"/>
      <c r="W691" s="13"/>
      <c r="X691" s="13"/>
      <c r="Y691" s="13"/>
      <c r="Z691" s="13"/>
      <c r="AA691" s="13"/>
      <c r="AB691" s="13"/>
      <c r="AC691" s="13"/>
    </row>
    <row r="692" ht="16.5" customHeight="1">
      <c r="A692" s="13"/>
      <c r="B692" s="13"/>
      <c r="C692" s="13"/>
      <c r="D692" s="13"/>
      <c r="E692" s="13"/>
      <c r="F692" s="13"/>
      <c r="G692" s="13"/>
      <c r="H692" s="13"/>
      <c r="I692" s="13"/>
      <c r="J692" s="13"/>
      <c r="K692" s="185"/>
      <c r="L692" s="186"/>
      <c r="M692" s="13"/>
      <c r="N692" s="13"/>
      <c r="O692" s="185"/>
      <c r="P692" s="13"/>
      <c r="Q692" s="13"/>
      <c r="R692" s="177"/>
      <c r="S692" s="35"/>
      <c r="T692" s="35"/>
      <c r="U692" s="13"/>
      <c r="V692" s="13"/>
      <c r="W692" s="13"/>
      <c r="X692" s="13"/>
      <c r="Y692" s="13"/>
      <c r="Z692" s="13"/>
      <c r="AA692" s="13"/>
      <c r="AB692" s="13"/>
      <c r="AC692" s="13"/>
    </row>
    <row r="693" ht="16.5" customHeight="1">
      <c r="A693" s="13"/>
      <c r="B693" s="13"/>
      <c r="C693" s="13"/>
      <c r="D693" s="13"/>
      <c r="E693" s="13"/>
      <c r="F693" s="13"/>
      <c r="G693" s="13"/>
      <c r="H693" s="13"/>
      <c r="I693" s="13"/>
      <c r="J693" s="13"/>
      <c r="K693" s="185"/>
      <c r="L693" s="186"/>
      <c r="M693" s="13"/>
      <c r="N693" s="13"/>
      <c r="O693" s="185"/>
      <c r="P693" s="13"/>
      <c r="Q693" s="13"/>
      <c r="R693" s="177"/>
      <c r="S693" s="35"/>
      <c r="T693" s="35"/>
      <c r="U693" s="13"/>
      <c r="V693" s="13"/>
      <c r="W693" s="13"/>
      <c r="X693" s="13"/>
      <c r="Y693" s="13"/>
      <c r="Z693" s="13"/>
      <c r="AA693" s="13"/>
      <c r="AB693" s="13"/>
      <c r="AC693" s="13"/>
    </row>
    <row r="694" ht="16.5" customHeight="1">
      <c r="A694" s="13"/>
      <c r="B694" s="13"/>
      <c r="C694" s="13"/>
      <c r="D694" s="13"/>
      <c r="E694" s="13"/>
      <c r="F694" s="13"/>
      <c r="G694" s="13"/>
      <c r="H694" s="13"/>
      <c r="I694" s="13"/>
      <c r="J694" s="13"/>
      <c r="K694" s="185"/>
      <c r="L694" s="186"/>
      <c r="M694" s="13"/>
      <c r="N694" s="13"/>
      <c r="O694" s="185"/>
      <c r="P694" s="13"/>
      <c r="Q694" s="13"/>
      <c r="R694" s="177"/>
      <c r="S694" s="35"/>
      <c r="T694" s="35"/>
      <c r="U694" s="13"/>
      <c r="V694" s="13"/>
      <c r="W694" s="13"/>
      <c r="X694" s="13"/>
      <c r="Y694" s="13"/>
      <c r="Z694" s="13"/>
      <c r="AA694" s="13"/>
      <c r="AB694" s="13"/>
      <c r="AC694" s="13"/>
    </row>
    <row r="695" ht="16.5" customHeight="1">
      <c r="A695" s="13"/>
      <c r="B695" s="13"/>
      <c r="C695" s="13"/>
      <c r="D695" s="13"/>
      <c r="E695" s="13"/>
      <c r="F695" s="13"/>
      <c r="G695" s="13"/>
      <c r="H695" s="13"/>
      <c r="I695" s="13"/>
      <c r="J695" s="13"/>
      <c r="K695" s="185"/>
      <c r="L695" s="186"/>
      <c r="M695" s="13"/>
      <c r="N695" s="13"/>
      <c r="O695" s="185"/>
      <c r="P695" s="13"/>
      <c r="Q695" s="13"/>
      <c r="R695" s="177"/>
      <c r="S695" s="35"/>
      <c r="T695" s="35"/>
      <c r="U695" s="13"/>
      <c r="V695" s="13"/>
      <c r="W695" s="13"/>
      <c r="X695" s="13"/>
      <c r="Y695" s="13"/>
      <c r="Z695" s="13"/>
      <c r="AA695" s="13"/>
      <c r="AB695" s="13"/>
      <c r="AC695" s="13"/>
    </row>
    <row r="696" ht="16.5" customHeight="1">
      <c r="A696" s="13"/>
      <c r="B696" s="13"/>
      <c r="C696" s="13"/>
      <c r="D696" s="13"/>
      <c r="E696" s="13"/>
      <c r="F696" s="13"/>
      <c r="G696" s="13"/>
      <c r="H696" s="13"/>
      <c r="I696" s="13"/>
      <c r="J696" s="13"/>
      <c r="K696" s="185"/>
      <c r="L696" s="186"/>
      <c r="M696" s="13"/>
      <c r="N696" s="13"/>
      <c r="O696" s="185"/>
      <c r="P696" s="13"/>
      <c r="Q696" s="13"/>
      <c r="R696" s="177"/>
      <c r="S696" s="35"/>
      <c r="T696" s="35"/>
      <c r="U696" s="13"/>
      <c r="V696" s="13"/>
      <c r="W696" s="13"/>
      <c r="X696" s="13"/>
      <c r="Y696" s="13"/>
      <c r="Z696" s="13"/>
      <c r="AA696" s="13"/>
      <c r="AB696" s="13"/>
      <c r="AC696" s="13"/>
    </row>
    <row r="697" ht="16.5" customHeight="1">
      <c r="A697" s="13"/>
      <c r="B697" s="13"/>
      <c r="C697" s="13"/>
      <c r="D697" s="13"/>
      <c r="E697" s="13"/>
      <c r="F697" s="13"/>
      <c r="G697" s="13"/>
      <c r="H697" s="13"/>
      <c r="I697" s="13"/>
      <c r="J697" s="13"/>
      <c r="K697" s="185"/>
      <c r="L697" s="186"/>
      <c r="M697" s="13"/>
      <c r="N697" s="13"/>
      <c r="O697" s="185"/>
      <c r="P697" s="13"/>
      <c r="Q697" s="13"/>
      <c r="R697" s="177"/>
      <c r="S697" s="35"/>
      <c r="T697" s="35"/>
      <c r="U697" s="13"/>
      <c r="V697" s="13"/>
      <c r="W697" s="13"/>
      <c r="X697" s="13"/>
      <c r="Y697" s="13"/>
      <c r="Z697" s="13"/>
      <c r="AA697" s="13"/>
      <c r="AB697" s="13"/>
      <c r="AC697" s="13"/>
    </row>
    <row r="698" ht="16.5" customHeight="1">
      <c r="A698" s="13"/>
      <c r="B698" s="13"/>
      <c r="C698" s="13"/>
      <c r="D698" s="13"/>
      <c r="E698" s="13"/>
      <c r="F698" s="13"/>
      <c r="G698" s="13"/>
      <c r="H698" s="13"/>
      <c r="I698" s="13"/>
      <c r="J698" s="13"/>
      <c r="K698" s="185"/>
      <c r="L698" s="186"/>
      <c r="M698" s="13"/>
      <c r="N698" s="13"/>
      <c r="O698" s="185"/>
      <c r="P698" s="13"/>
      <c r="Q698" s="13"/>
      <c r="R698" s="177"/>
      <c r="S698" s="35"/>
      <c r="T698" s="35"/>
      <c r="U698" s="13"/>
      <c r="V698" s="13"/>
      <c r="W698" s="13"/>
      <c r="X698" s="13"/>
      <c r="Y698" s="13"/>
      <c r="Z698" s="13"/>
      <c r="AA698" s="13"/>
      <c r="AB698" s="13"/>
      <c r="AC698" s="13"/>
    </row>
    <row r="699" ht="16.5" customHeight="1">
      <c r="A699" s="13"/>
      <c r="B699" s="13"/>
      <c r="C699" s="13"/>
      <c r="D699" s="13"/>
      <c r="E699" s="13"/>
      <c r="F699" s="13"/>
      <c r="G699" s="13"/>
      <c r="H699" s="13"/>
      <c r="I699" s="13"/>
      <c r="J699" s="13"/>
      <c r="K699" s="185"/>
      <c r="L699" s="186"/>
      <c r="M699" s="13"/>
      <c r="N699" s="13"/>
      <c r="O699" s="185"/>
      <c r="P699" s="13"/>
      <c r="Q699" s="13"/>
      <c r="R699" s="177"/>
      <c r="S699" s="35"/>
      <c r="T699" s="35"/>
      <c r="U699" s="13"/>
      <c r="V699" s="13"/>
      <c r="W699" s="13"/>
      <c r="X699" s="13"/>
      <c r="Y699" s="13"/>
      <c r="Z699" s="13"/>
      <c r="AA699" s="13"/>
      <c r="AB699" s="13"/>
      <c r="AC699" s="13"/>
    </row>
    <row r="700" ht="16.5" customHeight="1">
      <c r="A700" s="13"/>
      <c r="B700" s="13"/>
      <c r="C700" s="13"/>
      <c r="D700" s="13"/>
      <c r="E700" s="13"/>
      <c r="F700" s="13"/>
      <c r="G700" s="13"/>
      <c r="H700" s="13"/>
      <c r="I700" s="13"/>
      <c r="J700" s="13"/>
      <c r="K700" s="185"/>
      <c r="L700" s="186"/>
      <c r="M700" s="13"/>
      <c r="N700" s="13"/>
      <c r="O700" s="185"/>
      <c r="P700" s="13"/>
      <c r="Q700" s="13"/>
      <c r="R700" s="177"/>
      <c r="S700" s="35"/>
      <c r="T700" s="35"/>
      <c r="U700" s="13"/>
      <c r="V700" s="13"/>
      <c r="W700" s="13"/>
      <c r="X700" s="13"/>
      <c r="Y700" s="13"/>
      <c r="Z700" s="13"/>
      <c r="AA700" s="13"/>
      <c r="AB700" s="13"/>
      <c r="AC700" s="13"/>
    </row>
    <row r="701" ht="16.5" customHeight="1">
      <c r="A701" s="13"/>
      <c r="B701" s="13"/>
      <c r="C701" s="13"/>
      <c r="D701" s="13"/>
      <c r="E701" s="13"/>
      <c r="F701" s="13"/>
      <c r="G701" s="13"/>
      <c r="H701" s="13"/>
      <c r="I701" s="13"/>
      <c r="J701" s="13"/>
      <c r="K701" s="185"/>
      <c r="L701" s="186"/>
      <c r="M701" s="13"/>
      <c r="N701" s="13"/>
      <c r="O701" s="185"/>
      <c r="P701" s="13"/>
      <c r="Q701" s="13"/>
      <c r="R701" s="177"/>
      <c r="S701" s="35"/>
      <c r="T701" s="35"/>
      <c r="U701" s="13"/>
      <c r="V701" s="13"/>
      <c r="W701" s="13"/>
      <c r="X701" s="13"/>
      <c r="Y701" s="13"/>
      <c r="Z701" s="13"/>
      <c r="AA701" s="13"/>
      <c r="AB701" s="13"/>
      <c r="AC701" s="13"/>
    </row>
    <row r="702" ht="16.5" customHeight="1">
      <c r="A702" s="13"/>
      <c r="B702" s="13"/>
      <c r="C702" s="13"/>
      <c r="D702" s="13"/>
      <c r="E702" s="13"/>
      <c r="F702" s="13"/>
      <c r="G702" s="13"/>
      <c r="H702" s="13"/>
      <c r="I702" s="13"/>
      <c r="J702" s="13"/>
      <c r="K702" s="185"/>
      <c r="L702" s="186"/>
      <c r="M702" s="13"/>
      <c r="N702" s="13"/>
      <c r="O702" s="185"/>
      <c r="P702" s="13"/>
      <c r="Q702" s="13"/>
      <c r="R702" s="177"/>
      <c r="S702" s="35"/>
      <c r="T702" s="35"/>
      <c r="U702" s="13"/>
      <c r="V702" s="13"/>
      <c r="W702" s="13"/>
      <c r="X702" s="13"/>
      <c r="Y702" s="13"/>
      <c r="Z702" s="13"/>
      <c r="AA702" s="13"/>
      <c r="AB702" s="13"/>
      <c r="AC702" s="13"/>
    </row>
    <row r="703" ht="16.5" customHeight="1">
      <c r="A703" s="13"/>
      <c r="B703" s="13"/>
      <c r="C703" s="13"/>
      <c r="D703" s="13"/>
      <c r="E703" s="13"/>
      <c r="F703" s="13"/>
      <c r="G703" s="13"/>
      <c r="H703" s="13"/>
      <c r="I703" s="13"/>
      <c r="J703" s="13"/>
      <c r="K703" s="185"/>
      <c r="L703" s="186"/>
      <c r="M703" s="13"/>
      <c r="N703" s="13"/>
      <c r="O703" s="185"/>
      <c r="P703" s="13"/>
      <c r="Q703" s="13"/>
      <c r="R703" s="177"/>
      <c r="S703" s="35"/>
      <c r="T703" s="35"/>
      <c r="U703" s="13"/>
      <c r="V703" s="13"/>
      <c r="W703" s="13"/>
      <c r="X703" s="13"/>
      <c r="Y703" s="13"/>
      <c r="Z703" s="13"/>
      <c r="AA703" s="13"/>
      <c r="AB703" s="13"/>
      <c r="AC703" s="13"/>
    </row>
    <row r="704" ht="16.5" customHeight="1">
      <c r="A704" s="13"/>
      <c r="B704" s="13"/>
      <c r="C704" s="13"/>
      <c r="D704" s="13"/>
      <c r="E704" s="13"/>
      <c r="F704" s="13"/>
      <c r="G704" s="13"/>
      <c r="H704" s="13"/>
      <c r="I704" s="13"/>
      <c r="J704" s="13"/>
      <c r="K704" s="185"/>
      <c r="L704" s="186"/>
      <c r="M704" s="13"/>
      <c r="N704" s="13"/>
      <c r="O704" s="185"/>
      <c r="P704" s="13"/>
      <c r="Q704" s="13"/>
      <c r="R704" s="177"/>
      <c r="S704" s="35"/>
      <c r="T704" s="35"/>
      <c r="U704" s="13"/>
      <c r="V704" s="13"/>
      <c r="W704" s="13"/>
      <c r="X704" s="13"/>
      <c r="Y704" s="13"/>
      <c r="Z704" s="13"/>
      <c r="AA704" s="13"/>
      <c r="AB704" s="13"/>
      <c r="AC704" s="13"/>
    </row>
    <row r="705" ht="16.5" customHeight="1">
      <c r="A705" s="13"/>
      <c r="B705" s="13"/>
      <c r="C705" s="13"/>
      <c r="D705" s="13"/>
      <c r="E705" s="13"/>
      <c r="F705" s="13"/>
      <c r="G705" s="13"/>
      <c r="H705" s="13"/>
      <c r="I705" s="13"/>
      <c r="J705" s="13"/>
      <c r="K705" s="185"/>
      <c r="L705" s="186"/>
      <c r="M705" s="13"/>
      <c r="N705" s="13"/>
      <c r="O705" s="185"/>
      <c r="P705" s="13"/>
      <c r="Q705" s="13"/>
      <c r="R705" s="177"/>
      <c r="S705" s="35"/>
      <c r="T705" s="35"/>
      <c r="U705" s="13"/>
      <c r="V705" s="13"/>
      <c r="W705" s="13"/>
      <c r="X705" s="13"/>
      <c r="Y705" s="13"/>
      <c r="Z705" s="13"/>
      <c r="AA705" s="13"/>
      <c r="AB705" s="13"/>
      <c r="AC705" s="13"/>
    </row>
    <row r="706" ht="16.5" customHeight="1">
      <c r="A706" s="13"/>
      <c r="B706" s="13"/>
      <c r="C706" s="13"/>
      <c r="D706" s="13"/>
      <c r="E706" s="13"/>
      <c r="F706" s="13"/>
      <c r="G706" s="13"/>
      <c r="H706" s="13"/>
      <c r="I706" s="13"/>
      <c r="J706" s="13"/>
      <c r="K706" s="185"/>
      <c r="L706" s="186"/>
      <c r="M706" s="13"/>
      <c r="N706" s="13"/>
      <c r="O706" s="185"/>
      <c r="P706" s="13"/>
      <c r="Q706" s="13"/>
      <c r="R706" s="177"/>
      <c r="S706" s="35"/>
      <c r="T706" s="35"/>
      <c r="U706" s="13"/>
      <c r="V706" s="13"/>
      <c r="W706" s="13"/>
      <c r="X706" s="13"/>
      <c r="Y706" s="13"/>
      <c r="Z706" s="13"/>
      <c r="AA706" s="13"/>
      <c r="AB706" s="13"/>
      <c r="AC706" s="13"/>
    </row>
    <row r="707" ht="16.5" customHeight="1">
      <c r="A707" s="13"/>
      <c r="B707" s="13"/>
      <c r="C707" s="13"/>
      <c r="D707" s="13"/>
      <c r="E707" s="13"/>
      <c r="F707" s="13"/>
      <c r="G707" s="13"/>
      <c r="H707" s="13"/>
      <c r="I707" s="13"/>
      <c r="J707" s="13"/>
      <c r="K707" s="185"/>
      <c r="L707" s="186"/>
      <c r="M707" s="13"/>
      <c r="N707" s="13"/>
      <c r="O707" s="185"/>
      <c r="P707" s="13"/>
      <c r="Q707" s="13"/>
      <c r="R707" s="177"/>
      <c r="S707" s="35"/>
      <c r="T707" s="35"/>
      <c r="U707" s="13"/>
      <c r="V707" s="13"/>
      <c r="W707" s="13"/>
      <c r="X707" s="13"/>
      <c r="Y707" s="13"/>
      <c r="Z707" s="13"/>
      <c r="AA707" s="13"/>
      <c r="AB707" s="13"/>
      <c r="AC707" s="13"/>
    </row>
    <row r="708" ht="16.5" customHeight="1">
      <c r="A708" s="13"/>
      <c r="B708" s="13"/>
      <c r="C708" s="13"/>
      <c r="D708" s="13"/>
      <c r="E708" s="13"/>
      <c r="F708" s="13"/>
      <c r="G708" s="13"/>
      <c r="H708" s="13"/>
      <c r="I708" s="13"/>
      <c r="J708" s="13"/>
      <c r="K708" s="185"/>
      <c r="L708" s="186"/>
      <c r="M708" s="13"/>
      <c r="N708" s="13"/>
      <c r="O708" s="185"/>
      <c r="P708" s="13"/>
      <c r="Q708" s="13"/>
      <c r="R708" s="177"/>
      <c r="S708" s="35"/>
      <c r="T708" s="35"/>
      <c r="U708" s="13"/>
      <c r="V708" s="13"/>
      <c r="W708" s="13"/>
      <c r="X708" s="13"/>
      <c r="Y708" s="13"/>
      <c r="Z708" s="13"/>
      <c r="AA708" s="13"/>
      <c r="AB708" s="13"/>
      <c r="AC708" s="13"/>
    </row>
    <row r="709" ht="16.5" customHeight="1">
      <c r="A709" s="13"/>
      <c r="B709" s="13"/>
      <c r="C709" s="13"/>
      <c r="D709" s="13"/>
      <c r="E709" s="13"/>
      <c r="F709" s="13"/>
      <c r="G709" s="13"/>
      <c r="H709" s="13"/>
      <c r="I709" s="13"/>
      <c r="J709" s="13"/>
      <c r="K709" s="185"/>
      <c r="L709" s="186"/>
      <c r="M709" s="13"/>
      <c r="N709" s="13"/>
      <c r="O709" s="185"/>
      <c r="P709" s="13"/>
      <c r="Q709" s="13"/>
      <c r="R709" s="177"/>
      <c r="S709" s="35"/>
      <c r="T709" s="35"/>
      <c r="U709" s="13"/>
      <c r="V709" s="13"/>
      <c r="W709" s="13"/>
      <c r="X709" s="13"/>
      <c r="Y709" s="13"/>
      <c r="Z709" s="13"/>
      <c r="AA709" s="13"/>
      <c r="AB709" s="13"/>
      <c r="AC709" s="13"/>
    </row>
    <row r="710" ht="16.5" customHeight="1">
      <c r="A710" s="13"/>
      <c r="B710" s="13"/>
      <c r="C710" s="13"/>
      <c r="D710" s="13"/>
      <c r="E710" s="13"/>
      <c r="F710" s="13"/>
      <c r="G710" s="13"/>
      <c r="H710" s="13"/>
      <c r="I710" s="13"/>
      <c r="J710" s="13"/>
      <c r="K710" s="185"/>
      <c r="L710" s="186"/>
      <c r="M710" s="13"/>
      <c r="N710" s="13"/>
      <c r="O710" s="185"/>
      <c r="P710" s="13"/>
      <c r="Q710" s="13"/>
      <c r="R710" s="177"/>
      <c r="S710" s="35"/>
      <c r="T710" s="35"/>
      <c r="U710" s="13"/>
      <c r="V710" s="13"/>
      <c r="W710" s="13"/>
      <c r="X710" s="13"/>
      <c r="Y710" s="13"/>
      <c r="Z710" s="13"/>
      <c r="AA710" s="13"/>
      <c r="AB710" s="13"/>
      <c r="AC710" s="13"/>
    </row>
    <row r="711" ht="16.5" customHeight="1">
      <c r="A711" s="13"/>
      <c r="B711" s="13"/>
      <c r="C711" s="13"/>
      <c r="D711" s="13"/>
      <c r="E711" s="13"/>
      <c r="F711" s="13"/>
      <c r="G711" s="13"/>
      <c r="H711" s="13"/>
      <c r="I711" s="13"/>
      <c r="J711" s="13"/>
      <c r="K711" s="185"/>
      <c r="L711" s="186"/>
      <c r="M711" s="13"/>
      <c r="N711" s="13"/>
      <c r="O711" s="185"/>
      <c r="P711" s="13"/>
      <c r="Q711" s="13"/>
      <c r="R711" s="177"/>
      <c r="S711" s="35"/>
      <c r="T711" s="35"/>
      <c r="U711" s="13"/>
      <c r="V711" s="13"/>
      <c r="W711" s="13"/>
      <c r="X711" s="13"/>
      <c r="Y711" s="13"/>
      <c r="Z711" s="13"/>
      <c r="AA711" s="13"/>
      <c r="AB711" s="13"/>
      <c r="AC711" s="13"/>
    </row>
    <row r="712" ht="16.5" customHeight="1">
      <c r="A712" s="13"/>
      <c r="B712" s="13"/>
      <c r="C712" s="13"/>
      <c r="D712" s="13"/>
      <c r="E712" s="13"/>
      <c r="F712" s="13"/>
      <c r="G712" s="13"/>
      <c r="H712" s="13"/>
      <c r="I712" s="13"/>
      <c r="J712" s="13"/>
      <c r="K712" s="185"/>
      <c r="L712" s="186"/>
      <c r="M712" s="13"/>
      <c r="N712" s="13"/>
      <c r="O712" s="185"/>
      <c r="P712" s="13"/>
      <c r="Q712" s="13"/>
      <c r="R712" s="177"/>
      <c r="S712" s="35"/>
      <c r="T712" s="35"/>
      <c r="U712" s="13"/>
      <c r="V712" s="13"/>
      <c r="W712" s="13"/>
      <c r="X712" s="13"/>
      <c r="Y712" s="13"/>
      <c r="Z712" s="13"/>
      <c r="AA712" s="13"/>
      <c r="AB712" s="13"/>
      <c r="AC712" s="13"/>
    </row>
    <row r="713" ht="16.5" customHeight="1">
      <c r="A713" s="13"/>
      <c r="B713" s="13"/>
      <c r="C713" s="13"/>
      <c r="D713" s="13"/>
      <c r="E713" s="13"/>
      <c r="F713" s="13"/>
      <c r="G713" s="13"/>
      <c r="H713" s="13"/>
      <c r="I713" s="13"/>
      <c r="J713" s="13"/>
      <c r="K713" s="185"/>
      <c r="L713" s="186"/>
      <c r="M713" s="13"/>
      <c r="N713" s="13"/>
      <c r="O713" s="185"/>
      <c r="P713" s="13"/>
      <c r="Q713" s="13"/>
      <c r="R713" s="177"/>
      <c r="S713" s="35"/>
      <c r="T713" s="35"/>
      <c r="U713" s="13"/>
      <c r="V713" s="13"/>
      <c r="W713" s="13"/>
      <c r="X713" s="13"/>
      <c r="Y713" s="13"/>
      <c r="Z713" s="13"/>
      <c r="AA713" s="13"/>
      <c r="AB713" s="13"/>
      <c r="AC713" s="13"/>
    </row>
    <row r="714" ht="16.5" customHeight="1">
      <c r="A714" s="13"/>
      <c r="B714" s="13"/>
      <c r="C714" s="13"/>
      <c r="D714" s="13"/>
      <c r="E714" s="13"/>
      <c r="F714" s="13"/>
      <c r="G714" s="13"/>
      <c r="H714" s="13"/>
      <c r="I714" s="13"/>
      <c r="J714" s="13"/>
      <c r="K714" s="185"/>
      <c r="L714" s="186"/>
      <c r="M714" s="13"/>
      <c r="N714" s="13"/>
      <c r="O714" s="185"/>
      <c r="P714" s="13"/>
      <c r="Q714" s="13"/>
      <c r="R714" s="177"/>
      <c r="S714" s="35"/>
      <c r="T714" s="35"/>
      <c r="U714" s="13"/>
      <c r="V714" s="13"/>
      <c r="W714" s="13"/>
      <c r="X714" s="13"/>
      <c r="Y714" s="13"/>
      <c r="Z714" s="13"/>
      <c r="AA714" s="13"/>
      <c r="AB714" s="13"/>
      <c r="AC714" s="13"/>
    </row>
    <row r="715" ht="16.5" customHeight="1">
      <c r="A715" s="13"/>
      <c r="B715" s="13"/>
      <c r="C715" s="13"/>
      <c r="D715" s="13"/>
      <c r="E715" s="13"/>
      <c r="F715" s="13"/>
      <c r="G715" s="13"/>
      <c r="H715" s="13"/>
      <c r="I715" s="13"/>
      <c r="J715" s="13"/>
      <c r="K715" s="185"/>
      <c r="L715" s="186"/>
      <c r="M715" s="13"/>
      <c r="N715" s="13"/>
      <c r="O715" s="185"/>
      <c r="P715" s="13"/>
      <c r="Q715" s="13"/>
      <c r="R715" s="177"/>
      <c r="S715" s="35"/>
      <c r="T715" s="35"/>
      <c r="U715" s="13"/>
      <c r="V715" s="13"/>
      <c r="W715" s="13"/>
      <c r="X715" s="13"/>
      <c r="Y715" s="13"/>
      <c r="Z715" s="13"/>
      <c r="AA715" s="13"/>
      <c r="AB715" s="13"/>
      <c r="AC715" s="13"/>
    </row>
    <row r="716" ht="16.5" customHeight="1">
      <c r="A716" s="13"/>
      <c r="B716" s="13"/>
      <c r="C716" s="13"/>
      <c r="D716" s="13"/>
      <c r="E716" s="13"/>
      <c r="F716" s="13"/>
      <c r="G716" s="13"/>
      <c r="H716" s="13"/>
      <c r="I716" s="13"/>
      <c r="J716" s="13"/>
      <c r="K716" s="185"/>
      <c r="L716" s="186"/>
      <c r="M716" s="13"/>
      <c r="N716" s="13"/>
      <c r="O716" s="185"/>
      <c r="P716" s="13"/>
      <c r="Q716" s="13"/>
      <c r="R716" s="177"/>
      <c r="S716" s="35"/>
      <c r="T716" s="35"/>
      <c r="U716" s="13"/>
      <c r="V716" s="13"/>
      <c r="W716" s="13"/>
      <c r="X716" s="13"/>
      <c r="Y716" s="13"/>
      <c r="Z716" s="13"/>
      <c r="AA716" s="13"/>
      <c r="AB716" s="13"/>
      <c r="AC716" s="13"/>
    </row>
    <row r="717" ht="16.5" customHeight="1">
      <c r="A717" s="13"/>
      <c r="B717" s="13"/>
      <c r="C717" s="13"/>
      <c r="D717" s="13"/>
      <c r="E717" s="13"/>
      <c r="F717" s="13"/>
      <c r="G717" s="13"/>
      <c r="H717" s="13"/>
      <c r="I717" s="13"/>
      <c r="J717" s="13"/>
      <c r="K717" s="185"/>
      <c r="L717" s="186"/>
      <c r="M717" s="13"/>
      <c r="N717" s="13"/>
      <c r="O717" s="185"/>
      <c r="P717" s="13"/>
      <c r="Q717" s="13"/>
      <c r="R717" s="177"/>
      <c r="S717" s="35"/>
      <c r="T717" s="35"/>
      <c r="U717" s="13"/>
      <c r="V717" s="13"/>
      <c r="W717" s="13"/>
      <c r="X717" s="13"/>
      <c r="Y717" s="13"/>
      <c r="Z717" s="13"/>
      <c r="AA717" s="13"/>
      <c r="AB717" s="13"/>
      <c r="AC717" s="13"/>
    </row>
    <row r="718" ht="16.5" customHeight="1">
      <c r="A718" s="13"/>
      <c r="B718" s="13"/>
      <c r="C718" s="13"/>
      <c r="D718" s="13"/>
      <c r="E718" s="13"/>
      <c r="F718" s="13"/>
      <c r="G718" s="13"/>
      <c r="H718" s="13"/>
      <c r="I718" s="13"/>
      <c r="J718" s="13"/>
      <c r="K718" s="185"/>
      <c r="L718" s="186"/>
      <c r="M718" s="13"/>
      <c r="N718" s="13"/>
      <c r="O718" s="185"/>
      <c r="P718" s="13"/>
      <c r="Q718" s="13"/>
      <c r="R718" s="177"/>
      <c r="S718" s="35"/>
      <c r="T718" s="35"/>
      <c r="U718" s="13"/>
      <c r="V718" s="13"/>
      <c r="W718" s="13"/>
      <c r="X718" s="13"/>
      <c r="Y718" s="13"/>
      <c r="Z718" s="13"/>
      <c r="AA718" s="13"/>
      <c r="AB718" s="13"/>
      <c r="AC718" s="13"/>
    </row>
    <row r="719" ht="16.5" customHeight="1">
      <c r="A719" s="13"/>
      <c r="B719" s="13"/>
      <c r="C719" s="13"/>
      <c r="D719" s="13"/>
      <c r="E719" s="13"/>
      <c r="F719" s="13"/>
      <c r="G719" s="13"/>
      <c r="H719" s="13"/>
      <c r="I719" s="13"/>
      <c r="J719" s="13"/>
      <c r="K719" s="185"/>
      <c r="L719" s="186"/>
      <c r="M719" s="13"/>
      <c r="N719" s="13"/>
      <c r="O719" s="185"/>
      <c r="P719" s="13"/>
      <c r="Q719" s="13"/>
      <c r="R719" s="177"/>
      <c r="S719" s="35"/>
      <c r="T719" s="35"/>
      <c r="U719" s="13"/>
      <c r="V719" s="13"/>
      <c r="W719" s="13"/>
      <c r="X719" s="13"/>
      <c r="Y719" s="13"/>
      <c r="Z719" s="13"/>
      <c r="AA719" s="13"/>
      <c r="AB719" s="13"/>
      <c r="AC719" s="13"/>
    </row>
    <row r="720" ht="16.5" customHeight="1">
      <c r="A720" s="13"/>
      <c r="B720" s="13"/>
      <c r="C720" s="13"/>
      <c r="D720" s="13"/>
      <c r="E720" s="13"/>
      <c r="F720" s="13"/>
      <c r="G720" s="13"/>
      <c r="H720" s="13"/>
      <c r="I720" s="13"/>
      <c r="J720" s="13"/>
      <c r="K720" s="185"/>
      <c r="L720" s="186"/>
      <c r="M720" s="13"/>
      <c r="N720" s="13"/>
      <c r="O720" s="185"/>
      <c r="P720" s="13"/>
      <c r="Q720" s="13"/>
      <c r="R720" s="177"/>
      <c r="S720" s="35"/>
      <c r="T720" s="35"/>
      <c r="U720" s="13"/>
      <c r="V720" s="13"/>
      <c r="W720" s="13"/>
      <c r="X720" s="13"/>
      <c r="Y720" s="13"/>
      <c r="Z720" s="13"/>
      <c r="AA720" s="13"/>
      <c r="AB720" s="13"/>
      <c r="AC720" s="13"/>
    </row>
    <row r="721" ht="16.5" customHeight="1">
      <c r="A721" s="13"/>
      <c r="B721" s="13"/>
      <c r="C721" s="13"/>
      <c r="D721" s="13"/>
      <c r="E721" s="13"/>
      <c r="F721" s="13"/>
      <c r="G721" s="13"/>
      <c r="H721" s="13"/>
      <c r="I721" s="13"/>
      <c r="J721" s="13"/>
      <c r="K721" s="185"/>
      <c r="L721" s="186"/>
      <c r="M721" s="13"/>
      <c r="N721" s="13"/>
      <c r="O721" s="185"/>
      <c r="P721" s="13"/>
      <c r="Q721" s="13"/>
      <c r="R721" s="177"/>
      <c r="S721" s="35"/>
      <c r="T721" s="35"/>
      <c r="U721" s="13"/>
      <c r="V721" s="13"/>
      <c r="W721" s="13"/>
      <c r="X721" s="13"/>
      <c r="Y721" s="13"/>
      <c r="Z721" s="13"/>
      <c r="AA721" s="13"/>
      <c r="AB721" s="13"/>
      <c r="AC721" s="13"/>
    </row>
    <row r="722" ht="16.5" customHeight="1">
      <c r="A722" s="13"/>
      <c r="B722" s="13"/>
      <c r="C722" s="13"/>
      <c r="D722" s="13"/>
      <c r="E722" s="13"/>
      <c r="F722" s="13"/>
      <c r="G722" s="13"/>
      <c r="H722" s="13"/>
      <c r="I722" s="13"/>
      <c r="J722" s="13"/>
      <c r="K722" s="185"/>
      <c r="L722" s="186"/>
      <c r="M722" s="13"/>
      <c r="N722" s="13"/>
      <c r="O722" s="185"/>
      <c r="P722" s="13"/>
      <c r="Q722" s="13"/>
      <c r="R722" s="177"/>
      <c r="S722" s="35"/>
      <c r="T722" s="35"/>
      <c r="U722" s="13"/>
      <c r="V722" s="13"/>
      <c r="W722" s="13"/>
      <c r="X722" s="13"/>
      <c r="Y722" s="13"/>
      <c r="Z722" s="13"/>
      <c r="AA722" s="13"/>
      <c r="AB722" s="13"/>
      <c r="AC722" s="13"/>
    </row>
    <row r="723" ht="16.5" customHeight="1">
      <c r="A723" s="13"/>
      <c r="B723" s="13"/>
      <c r="C723" s="13"/>
      <c r="D723" s="13"/>
      <c r="E723" s="13"/>
      <c r="F723" s="13"/>
      <c r="G723" s="13"/>
      <c r="H723" s="13"/>
      <c r="I723" s="13"/>
      <c r="J723" s="13"/>
      <c r="K723" s="185"/>
      <c r="L723" s="186"/>
      <c r="M723" s="13"/>
      <c r="N723" s="13"/>
      <c r="O723" s="185"/>
      <c r="P723" s="13"/>
      <c r="Q723" s="13"/>
      <c r="R723" s="177"/>
      <c r="S723" s="35"/>
      <c r="T723" s="35"/>
      <c r="U723" s="13"/>
      <c r="V723" s="13"/>
      <c r="W723" s="13"/>
      <c r="X723" s="13"/>
      <c r="Y723" s="13"/>
      <c r="Z723" s="13"/>
      <c r="AA723" s="13"/>
      <c r="AB723" s="13"/>
      <c r="AC723" s="13"/>
    </row>
    <row r="724" ht="16.5" customHeight="1">
      <c r="A724" s="13"/>
      <c r="B724" s="13"/>
      <c r="C724" s="13"/>
      <c r="D724" s="13"/>
      <c r="E724" s="13"/>
      <c r="F724" s="13"/>
      <c r="G724" s="13"/>
      <c r="H724" s="13"/>
      <c r="I724" s="13"/>
      <c r="J724" s="13"/>
      <c r="K724" s="185"/>
      <c r="L724" s="186"/>
      <c r="M724" s="13"/>
      <c r="N724" s="13"/>
      <c r="O724" s="185"/>
      <c r="P724" s="13"/>
      <c r="Q724" s="13"/>
      <c r="R724" s="177"/>
      <c r="S724" s="35"/>
      <c r="T724" s="35"/>
      <c r="U724" s="13"/>
      <c r="V724" s="13"/>
      <c r="W724" s="13"/>
      <c r="X724" s="13"/>
      <c r="Y724" s="13"/>
      <c r="Z724" s="13"/>
      <c r="AA724" s="13"/>
      <c r="AB724" s="13"/>
      <c r="AC724" s="13"/>
    </row>
    <row r="725" ht="16.5" customHeight="1">
      <c r="A725" s="13"/>
      <c r="B725" s="13"/>
      <c r="C725" s="13"/>
      <c r="D725" s="13"/>
      <c r="E725" s="13"/>
      <c r="F725" s="13"/>
      <c r="G725" s="13"/>
      <c r="H725" s="13"/>
      <c r="I725" s="13"/>
      <c r="J725" s="13"/>
      <c r="K725" s="185"/>
      <c r="L725" s="186"/>
      <c r="M725" s="13"/>
      <c r="N725" s="13"/>
      <c r="O725" s="185"/>
      <c r="P725" s="13"/>
      <c r="Q725" s="13"/>
      <c r="R725" s="177"/>
      <c r="S725" s="35"/>
      <c r="T725" s="35"/>
      <c r="U725" s="13"/>
      <c r="V725" s="13"/>
      <c r="W725" s="13"/>
      <c r="X725" s="13"/>
      <c r="Y725" s="13"/>
      <c r="Z725" s="13"/>
      <c r="AA725" s="13"/>
      <c r="AB725" s="13"/>
      <c r="AC725" s="13"/>
    </row>
    <row r="726" ht="16.5" customHeight="1">
      <c r="A726" s="13"/>
      <c r="B726" s="13"/>
      <c r="C726" s="13"/>
      <c r="D726" s="13"/>
      <c r="E726" s="13"/>
      <c r="F726" s="13"/>
      <c r="G726" s="13"/>
      <c r="H726" s="13"/>
      <c r="I726" s="13"/>
      <c r="J726" s="13"/>
      <c r="K726" s="185"/>
      <c r="L726" s="186"/>
      <c r="M726" s="13"/>
      <c r="N726" s="13"/>
      <c r="O726" s="185"/>
      <c r="P726" s="13"/>
      <c r="Q726" s="13"/>
      <c r="R726" s="177"/>
      <c r="S726" s="35"/>
      <c r="T726" s="35"/>
      <c r="U726" s="13"/>
      <c r="V726" s="13"/>
      <c r="W726" s="13"/>
      <c r="X726" s="13"/>
      <c r="Y726" s="13"/>
      <c r="Z726" s="13"/>
      <c r="AA726" s="13"/>
      <c r="AB726" s="13"/>
      <c r="AC726" s="13"/>
    </row>
    <row r="727" ht="16.5" customHeight="1">
      <c r="A727" s="13"/>
      <c r="B727" s="13"/>
      <c r="C727" s="13"/>
      <c r="D727" s="13"/>
      <c r="E727" s="13"/>
      <c r="F727" s="13"/>
      <c r="G727" s="13"/>
      <c r="H727" s="13"/>
      <c r="I727" s="13"/>
      <c r="J727" s="13"/>
      <c r="K727" s="185"/>
      <c r="L727" s="186"/>
      <c r="M727" s="13"/>
      <c r="N727" s="13"/>
      <c r="O727" s="185"/>
      <c r="P727" s="13"/>
      <c r="Q727" s="13"/>
      <c r="R727" s="177"/>
      <c r="S727" s="35"/>
      <c r="T727" s="35"/>
      <c r="U727" s="13"/>
      <c r="V727" s="13"/>
      <c r="W727" s="13"/>
      <c r="X727" s="13"/>
      <c r="Y727" s="13"/>
      <c r="Z727" s="13"/>
      <c r="AA727" s="13"/>
      <c r="AB727" s="13"/>
      <c r="AC727" s="13"/>
    </row>
    <row r="728" ht="16.5" customHeight="1">
      <c r="A728" s="13"/>
      <c r="B728" s="13"/>
      <c r="C728" s="13"/>
      <c r="D728" s="13"/>
      <c r="E728" s="13"/>
      <c r="F728" s="13"/>
      <c r="G728" s="13"/>
      <c r="H728" s="13"/>
      <c r="I728" s="13"/>
      <c r="J728" s="13"/>
      <c r="K728" s="185"/>
      <c r="L728" s="186"/>
      <c r="M728" s="13"/>
      <c r="N728" s="13"/>
      <c r="O728" s="185"/>
      <c r="P728" s="13"/>
      <c r="Q728" s="13"/>
      <c r="R728" s="177"/>
      <c r="S728" s="35"/>
      <c r="T728" s="35"/>
      <c r="U728" s="13"/>
      <c r="V728" s="13"/>
      <c r="W728" s="13"/>
      <c r="X728" s="13"/>
      <c r="Y728" s="13"/>
      <c r="Z728" s="13"/>
      <c r="AA728" s="13"/>
      <c r="AB728" s="13"/>
      <c r="AC728" s="13"/>
    </row>
    <row r="729" ht="16.5" customHeight="1">
      <c r="A729" s="13"/>
      <c r="B729" s="13"/>
      <c r="C729" s="13"/>
      <c r="D729" s="13"/>
      <c r="E729" s="13"/>
      <c r="F729" s="13"/>
      <c r="G729" s="13"/>
      <c r="H729" s="13"/>
      <c r="I729" s="13"/>
      <c r="J729" s="13"/>
      <c r="K729" s="185"/>
      <c r="L729" s="186"/>
      <c r="M729" s="13"/>
      <c r="N729" s="13"/>
      <c r="O729" s="185"/>
      <c r="P729" s="13"/>
      <c r="Q729" s="13"/>
      <c r="R729" s="177"/>
      <c r="S729" s="35"/>
      <c r="T729" s="35"/>
      <c r="U729" s="13"/>
      <c r="V729" s="13"/>
      <c r="W729" s="13"/>
      <c r="X729" s="13"/>
      <c r="Y729" s="13"/>
      <c r="Z729" s="13"/>
      <c r="AA729" s="13"/>
      <c r="AB729" s="13"/>
      <c r="AC729" s="13"/>
    </row>
    <row r="730" ht="16.5" customHeight="1">
      <c r="A730" s="13"/>
      <c r="B730" s="13"/>
      <c r="C730" s="13"/>
      <c r="D730" s="13"/>
      <c r="E730" s="13"/>
      <c r="F730" s="13"/>
      <c r="G730" s="13"/>
      <c r="H730" s="13"/>
      <c r="I730" s="13"/>
      <c r="J730" s="13"/>
      <c r="K730" s="185"/>
      <c r="L730" s="186"/>
      <c r="M730" s="13"/>
      <c r="N730" s="13"/>
      <c r="O730" s="185"/>
      <c r="P730" s="13"/>
      <c r="Q730" s="13"/>
      <c r="R730" s="177"/>
      <c r="S730" s="35"/>
      <c r="T730" s="35"/>
      <c r="U730" s="13"/>
      <c r="V730" s="13"/>
      <c r="W730" s="13"/>
      <c r="X730" s="13"/>
      <c r="Y730" s="13"/>
      <c r="Z730" s="13"/>
      <c r="AA730" s="13"/>
      <c r="AB730" s="13"/>
      <c r="AC730" s="13"/>
    </row>
    <row r="731" ht="16.5" customHeight="1">
      <c r="A731" s="13"/>
      <c r="B731" s="13"/>
      <c r="C731" s="13"/>
      <c r="D731" s="13"/>
      <c r="E731" s="13"/>
      <c r="F731" s="13"/>
      <c r="G731" s="13"/>
      <c r="H731" s="13"/>
      <c r="I731" s="13"/>
      <c r="J731" s="13"/>
      <c r="K731" s="185"/>
      <c r="L731" s="186"/>
      <c r="M731" s="13"/>
      <c r="N731" s="13"/>
      <c r="O731" s="185"/>
      <c r="P731" s="13"/>
      <c r="Q731" s="13"/>
      <c r="R731" s="177"/>
      <c r="S731" s="35"/>
      <c r="T731" s="35"/>
      <c r="U731" s="13"/>
      <c r="V731" s="13"/>
      <c r="W731" s="13"/>
      <c r="X731" s="13"/>
      <c r="Y731" s="13"/>
      <c r="Z731" s="13"/>
      <c r="AA731" s="13"/>
      <c r="AB731" s="13"/>
      <c r="AC731" s="13"/>
    </row>
    <row r="732" ht="16.5" customHeight="1">
      <c r="A732" s="13"/>
      <c r="B732" s="13"/>
      <c r="C732" s="13"/>
      <c r="D732" s="13"/>
      <c r="E732" s="13"/>
      <c r="F732" s="13"/>
      <c r="G732" s="13"/>
      <c r="H732" s="13"/>
      <c r="I732" s="13"/>
      <c r="J732" s="13"/>
      <c r="K732" s="185"/>
      <c r="L732" s="186"/>
      <c r="M732" s="13"/>
      <c r="N732" s="13"/>
      <c r="O732" s="185"/>
      <c r="P732" s="13"/>
      <c r="Q732" s="13"/>
      <c r="R732" s="177"/>
      <c r="S732" s="35"/>
      <c r="T732" s="35"/>
      <c r="U732" s="13"/>
      <c r="V732" s="13"/>
      <c r="W732" s="13"/>
      <c r="X732" s="13"/>
      <c r="Y732" s="13"/>
      <c r="Z732" s="13"/>
      <c r="AA732" s="13"/>
      <c r="AB732" s="13"/>
      <c r="AC732" s="13"/>
    </row>
    <row r="733" ht="16.5" customHeight="1">
      <c r="A733" s="13"/>
      <c r="B733" s="13"/>
      <c r="C733" s="13"/>
      <c r="D733" s="13"/>
      <c r="E733" s="13"/>
      <c r="F733" s="13"/>
      <c r="G733" s="13"/>
      <c r="H733" s="13"/>
      <c r="I733" s="13"/>
      <c r="J733" s="13"/>
      <c r="K733" s="185"/>
      <c r="L733" s="186"/>
      <c r="M733" s="13"/>
      <c r="N733" s="13"/>
      <c r="O733" s="185"/>
      <c r="P733" s="13"/>
      <c r="Q733" s="13"/>
      <c r="R733" s="177"/>
      <c r="S733" s="35"/>
      <c r="T733" s="35"/>
      <c r="U733" s="13"/>
      <c r="V733" s="13"/>
      <c r="W733" s="13"/>
      <c r="X733" s="13"/>
      <c r="Y733" s="13"/>
      <c r="Z733" s="13"/>
      <c r="AA733" s="13"/>
      <c r="AB733" s="13"/>
      <c r="AC733" s="13"/>
    </row>
    <row r="734" ht="16.5" customHeight="1">
      <c r="A734" s="13"/>
      <c r="B734" s="13"/>
      <c r="C734" s="13"/>
      <c r="D734" s="13"/>
      <c r="E734" s="13"/>
      <c r="F734" s="13"/>
      <c r="G734" s="13"/>
      <c r="H734" s="13"/>
      <c r="I734" s="13"/>
      <c r="J734" s="13"/>
      <c r="K734" s="185"/>
      <c r="L734" s="186"/>
      <c r="M734" s="13"/>
      <c r="N734" s="13"/>
      <c r="O734" s="185"/>
      <c r="P734" s="13"/>
      <c r="Q734" s="13"/>
      <c r="R734" s="177"/>
      <c r="S734" s="35"/>
      <c r="T734" s="35"/>
      <c r="U734" s="13"/>
      <c r="V734" s="13"/>
      <c r="W734" s="13"/>
      <c r="X734" s="13"/>
      <c r="Y734" s="13"/>
      <c r="Z734" s="13"/>
      <c r="AA734" s="13"/>
      <c r="AB734" s="13"/>
      <c r="AC734" s="13"/>
    </row>
    <row r="735" ht="16.5" customHeight="1">
      <c r="A735" s="13"/>
      <c r="B735" s="13"/>
      <c r="C735" s="13"/>
      <c r="D735" s="13"/>
      <c r="E735" s="13"/>
      <c r="F735" s="13"/>
      <c r="G735" s="13"/>
      <c r="H735" s="13"/>
      <c r="I735" s="13"/>
      <c r="J735" s="13"/>
      <c r="K735" s="185"/>
      <c r="L735" s="186"/>
      <c r="M735" s="13"/>
      <c r="N735" s="13"/>
      <c r="O735" s="185"/>
      <c r="P735" s="13"/>
      <c r="Q735" s="13"/>
      <c r="R735" s="177"/>
      <c r="S735" s="35"/>
      <c r="T735" s="35"/>
      <c r="U735" s="13"/>
      <c r="V735" s="13"/>
      <c r="W735" s="13"/>
      <c r="X735" s="13"/>
      <c r="Y735" s="13"/>
      <c r="Z735" s="13"/>
      <c r="AA735" s="13"/>
      <c r="AB735" s="13"/>
      <c r="AC735" s="13"/>
    </row>
    <row r="736" ht="16.5" customHeight="1">
      <c r="A736" s="13"/>
      <c r="B736" s="13"/>
      <c r="C736" s="13"/>
      <c r="D736" s="13"/>
      <c r="E736" s="13"/>
      <c r="F736" s="13"/>
      <c r="G736" s="13"/>
      <c r="H736" s="13"/>
      <c r="I736" s="13"/>
      <c r="J736" s="13"/>
      <c r="K736" s="185"/>
      <c r="L736" s="186"/>
      <c r="M736" s="13"/>
      <c r="N736" s="13"/>
      <c r="O736" s="185"/>
      <c r="P736" s="13"/>
      <c r="Q736" s="13"/>
      <c r="R736" s="177"/>
      <c r="S736" s="35"/>
      <c r="T736" s="35"/>
      <c r="U736" s="13"/>
      <c r="V736" s="13"/>
      <c r="W736" s="13"/>
      <c r="X736" s="13"/>
      <c r="Y736" s="13"/>
      <c r="Z736" s="13"/>
      <c r="AA736" s="13"/>
      <c r="AB736" s="13"/>
      <c r="AC736" s="13"/>
    </row>
    <row r="737" ht="16.5" customHeight="1">
      <c r="A737" s="13"/>
      <c r="B737" s="13"/>
      <c r="C737" s="13"/>
      <c r="D737" s="13"/>
      <c r="E737" s="13"/>
      <c r="F737" s="13"/>
      <c r="G737" s="13"/>
      <c r="H737" s="13"/>
      <c r="I737" s="13"/>
      <c r="J737" s="13"/>
      <c r="K737" s="185"/>
      <c r="L737" s="186"/>
      <c r="M737" s="13"/>
      <c r="N737" s="13"/>
      <c r="O737" s="185"/>
      <c r="P737" s="13"/>
      <c r="Q737" s="13"/>
      <c r="R737" s="177"/>
      <c r="S737" s="35"/>
      <c r="T737" s="35"/>
      <c r="U737" s="13"/>
      <c r="V737" s="13"/>
      <c r="W737" s="13"/>
      <c r="X737" s="13"/>
      <c r="Y737" s="13"/>
      <c r="Z737" s="13"/>
      <c r="AA737" s="13"/>
      <c r="AB737" s="13"/>
      <c r="AC737" s="13"/>
    </row>
    <row r="738" ht="16.5" customHeight="1">
      <c r="A738" s="13"/>
      <c r="B738" s="13"/>
      <c r="C738" s="13"/>
      <c r="D738" s="13"/>
      <c r="E738" s="13"/>
      <c r="F738" s="13"/>
      <c r="G738" s="13"/>
      <c r="H738" s="13"/>
      <c r="I738" s="13"/>
      <c r="J738" s="13"/>
      <c r="K738" s="185"/>
      <c r="L738" s="186"/>
      <c r="M738" s="13"/>
      <c r="N738" s="13"/>
      <c r="O738" s="185"/>
      <c r="P738" s="13"/>
      <c r="Q738" s="13"/>
      <c r="R738" s="177"/>
      <c r="S738" s="35"/>
      <c r="T738" s="35"/>
      <c r="U738" s="13"/>
      <c r="V738" s="13"/>
      <c r="W738" s="13"/>
      <c r="X738" s="13"/>
      <c r="Y738" s="13"/>
      <c r="Z738" s="13"/>
      <c r="AA738" s="13"/>
      <c r="AB738" s="13"/>
      <c r="AC738" s="13"/>
    </row>
    <row r="739" ht="16.5" customHeight="1">
      <c r="A739" s="13"/>
      <c r="B739" s="13"/>
      <c r="C739" s="13"/>
      <c r="D739" s="13"/>
      <c r="E739" s="13"/>
      <c r="F739" s="13"/>
      <c r="G739" s="13"/>
      <c r="H739" s="13"/>
      <c r="I739" s="13"/>
      <c r="J739" s="13"/>
      <c r="K739" s="185"/>
      <c r="L739" s="186"/>
      <c r="M739" s="13"/>
      <c r="N739" s="13"/>
      <c r="O739" s="185"/>
      <c r="P739" s="13"/>
      <c r="Q739" s="13"/>
      <c r="R739" s="177"/>
      <c r="S739" s="35"/>
      <c r="T739" s="35"/>
      <c r="U739" s="13"/>
      <c r="V739" s="13"/>
      <c r="W739" s="13"/>
      <c r="X739" s="13"/>
      <c r="Y739" s="13"/>
      <c r="Z739" s="13"/>
      <c r="AA739" s="13"/>
      <c r="AB739" s="13"/>
      <c r="AC739" s="13"/>
    </row>
    <row r="740" ht="16.5" customHeight="1">
      <c r="A740" s="13"/>
      <c r="B740" s="13"/>
      <c r="C740" s="13"/>
      <c r="D740" s="13"/>
      <c r="E740" s="13"/>
      <c r="F740" s="13"/>
      <c r="G740" s="13"/>
      <c r="H740" s="13"/>
      <c r="I740" s="13"/>
      <c r="J740" s="13"/>
      <c r="K740" s="185"/>
      <c r="L740" s="186"/>
      <c r="M740" s="13"/>
      <c r="N740" s="13"/>
      <c r="O740" s="185"/>
      <c r="P740" s="13"/>
      <c r="Q740" s="13"/>
      <c r="R740" s="177"/>
      <c r="S740" s="35"/>
      <c r="T740" s="35"/>
      <c r="U740" s="13"/>
      <c r="V740" s="13"/>
      <c r="W740" s="13"/>
      <c r="X740" s="13"/>
      <c r="Y740" s="13"/>
      <c r="Z740" s="13"/>
      <c r="AA740" s="13"/>
      <c r="AB740" s="13"/>
      <c r="AC740" s="13"/>
    </row>
    <row r="741" ht="16.5" customHeight="1">
      <c r="A741" s="13"/>
      <c r="B741" s="13"/>
      <c r="C741" s="13"/>
      <c r="D741" s="13"/>
      <c r="E741" s="13"/>
      <c r="F741" s="13"/>
      <c r="G741" s="13"/>
      <c r="H741" s="13"/>
      <c r="I741" s="13"/>
      <c r="J741" s="13"/>
      <c r="K741" s="185"/>
      <c r="L741" s="186"/>
      <c r="M741" s="13"/>
      <c r="N741" s="13"/>
      <c r="O741" s="185"/>
      <c r="P741" s="13"/>
      <c r="Q741" s="13"/>
      <c r="R741" s="177"/>
      <c r="S741" s="35"/>
      <c r="T741" s="35"/>
      <c r="U741" s="13"/>
      <c r="V741" s="13"/>
      <c r="W741" s="13"/>
      <c r="X741" s="13"/>
      <c r="Y741" s="13"/>
      <c r="Z741" s="13"/>
      <c r="AA741" s="13"/>
      <c r="AB741" s="13"/>
      <c r="AC741" s="13"/>
    </row>
    <row r="742" ht="16.5" customHeight="1">
      <c r="A742" s="13"/>
      <c r="B742" s="13"/>
      <c r="C742" s="13"/>
      <c r="D742" s="13"/>
      <c r="E742" s="13"/>
      <c r="F742" s="13"/>
      <c r="G742" s="13"/>
      <c r="H742" s="13"/>
      <c r="I742" s="13"/>
      <c r="J742" s="13"/>
      <c r="K742" s="185"/>
      <c r="L742" s="186"/>
      <c r="M742" s="13"/>
      <c r="N742" s="13"/>
      <c r="O742" s="185"/>
      <c r="P742" s="13"/>
      <c r="Q742" s="13"/>
      <c r="R742" s="177"/>
      <c r="S742" s="35"/>
      <c r="T742" s="35"/>
      <c r="U742" s="13"/>
      <c r="V742" s="13"/>
      <c r="W742" s="13"/>
      <c r="X742" s="13"/>
      <c r="Y742" s="13"/>
      <c r="Z742" s="13"/>
      <c r="AA742" s="13"/>
      <c r="AB742" s="13"/>
      <c r="AC742" s="13"/>
    </row>
    <row r="743" ht="16.5" customHeight="1">
      <c r="A743" s="13"/>
      <c r="B743" s="13"/>
      <c r="C743" s="13"/>
      <c r="D743" s="13"/>
      <c r="E743" s="13"/>
      <c r="F743" s="13"/>
      <c r="G743" s="13"/>
      <c r="H743" s="13"/>
      <c r="I743" s="13"/>
      <c r="J743" s="13"/>
      <c r="K743" s="185"/>
      <c r="L743" s="186"/>
      <c r="M743" s="13"/>
      <c r="N743" s="13"/>
      <c r="O743" s="185"/>
      <c r="P743" s="13"/>
      <c r="Q743" s="13"/>
      <c r="R743" s="177"/>
      <c r="S743" s="35"/>
      <c r="T743" s="35"/>
      <c r="U743" s="13"/>
      <c r="V743" s="13"/>
      <c r="W743" s="13"/>
      <c r="X743" s="13"/>
      <c r="Y743" s="13"/>
      <c r="Z743" s="13"/>
      <c r="AA743" s="13"/>
      <c r="AB743" s="13"/>
      <c r="AC743" s="13"/>
    </row>
    <row r="744" ht="16.5" customHeight="1">
      <c r="A744" s="13"/>
      <c r="B744" s="13"/>
      <c r="C744" s="13"/>
      <c r="D744" s="13"/>
      <c r="E744" s="13"/>
      <c r="F744" s="13"/>
      <c r="G744" s="13"/>
      <c r="H744" s="13"/>
      <c r="I744" s="13"/>
      <c r="J744" s="13"/>
      <c r="K744" s="185"/>
      <c r="L744" s="186"/>
      <c r="M744" s="13"/>
      <c r="N744" s="13"/>
      <c r="O744" s="185"/>
      <c r="P744" s="13"/>
      <c r="Q744" s="13"/>
      <c r="R744" s="177"/>
      <c r="S744" s="35"/>
      <c r="T744" s="35"/>
      <c r="U744" s="13"/>
      <c r="V744" s="13"/>
      <c r="W744" s="13"/>
      <c r="X744" s="13"/>
      <c r="Y744" s="13"/>
      <c r="Z744" s="13"/>
      <c r="AA744" s="13"/>
      <c r="AB744" s="13"/>
      <c r="AC744" s="13"/>
    </row>
    <row r="745" ht="16.5" customHeight="1">
      <c r="A745" s="13"/>
      <c r="B745" s="13"/>
      <c r="C745" s="13"/>
      <c r="D745" s="13"/>
      <c r="E745" s="13"/>
      <c r="F745" s="13"/>
      <c r="G745" s="13"/>
      <c r="H745" s="13"/>
      <c r="I745" s="13"/>
      <c r="J745" s="13"/>
      <c r="K745" s="185"/>
      <c r="L745" s="186"/>
      <c r="M745" s="13"/>
      <c r="N745" s="13"/>
      <c r="O745" s="185"/>
      <c r="P745" s="13"/>
      <c r="Q745" s="13"/>
      <c r="R745" s="177"/>
      <c r="S745" s="35"/>
      <c r="T745" s="35"/>
      <c r="U745" s="13"/>
      <c r="V745" s="13"/>
      <c r="W745" s="13"/>
      <c r="X745" s="13"/>
      <c r="Y745" s="13"/>
      <c r="Z745" s="13"/>
      <c r="AA745" s="13"/>
      <c r="AB745" s="13"/>
      <c r="AC745" s="13"/>
    </row>
    <row r="746" ht="16.5" customHeight="1">
      <c r="A746" s="13"/>
      <c r="B746" s="13"/>
      <c r="C746" s="13"/>
      <c r="D746" s="13"/>
      <c r="E746" s="13"/>
      <c r="F746" s="13"/>
      <c r="G746" s="13"/>
      <c r="H746" s="13"/>
      <c r="I746" s="13"/>
      <c r="J746" s="13"/>
      <c r="K746" s="185"/>
      <c r="L746" s="186"/>
      <c r="M746" s="13"/>
      <c r="N746" s="13"/>
      <c r="O746" s="185"/>
      <c r="P746" s="13"/>
      <c r="Q746" s="13"/>
      <c r="R746" s="177"/>
      <c r="S746" s="35"/>
      <c r="T746" s="35"/>
      <c r="U746" s="13"/>
      <c r="V746" s="13"/>
      <c r="W746" s="13"/>
      <c r="X746" s="13"/>
      <c r="Y746" s="13"/>
      <c r="Z746" s="13"/>
      <c r="AA746" s="13"/>
      <c r="AB746" s="13"/>
      <c r="AC746" s="13"/>
    </row>
    <row r="747" ht="16.5" customHeight="1">
      <c r="A747" s="13"/>
      <c r="B747" s="13"/>
      <c r="C747" s="13"/>
      <c r="D747" s="13"/>
      <c r="E747" s="13"/>
      <c r="F747" s="13"/>
      <c r="G747" s="13"/>
      <c r="H747" s="13"/>
      <c r="I747" s="13"/>
      <c r="J747" s="13"/>
      <c r="K747" s="185"/>
      <c r="L747" s="186"/>
      <c r="M747" s="13"/>
      <c r="N747" s="13"/>
      <c r="O747" s="185"/>
      <c r="P747" s="13"/>
      <c r="Q747" s="13"/>
      <c r="R747" s="177"/>
      <c r="S747" s="35"/>
      <c r="T747" s="35"/>
      <c r="U747" s="13"/>
      <c r="V747" s="13"/>
      <c r="W747" s="13"/>
      <c r="X747" s="13"/>
      <c r="Y747" s="13"/>
      <c r="Z747" s="13"/>
      <c r="AA747" s="13"/>
      <c r="AB747" s="13"/>
      <c r="AC747" s="13"/>
    </row>
    <row r="748" ht="16.5" customHeight="1">
      <c r="A748" s="13"/>
      <c r="B748" s="13"/>
      <c r="C748" s="13"/>
      <c r="D748" s="13"/>
      <c r="E748" s="13"/>
      <c r="F748" s="13"/>
      <c r="G748" s="13"/>
      <c r="H748" s="13"/>
      <c r="I748" s="13"/>
      <c r="J748" s="13"/>
      <c r="K748" s="185"/>
      <c r="L748" s="186"/>
      <c r="M748" s="13"/>
      <c r="N748" s="13"/>
      <c r="O748" s="185"/>
      <c r="P748" s="13"/>
      <c r="Q748" s="13"/>
      <c r="R748" s="177"/>
      <c r="S748" s="35"/>
      <c r="T748" s="35"/>
      <c r="U748" s="13"/>
      <c r="V748" s="13"/>
      <c r="W748" s="13"/>
      <c r="X748" s="13"/>
      <c r="Y748" s="13"/>
      <c r="Z748" s="13"/>
      <c r="AA748" s="13"/>
      <c r="AB748" s="13"/>
      <c r="AC748" s="13"/>
    </row>
    <row r="749" ht="16.5" customHeight="1">
      <c r="A749" s="13"/>
      <c r="B749" s="13"/>
      <c r="C749" s="13"/>
      <c r="D749" s="13"/>
      <c r="E749" s="13"/>
      <c r="F749" s="13"/>
      <c r="G749" s="13"/>
      <c r="H749" s="13"/>
      <c r="I749" s="13"/>
      <c r="J749" s="13"/>
      <c r="K749" s="185"/>
      <c r="L749" s="186"/>
      <c r="M749" s="13"/>
      <c r="N749" s="13"/>
      <c r="O749" s="185"/>
      <c r="P749" s="13"/>
      <c r="Q749" s="13"/>
      <c r="R749" s="177"/>
      <c r="S749" s="35"/>
      <c r="T749" s="35"/>
      <c r="U749" s="13"/>
      <c r="V749" s="13"/>
      <c r="W749" s="13"/>
      <c r="X749" s="13"/>
      <c r="Y749" s="13"/>
      <c r="Z749" s="13"/>
      <c r="AA749" s="13"/>
      <c r="AB749" s="13"/>
      <c r="AC749" s="13"/>
    </row>
    <row r="750" ht="16.5" customHeight="1">
      <c r="A750" s="13"/>
      <c r="B750" s="13"/>
      <c r="C750" s="13"/>
      <c r="D750" s="13"/>
      <c r="E750" s="13"/>
      <c r="F750" s="13"/>
      <c r="G750" s="13"/>
      <c r="H750" s="13"/>
      <c r="I750" s="13"/>
      <c r="J750" s="13"/>
      <c r="K750" s="185"/>
      <c r="L750" s="186"/>
      <c r="M750" s="13"/>
      <c r="N750" s="13"/>
      <c r="O750" s="185"/>
      <c r="P750" s="13"/>
      <c r="Q750" s="13"/>
      <c r="R750" s="177"/>
      <c r="S750" s="35"/>
      <c r="T750" s="35"/>
      <c r="U750" s="13"/>
      <c r="V750" s="13"/>
      <c r="W750" s="13"/>
      <c r="X750" s="13"/>
      <c r="Y750" s="13"/>
      <c r="Z750" s="13"/>
      <c r="AA750" s="13"/>
      <c r="AB750" s="13"/>
      <c r="AC750" s="13"/>
    </row>
    <row r="751" ht="16.5" customHeight="1">
      <c r="A751" s="13"/>
      <c r="B751" s="13"/>
      <c r="C751" s="13"/>
      <c r="D751" s="13"/>
      <c r="E751" s="13"/>
      <c r="F751" s="13"/>
      <c r="G751" s="13"/>
      <c r="H751" s="13"/>
      <c r="I751" s="13"/>
      <c r="J751" s="13"/>
      <c r="K751" s="185"/>
      <c r="L751" s="186"/>
      <c r="M751" s="13"/>
      <c r="N751" s="13"/>
      <c r="O751" s="185"/>
      <c r="P751" s="13"/>
      <c r="Q751" s="13"/>
      <c r="R751" s="177"/>
      <c r="S751" s="35"/>
      <c r="T751" s="35"/>
      <c r="U751" s="13"/>
      <c r="V751" s="13"/>
      <c r="W751" s="13"/>
      <c r="X751" s="13"/>
      <c r="Y751" s="13"/>
      <c r="Z751" s="13"/>
      <c r="AA751" s="13"/>
      <c r="AB751" s="13"/>
      <c r="AC751" s="13"/>
    </row>
    <row r="752" ht="16.5" customHeight="1">
      <c r="A752" s="13"/>
      <c r="B752" s="13"/>
      <c r="C752" s="13"/>
      <c r="D752" s="13"/>
      <c r="E752" s="13"/>
      <c r="F752" s="13"/>
      <c r="G752" s="13"/>
      <c r="H752" s="13"/>
      <c r="I752" s="13"/>
      <c r="J752" s="13"/>
      <c r="K752" s="185"/>
      <c r="L752" s="186"/>
      <c r="M752" s="13"/>
      <c r="N752" s="13"/>
      <c r="O752" s="185"/>
      <c r="P752" s="13"/>
      <c r="Q752" s="13"/>
      <c r="R752" s="177"/>
      <c r="S752" s="35"/>
      <c r="T752" s="35"/>
      <c r="U752" s="13"/>
      <c r="V752" s="13"/>
      <c r="W752" s="13"/>
      <c r="X752" s="13"/>
      <c r="Y752" s="13"/>
      <c r="Z752" s="13"/>
      <c r="AA752" s="13"/>
      <c r="AB752" s="13"/>
      <c r="AC752" s="13"/>
    </row>
    <row r="753" ht="16.5" customHeight="1">
      <c r="A753" s="13"/>
      <c r="B753" s="13"/>
      <c r="C753" s="13"/>
      <c r="D753" s="13"/>
      <c r="E753" s="13"/>
      <c r="F753" s="13"/>
      <c r="G753" s="13"/>
      <c r="H753" s="13"/>
      <c r="I753" s="13"/>
      <c r="J753" s="13"/>
      <c r="K753" s="185"/>
      <c r="L753" s="186"/>
      <c r="M753" s="13"/>
      <c r="N753" s="13"/>
      <c r="O753" s="185"/>
      <c r="P753" s="13"/>
      <c r="Q753" s="13"/>
      <c r="R753" s="177"/>
      <c r="S753" s="35"/>
      <c r="T753" s="35"/>
      <c r="U753" s="13"/>
      <c r="V753" s="13"/>
      <c r="W753" s="13"/>
      <c r="X753" s="13"/>
      <c r="Y753" s="13"/>
      <c r="Z753" s="13"/>
      <c r="AA753" s="13"/>
      <c r="AB753" s="13"/>
      <c r="AC753" s="13"/>
    </row>
    <row r="754" ht="16.5" customHeight="1">
      <c r="A754" s="13"/>
      <c r="B754" s="13"/>
      <c r="C754" s="13"/>
      <c r="D754" s="13"/>
      <c r="E754" s="13"/>
      <c r="F754" s="13"/>
      <c r="G754" s="13"/>
      <c r="H754" s="13"/>
      <c r="I754" s="13"/>
      <c r="J754" s="13"/>
      <c r="K754" s="185"/>
      <c r="L754" s="186"/>
      <c r="M754" s="13"/>
      <c r="N754" s="13"/>
      <c r="O754" s="185"/>
      <c r="P754" s="13"/>
      <c r="Q754" s="13"/>
      <c r="R754" s="177"/>
      <c r="S754" s="35"/>
      <c r="T754" s="35"/>
      <c r="U754" s="13"/>
      <c r="V754" s="13"/>
      <c r="W754" s="13"/>
      <c r="X754" s="13"/>
      <c r="Y754" s="13"/>
      <c r="Z754" s="13"/>
      <c r="AA754" s="13"/>
      <c r="AB754" s="13"/>
      <c r="AC754" s="13"/>
    </row>
    <row r="755" ht="16.5" customHeight="1">
      <c r="A755" s="13"/>
      <c r="B755" s="13"/>
      <c r="C755" s="13"/>
      <c r="D755" s="13"/>
      <c r="E755" s="13"/>
      <c r="F755" s="13"/>
      <c r="G755" s="13"/>
      <c r="H755" s="13"/>
      <c r="I755" s="13"/>
      <c r="J755" s="13"/>
      <c r="K755" s="185"/>
      <c r="L755" s="186"/>
      <c r="M755" s="13"/>
      <c r="N755" s="13"/>
      <c r="O755" s="185"/>
      <c r="P755" s="13"/>
      <c r="Q755" s="13"/>
      <c r="R755" s="177"/>
      <c r="S755" s="35"/>
      <c r="T755" s="35"/>
      <c r="U755" s="13"/>
      <c r="V755" s="13"/>
      <c r="W755" s="13"/>
      <c r="X755" s="13"/>
      <c r="Y755" s="13"/>
      <c r="Z755" s="13"/>
      <c r="AA755" s="13"/>
      <c r="AB755" s="13"/>
      <c r="AC755" s="13"/>
    </row>
    <row r="756" ht="16.5" customHeight="1">
      <c r="A756" s="13"/>
      <c r="B756" s="13"/>
      <c r="C756" s="13"/>
      <c r="D756" s="13"/>
      <c r="E756" s="13"/>
      <c r="F756" s="13"/>
      <c r="G756" s="13"/>
      <c r="H756" s="13"/>
      <c r="I756" s="13"/>
      <c r="J756" s="13"/>
      <c r="K756" s="185"/>
      <c r="L756" s="186"/>
      <c r="M756" s="13"/>
      <c r="N756" s="13"/>
      <c r="O756" s="185"/>
      <c r="P756" s="13"/>
      <c r="Q756" s="13"/>
      <c r="R756" s="177"/>
      <c r="S756" s="35"/>
      <c r="T756" s="35"/>
      <c r="U756" s="13"/>
      <c r="V756" s="13"/>
      <c r="W756" s="13"/>
      <c r="X756" s="13"/>
      <c r="Y756" s="13"/>
      <c r="Z756" s="13"/>
      <c r="AA756" s="13"/>
      <c r="AB756" s="13"/>
      <c r="AC756" s="13"/>
    </row>
    <row r="757" ht="16.5" customHeight="1">
      <c r="A757" s="13"/>
      <c r="B757" s="13"/>
      <c r="C757" s="13"/>
      <c r="D757" s="13"/>
      <c r="E757" s="13"/>
      <c r="F757" s="13"/>
      <c r="G757" s="13"/>
      <c r="H757" s="13"/>
      <c r="I757" s="13"/>
      <c r="J757" s="13"/>
      <c r="K757" s="185"/>
      <c r="L757" s="186"/>
      <c r="M757" s="13"/>
      <c r="N757" s="13"/>
      <c r="O757" s="185"/>
      <c r="P757" s="13"/>
      <c r="Q757" s="13"/>
      <c r="R757" s="177"/>
      <c r="S757" s="35"/>
      <c r="T757" s="35"/>
      <c r="U757" s="13"/>
      <c r="V757" s="13"/>
      <c r="W757" s="13"/>
      <c r="X757" s="13"/>
      <c r="Y757" s="13"/>
      <c r="Z757" s="13"/>
      <c r="AA757" s="13"/>
      <c r="AB757" s="13"/>
      <c r="AC757" s="13"/>
    </row>
    <row r="758" ht="16.5" customHeight="1">
      <c r="A758" s="13"/>
      <c r="B758" s="13"/>
      <c r="C758" s="13"/>
      <c r="D758" s="13"/>
      <c r="E758" s="13"/>
      <c r="F758" s="13"/>
      <c r="G758" s="13"/>
      <c r="H758" s="13"/>
      <c r="I758" s="13"/>
      <c r="J758" s="13"/>
      <c r="K758" s="185"/>
      <c r="L758" s="186"/>
      <c r="M758" s="13"/>
      <c r="N758" s="13"/>
      <c r="O758" s="185"/>
      <c r="P758" s="13"/>
      <c r="Q758" s="13"/>
      <c r="R758" s="177"/>
      <c r="S758" s="35"/>
      <c r="T758" s="35"/>
      <c r="U758" s="13"/>
      <c r="V758" s="13"/>
      <c r="W758" s="13"/>
      <c r="X758" s="13"/>
      <c r="Y758" s="13"/>
      <c r="Z758" s="13"/>
      <c r="AA758" s="13"/>
      <c r="AB758" s="13"/>
      <c r="AC758" s="13"/>
    </row>
    <row r="759" ht="16.5" customHeight="1">
      <c r="A759" s="13"/>
      <c r="B759" s="13"/>
      <c r="C759" s="13"/>
      <c r="D759" s="13"/>
      <c r="E759" s="13"/>
      <c r="F759" s="13"/>
      <c r="G759" s="13"/>
      <c r="H759" s="13"/>
      <c r="I759" s="13"/>
      <c r="J759" s="13"/>
      <c r="K759" s="185"/>
      <c r="L759" s="186"/>
      <c r="M759" s="13"/>
      <c r="N759" s="13"/>
      <c r="O759" s="185"/>
      <c r="P759" s="13"/>
      <c r="Q759" s="13"/>
      <c r="R759" s="177"/>
      <c r="S759" s="35"/>
      <c r="T759" s="35"/>
      <c r="U759" s="13"/>
      <c r="V759" s="13"/>
      <c r="W759" s="13"/>
      <c r="X759" s="13"/>
      <c r="Y759" s="13"/>
      <c r="Z759" s="13"/>
      <c r="AA759" s="13"/>
      <c r="AB759" s="13"/>
      <c r="AC759" s="13"/>
    </row>
    <row r="760" ht="16.5" customHeight="1">
      <c r="A760" s="13"/>
      <c r="B760" s="13"/>
      <c r="C760" s="13"/>
      <c r="D760" s="13"/>
      <c r="E760" s="13"/>
      <c r="F760" s="13"/>
      <c r="G760" s="13"/>
      <c r="H760" s="13"/>
      <c r="I760" s="13"/>
      <c r="J760" s="13"/>
      <c r="K760" s="185"/>
      <c r="L760" s="186"/>
      <c r="M760" s="13"/>
      <c r="N760" s="13"/>
      <c r="O760" s="185"/>
      <c r="P760" s="13"/>
      <c r="Q760" s="13"/>
      <c r="R760" s="177"/>
      <c r="S760" s="35"/>
      <c r="T760" s="35"/>
      <c r="U760" s="13"/>
      <c r="V760" s="13"/>
      <c r="W760" s="13"/>
      <c r="X760" s="13"/>
      <c r="Y760" s="13"/>
      <c r="Z760" s="13"/>
      <c r="AA760" s="13"/>
      <c r="AB760" s="13"/>
      <c r="AC760" s="13"/>
    </row>
    <row r="761" ht="16.5" customHeight="1">
      <c r="A761" s="13"/>
      <c r="B761" s="13"/>
      <c r="C761" s="13"/>
      <c r="D761" s="13"/>
      <c r="E761" s="13"/>
      <c r="F761" s="13"/>
      <c r="G761" s="13"/>
      <c r="H761" s="13"/>
      <c r="I761" s="13"/>
      <c r="J761" s="13"/>
      <c r="K761" s="185"/>
      <c r="L761" s="186"/>
      <c r="M761" s="13"/>
      <c r="N761" s="13"/>
      <c r="O761" s="185"/>
      <c r="P761" s="13"/>
      <c r="Q761" s="13"/>
      <c r="R761" s="177"/>
      <c r="S761" s="35"/>
      <c r="T761" s="35"/>
      <c r="U761" s="13"/>
      <c r="V761" s="13"/>
      <c r="W761" s="13"/>
      <c r="X761" s="13"/>
      <c r="Y761" s="13"/>
      <c r="Z761" s="13"/>
      <c r="AA761" s="13"/>
      <c r="AB761" s="13"/>
      <c r="AC761" s="13"/>
    </row>
    <row r="762" ht="16.5" customHeight="1">
      <c r="A762" s="13"/>
      <c r="B762" s="13"/>
      <c r="C762" s="13"/>
      <c r="D762" s="13"/>
      <c r="E762" s="13"/>
      <c r="F762" s="13"/>
      <c r="G762" s="13"/>
      <c r="H762" s="13"/>
      <c r="I762" s="13"/>
      <c r="J762" s="13"/>
      <c r="K762" s="185"/>
      <c r="L762" s="186"/>
      <c r="M762" s="13"/>
      <c r="N762" s="13"/>
      <c r="O762" s="185"/>
      <c r="P762" s="13"/>
      <c r="Q762" s="13"/>
      <c r="R762" s="177"/>
      <c r="S762" s="35"/>
      <c r="T762" s="35"/>
      <c r="U762" s="13"/>
      <c r="V762" s="13"/>
      <c r="W762" s="13"/>
      <c r="X762" s="13"/>
      <c r="Y762" s="13"/>
      <c r="Z762" s="13"/>
      <c r="AA762" s="13"/>
      <c r="AB762" s="13"/>
      <c r="AC762" s="13"/>
    </row>
    <row r="763" ht="16.5" customHeight="1">
      <c r="A763" s="13"/>
      <c r="B763" s="13"/>
      <c r="C763" s="13"/>
      <c r="D763" s="13"/>
      <c r="E763" s="13"/>
      <c r="F763" s="13"/>
      <c r="G763" s="13"/>
      <c r="H763" s="13"/>
      <c r="I763" s="13"/>
      <c r="J763" s="13"/>
      <c r="K763" s="185"/>
      <c r="L763" s="186"/>
      <c r="M763" s="13"/>
      <c r="N763" s="13"/>
      <c r="O763" s="185"/>
      <c r="P763" s="13"/>
      <c r="Q763" s="13"/>
      <c r="R763" s="177"/>
      <c r="S763" s="35"/>
      <c r="T763" s="35"/>
      <c r="U763" s="13"/>
      <c r="V763" s="13"/>
      <c r="W763" s="13"/>
      <c r="X763" s="13"/>
      <c r="Y763" s="13"/>
      <c r="Z763" s="13"/>
      <c r="AA763" s="13"/>
      <c r="AB763" s="13"/>
      <c r="AC763" s="13"/>
    </row>
    <row r="764" ht="16.5" customHeight="1">
      <c r="A764" s="13"/>
      <c r="B764" s="13"/>
      <c r="C764" s="13"/>
      <c r="D764" s="13"/>
      <c r="E764" s="13"/>
      <c r="F764" s="13"/>
      <c r="G764" s="13"/>
      <c r="H764" s="13"/>
      <c r="I764" s="13"/>
      <c r="J764" s="13"/>
      <c r="K764" s="185"/>
      <c r="L764" s="186"/>
      <c r="M764" s="13"/>
      <c r="N764" s="13"/>
      <c r="O764" s="185"/>
      <c r="P764" s="13"/>
      <c r="Q764" s="13"/>
      <c r="R764" s="177"/>
      <c r="S764" s="35"/>
      <c r="T764" s="35"/>
      <c r="U764" s="13"/>
      <c r="V764" s="13"/>
      <c r="W764" s="13"/>
      <c r="X764" s="13"/>
      <c r="Y764" s="13"/>
      <c r="Z764" s="13"/>
      <c r="AA764" s="13"/>
      <c r="AB764" s="13"/>
      <c r="AC764" s="13"/>
    </row>
    <row r="765" ht="16.5" customHeight="1">
      <c r="A765" s="13"/>
      <c r="B765" s="13"/>
      <c r="C765" s="13"/>
      <c r="D765" s="13"/>
      <c r="E765" s="13"/>
      <c r="F765" s="13"/>
      <c r="G765" s="13"/>
      <c r="H765" s="13"/>
      <c r="I765" s="13"/>
      <c r="J765" s="13"/>
      <c r="K765" s="185"/>
      <c r="L765" s="186"/>
      <c r="M765" s="13"/>
      <c r="N765" s="13"/>
      <c r="O765" s="185"/>
      <c r="P765" s="13"/>
      <c r="Q765" s="13"/>
      <c r="R765" s="177"/>
      <c r="S765" s="35"/>
      <c r="T765" s="35"/>
      <c r="U765" s="13"/>
      <c r="V765" s="13"/>
      <c r="W765" s="13"/>
      <c r="X765" s="13"/>
      <c r="Y765" s="13"/>
      <c r="Z765" s="13"/>
      <c r="AA765" s="13"/>
      <c r="AB765" s="13"/>
      <c r="AC765" s="13"/>
    </row>
    <row r="766" ht="16.5" customHeight="1">
      <c r="A766" s="13"/>
      <c r="B766" s="13"/>
      <c r="C766" s="13"/>
      <c r="D766" s="13"/>
      <c r="E766" s="13"/>
      <c r="F766" s="13"/>
      <c r="G766" s="13"/>
      <c r="H766" s="13"/>
      <c r="I766" s="13"/>
      <c r="J766" s="13"/>
      <c r="K766" s="185"/>
      <c r="L766" s="186"/>
      <c r="M766" s="13"/>
      <c r="N766" s="13"/>
      <c r="O766" s="185"/>
      <c r="P766" s="13"/>
      <c r="Q766" s="13"/>
      <c r="R766" s="177"/>
      <c r="S766" s="35"/>
      <c r="T766" s="35"/>
      <c r="U766" s="13"/>
      <c r="V766" s="13"/>
      <c r="W766" s="13"/>
      <c r="X766" s="13"/>
      <c r="Y766" s="13"/>
      <c r="Z766" s="13"/>
      <c r="AA766" s="13"/>
      <c r="AB766" s="13"/>
      <c r="AC766" s="13"/>
    </row>
    <row r="767" ht="16.5" customHeight="1">
      <c r="A767" s="13"/>
      <c r="B767" s="13"/>
      <c r="C767" s="13"/>
      <c r="D767" s="13"/>
      <c r="E767" s="13"/>
      <c r="F767" s="13"/>
      <c r="G767" s="13"/>
      <c r="H767" s="13"/>
      <c r="I767" s="13"/>
      <c r="J767" s="13"/>
      <c r="K767" s="185"/>
      <c r="L767" s="186"/>
      <c r="M767" s="13"/>
      <c r="N767" s="13"/>
      <c r="O767" s="185"/>
      <c r="P767" s="13"/>
      <c r="Q767" s="13"/>
      <c r="R767" s="177"/>
      <c r="S767" s="35"/>
      <c r="T767" s="35"/>
      <c r="U767" s="13"/>
      <c r="V767" s="13"/>
      <c r="W767" s="13"/>
      <c r="X767" s="13"/>
      <c r="Y767" s="13"/>
      <c r="Z767" s="13"/>
      <c r="AA767" s="13"/>
      <c r="AB767" s="13"/>
      <c r="AC767" s="13"/>
    </row>
    <row r="768" ht="16.5" customHeight="1">
      <c r="A768" s="13"/>
      <c r="B768" s="13"/>
      <c r="C768" s="13"/>
      <c r="D768" s="13"/>
      <c r="E768" s="13"/>
      <c r="F768" s="13"/>
      <c r="G768" s="13"/>
      <c r="H768" s="13"/>
      <c r="I768" s="13"/>
      <c r="J768" s="13"/>
      <c r="K768" s="185"/>
      <c r="L768" s="186"/>
      <c r="M768" s="13"/>
      <c r="N768" s="13"/>
      <c r="O768" s="185"/>
      <c r="P768" s="13"/>
      <c r="Q768" s="13"/>
      <c r="R768" s="177"/>
      <c r="S768" s="35"/>
      <c r="T768" s="35"/>
      <c r="U768" s="13"/>
      <c r="V768" s="13"/>
      <c r="W768" s="13"/>
      <c r="X768" s="13"/>
      <c r="Y768" s="13"/>
      <c r="Z768" s="13"/>
      <c r="AA768" s="13"/>
      <c r="AB768" s="13"/>
      <c r="AC768" s="13"/>
    </row>
    <row r="769" ht="16.5" customHeight="1">
      <c r="A769" s="13"/>
      <c r="B769" s="13"/>
      <c r="C769" s="13"/>
      <c r="D769" s="13"/>
      <c r="E769" s="13"/>
      <c r="F769" s="13"/>
      <c r="G769" s="13"/>
      <c r="H769" s="13"/>
      <c r="I769" s="13"/>
      <c r="J769" s="13"/>
      <c r="K769" s="185"/>
      <c r="L769" s="186"/>
      <c r="M769" s="13"/>
      <c r="N769" s="13"/>
      <c r="O769" s="185"/>
      <c r="P769" s="13"/>
      <c r="Q769" s="13"/>
      <c r="R769" s="177"/>
      <c r="S769" s="35"/>
      <c r="T769" s="35"/>
      <c r="U769" s="13"/>
      <c r="V769" s="13"/>
      <c r="W769" s="13"/>
      <c r="X769" s="13"/>
      <c r="Y769" s="13"/>
      <c r="Z769" s="13"/>
      <c r="AA769" s="13"/>
      <c r="AB769" s="13"/>
      <c r="AC769" s="13"/>
    </row>
    <row r="770" ht="16.5" customHeight="1">
      <c r="A770" s="13"/>
      <c r="B770" s="13"/>
      <c r="C770" s="13"/>
      <c r="D770" s="13"/>
      <c r="E770" s="13"/>
      <c r="F770" s="13"/>
      <c r="G770" s="13"/>
      <c r="H770" s="13"/>
      <c r="I770" s="13"/>
      <c r="J770" s="13"/>
      <c r="K770" s="185"/>
      <c r="L770" s="186"/>
      <c r="M770" s="13"/>
      <c r="N770" s="13"/>
      <c r="O770" s="185"/>
      <c r="P770" s="13"/>
      <c r="Q770" s="13"/>
      <c r="R770" s="177"/>
      <c r="S770" s="35"/>
      <c r="T770" s="35"/>
      <c r="U770" s="13"/>
      <c r="V770" s="13"/>
      <c r="W770" s="13"/>
      <c r="X770" s="13"/>
      <c r="Y770" s="13"/>
      <c r="Z770" s="13"/>
      <c r="AA770" s="13"/>
      <c r="AB770" s="13"/>
      <c r="AC770" s="13"/>
    </row>
    <row r="771" ht="16.5" customHeight="1">
      <c r="A771" s="13"/>
      <c r="B771" s="13"/>
      <c r="C771" s="13"/>
      <c r="D771" s="13"/>
      <c r="E771" s="13"/>
      <c r="F771" s="13"/>
      <c r="G771" s="13"/>
      <c r="H771" s="13"/>
      <c r="I771" s="13"/>
      <c r="J771" s="13"/>
      <c r="K771" s="185"/>
      <c r="L771" s="186"/>
      <c r="M771" s="13"/>
      <c r="N771" s="13"/>
      <c r="O771" s="185"/>
      <c r="P771" s="13"/>
      <c r="Q771" s="13"/>
      <c r="R771" s="177"/>
      <c r="S771" s="35"/>
      <c r="T771" s="35"/>
      <c r="U771" s="13"/>
      <c r="V771" s="13"/>
      <c r="W771" s="13"/>
      <c r="X771" s="13"/>
      <c r="Y771" s="13"/>
      <c r="Z771" s="13"/>
      <c r="AA771" s="13"/>
      <c r="AB771" s="13"/>
      <c r="AC771" s="13"/>
    </row>
    <row r="772" ht="16.5" customHeight="1">
      <c r="A772" s="13"/>
      <c r="B772" s="13"/>
      <c r="C772" s="13"/>
      <c r="D772" s="13"/>
      <c r="E772" s="13"/>
      <c r="F772" s="13"/>
      <c r="G772" s="13"/>
      <c r="H772" s="13"/>
      <c r="I772" s="13"/>
      <c r="J772" s="13"/>
      <c r="K772" s="185"/>
      <c r="L772" s="186"/>
      <c r="M772" s="13"/>
      <c r="N772" s="13"/>
      <c r="O772" s="185"/>
      <c r="P772" s="13"/>
      <c r="Q772" s="13"/>
      <c r="R772" s="177"/>
      <c r="S772" s="35"/>
      <c r="T772" s="35"/>
      <c r="U772" s="13"/>
      <c r="V772" s="13"/>
      <c r="W772" s="13"/>
      <c r="X772" s="13"/>
      <c r="Y772" s="13"/>
      <c r="Z772" s="13"/>
      <c r="AA772" s="13"/>
      <c r="AB772" s="13"/>
      <c r="AC772" s="13"/>
    </row>
    <row r="773" ht="16.5" customHeight="1">
      <c r="A773" s="13"/>
      <c r="B773" s="13"/>
      <c r="C773" s="13"/>
      <c r="D773" s="13"/>
      <c r="E773" s="13"/>
      <c r="F773" s="13"/>
      <c r="G773" s="13"/>
      <c r="H773" s="13"/>
      <c r="I773" s="13"/>
      <c r="J773" s="13"/>
      <c r="K773" s="185"/>
      <c r="L773" s="186"/>
      <c r="M773" s="13"/>
      <c r="N773" s="13"/>
      <c r="O773" s="185"/>
      <c r="P773" s="13"/>
      <c r="Q773" s="13"/>
      <c r="R773" s="177"/>
      <c r="S773" s="35"/>
      <c r="T773" s="35"/>
      <c r="U773" s="13"/>
      <c r="V773" s="13"/>
      <c r="W773" s="13"/>
      <c r="X773" s="13"/>
      <c r="Y773" s="13"/>
      <c r="Z773" s="13"/>
      <c r="AA773" s="13"/>
      <c r="AB773" s="13"/>
      <c r="AC773" s="13"/>
    </row>
    <row r="774" ht="16.5" customHeight="1">
      <c r="A774" s="13"/>
      <c r="B774" s="13"/>
      <c r="C774" s="13"/>
      <c r="D774" s="13"/>
      <c r="E774" s="13"/>
      <c r="F774" s="13"/>
      <c r="G774" s="13"/>
      <c r="H774" s="13"/>
      <c r="I774" s="13"/>
      <c r="J774" s="13"/>
      <c r="K774" s="185"/>
      <c r="L774" s="186"/>
      <c r="M774" s="13"/>
      <c r="N774" s="13"/>
      <c r="O774" s="185"/>
      <c r="P774" s="13"/>
      <c r="Q774" s="13"/>
      <c r="R774" s="177"/>
      <c r="S774" s="35"/>
      <c r="T774" s="35"/>
      <c r="U774" s="13"/>
      <c r="V774" s="13"/>
      <c r="W774" s="13"/>
      <c r="X774" s="13"/>
      <c r="Y774" s="13"/>
      <c r="Z774" s="13"/>
      <c r="AA774" s="13"/>
      <c r="AB774" s="13"/>
      <c r="AC774" s="13"/>
    </row>
    <row r="775" ht="16.5" customHeight="1">
      <c r="A775" s="13"/>
      <c r="B775" s="13"/>
      <c r="C775" s="13"/>
      <c r="D775" s="13"/>
      <c r="E775" s="13"/>
      <c r="F775" s="13"/>
      <c r="G775" s="13"/>
      <c r="H775" s="13"/>
      <c r="I775" s="13"/>
      <c r="J775" s="13"/>
      <c r="K775" s="185"/>
      <c r="L775" s="186"/>
      <c r="M775" s="13"/>
      <c r="N775" s="13"/>
      <c r="O775" s="185"/>
      <c r="P775" s="13"/>
      <c r="Q775" s="13"/>
      <c r="R775" s="177"/>
      <c r="S775" s="35"/>
      <c r="T775" s="35"/>
      <c r="U775" s="13"/>
      <c r="V775" s="13"/>
      <c r="W775" s="13"/>
      <c r="X775" s="13"/>
      <c r="Y775" s="13"/>
      <c r="Z775" s="13"/>
      <c r="AA775" s="13"/>
      <c r="AB775" s="13"/>
      <c r="AC775" s="13"/>
    </row>
    <row r="776" ht="16.5" customHeight="1">
      <c r="A776" s="13"/>
      <c r="B776" s="13"/>
      <c r="C776" s="13"/>
      <c r="D776" s="13"/>
      <c r="E776" s="13"/>
      <c r="F776" s="13"/>
      <c r="G776" s="13"/>
      <c r="H776" s="13"/>
      <c r="I776" s="13"/>
      <c r="J776" s="13"/>
      <c r="K776" s="185"/>
      <c r="L776" s="186"/>
      <c r="M776" s="13"/>
      <c r="N776" s="13"/>
      <c r="O776" s="185"/>
      <c r="P776" s="13"/>
      <c r="Q776" s="13"/>
      <c r="R776" s="177"/>
      <c r="S776" s="35"/>
      <c r="T776" s="35"/>
      <c r="U776" s="13"/>
      <c r="V776" s="13"/>
      <c r="W776" s="13"/>
      <c r="X776" s="13"/>
      <c r="Y776" s="13"/>
      <c r="Z776" s="13"/>
      <c r="AA776" s="13"/>
      <c r="AB776" s="13"/>
      <c r="AC776" s="13"/>
    </row>
    <row r="777" ht="16.5" customHeight="1">
      <c r="A777" s="13"/>
      <c r="B777" s="13"/>
      <c r="C777" s="13"/>
      <c r="D777" s="13"/>
      <c r="E777" s="13"/>
      <c r="F777" s="13"/>
      <c r="G777" s="13"/>
      <c r="H777" s="13"/>
      <c r="I777" s="13"/>
      <c r="J777" s="13"/>
      <c r="K777" s="185"/>
      <c r="L777" s="186"/>
      <c r="M777" s="13"/>
      <c r="N777" s="13"/>
      <c r="O777" s="185"/>
      <c r="P777" s="13"/>
      <c r="Q777" s="13"/>
      <c r="R777" s="177"/>
      <c r="S777" s="35"/>
      <c r="T777" s="35"/>
      <c r="U777" s="13"/>
      <c r="V777" s="13"/>
      <c r="W777" s="13"/>
      <c r="X777" s="13"/>
      <c r="Y777" s="13"/>
      <c r="Z777" s="13"/>
      <c r="AA777" s="13"/>
      <c r="AB777" s="13"/>
      <c r="AC777" s="13"/>
    </row>
    <row r="778" ht="16.5" customHeight="1">
      <c r="A778" s="13"/>
      <c r="B778" s="13"/>
      <c r="C778" s="13"/>
      <c r="D778" s="13"/>
      <c r="E778" s="13"/>
      <c r="F778" s="13"/>
      <c r="G778" s="13"/>
      <c r="H778" s="13"/>
      <c r="I778" s="13"/>
      <c r="J778" s="13"/>
      <c r="K778" s="185"/>
      <c r="L778" s="186"/>
      <c r="M778" s="13"/>
      <c r="N778" s="13"/>
      <c r="O778" s="185"/>
      <c r="P778" s="13"/>
      <c r="Q778" s="13"/>
      <c r="R778" s="177"/>
      <c r="S778" s="35"/>
      <c r="T778" s="35"/>
      <c r="U778" s="13"/>
      <c r="V778" s="13"/>
      <c r="W778" s="13"/>
      <c r="X778" s="13"/>
      <c r="Y778" s="13"/>
      <c r="Z778" s="13"/>
      <c r="AA778" s="13"/>
      <c r="AB778" s="13"/>
      <c r="AC778" s="13"/>
    </row>
    <row r="779" ht="16.5" customHeight="1">
      <c r="A779" s="13"/>
      <c r="B779" s="13"/>
      <c r="C779" s="13"/>
      <c r="D779" s="13"/>
      <c r="E779" s="13"/>
      <c r="F779" s="13"/>
      <c r="G779" s="13"/>
      <c r="H779" s="13"/>
      <c r="I779" s="13"/>
      <c r="J779" s="13"/>
      <c r="K779" s="185"/>
      <c r="L779" s="186"/>
      <c r="M779" s="13"/>
      <c r="N779" s="13"/>
      <c r="O779" s="185"/>
      <c r="P779" s="13"/>
      <c r="Q779" s="13"/>
      <c r="R779" s="177"/>
      <c r="S779" s="35"/>
      <c r="T779" s="35"/>
      <c r="U779" s="13"/>
      <c r="V779" s="13"/>
      <c r="W779" s="13"/>
      <c r="X779" s="13"/>
      <c r="Y779" s="13"/>
      <c r="Z779" s="13"/>
      <c r="AA779" s="13"/>
      <c r="AB779" s="13"/>
      <c r="AC779" s="13"/>
    </row>
    <row r="780" ht="16.5" customHeight="1">
      <c r="A780" s="13"/>
      <c r="B780" s="13"/>
      <c r="C780" s="13"/>
      <c r="D780" s="13"/>
      <c r="E780" s="13"/>
      <c r="F780" s="13"/>
      <c r="G780" s="13"/>
      <c r="H780" s="13"/>
      <c r="I780" s="13"/>
      <c r="J780" s="13"/>
      <c r="K780" s="185"/>
      <c r="L780" s="186"/>
      <c r="M780" s="13"/>
      <c r="N780" s="13"/>
      <c r="O780" s="185"/>
      <c r="P780" s="13"/>
      <c r="Q780" s="13"/>
      <c r="R780" s="177"/>
      <c r="S780" s="35"/>
      <c r="T780" s="35"/>
      <c r="U780" s="13"/>
      <c r="V780" s="13"/>
      <c r="W780" s="13"/>
      <c r="X780" s="13"/>
      <c r="Y780" s="13"/>
      <c r="Z780" s="13"/>
      <c r="AA780" s="13"/>
      <c r="AB780" s="13"/>
      <c r="AC780" s="13"/>
    </row>
    <row r="781" ht="16.5" customHeight="1">
      <c r="A781" s="13"/>
      <c r="B781" s="13"/>
      <c r="C781" s="13"/>
      <c r="D781" s="13"/>
      <c r="E781" s="13"/>
      <c r="F781" s="13"/>
      <c r="G781" s="13"/>
      <c r="H781" s="13"/>
      <c r="I781" s="13"/>
      <c r="J781" s="13"/>
      <c r="K781" s="185"/>
      <c r="L781" s="186"/>
      <c r="M781" s="13"/>
      <c r="N781" s="13"/>
      <c r="O781" s="185"/>
      <c r="P781" s="13"/>
      <c r="Q781" s="13"/>
      <c r="R781" s="177"/>
      <c r="S781" s="35"/>
      <c r="T781" s="35"/>
      <c r="U781" s="13"/>
      <c r="V781" s="13"/>
      <c r="W781" s="13"/>
      <c r="X781" s="13"/>
      <c r="Y781" s="13"/>
      <c r="Z781" s="13"/>
      <c r="AA781" s="13"/>
      <c r="AB781" s="13"/>
      <c r="AC781" s="13"/>
    </row>
    <row r="782" ht="16.5" customHeight="1">
      <c r="A782" s="13"/>
      <c r="B782" s="13"/>
      <c r="C782" s="13"/>
      <c r="D782" s="13"/>
      <c r="E782" s="13"/>
      <c r="F782" s="13"/>
      <c r="G782" s="13"/>
      <c r="H782" s="13"/>
      <c r="I782" s="13"/>
      <c r="J782" s="13"/>
      <c r="K782" s="185"/>
      <c r="L782" s="186"/>
      <c r="M782" s="13"/>
      <c r="N782" s="13"/>
      <c r="O782" s="185"/>
      <c r="P782" s="13"/>
      <c r="Q782" s="13"/>
      <c r="R782" s="177"/>
      <c r="S782" s="35"/>
      <c r="T782" s="35"/>
      <c r="U782" s="13"/>
      <c r="V782" s="13"/>
      <c r="W782" s="13"/>
      <c r="X782" s="13"/>
      <c r="Y782" s="13"/>
      <c r="Z782" s="13"/>
      <c r="AA782" s="13"/>
      <c r="AB782" s="13"/>
      <c r="AC782" s="13"/>
    </row>
    <row r="783" ht="16.5" customHeight="1">
      <c r="A783" s="13"/>
      <c r="B783" s="13"/>
      <c r="C783" s="13"/>
      <c r="D783" s="13"/>
      <c r="E783" s="13"/>
      <c r="F783" s="13"/>
      <c r="G783" s="13"/>
      <c r="H783" s="13"/>
      <c r="I783" s="13"/>
      <c r="J783" s="13"/>
      <c r="K783" s="185"/>
      <c r="L783" s="186"/>
      <c r="M783" s="13"/>
      <c r="N783" s="13"/>
      <c r="O783" s="185"/>
      <c r="P783" s="13"/>
      <c r="Q783" s="13"/>
      <c r="R783" s="177"/>
      <c r="S783" s="35"/>
      <c r="T783" s="35"/>
      <c r="U783" s="13"/>
      <c r="V783" s="13"/>
      <c r="W783" s="13"/>
      <c r="X783" s="13"/>
      <c r="Y783" s="13"/>
      <c r="Z783" s="13"/>
      <c r="AA783" s="13"/>
      <c r="AB783" s="13"/>
      <c r="AC783" s="13"/>
    </row>
    <row r="784" ht="16.5" customHeight="1">
      <c r="A784" s="13"/>
      <c r="B784" s="13"/>
      <c r="C784" s="13"/>
      <c r="D784" s="13"/>
      <c r="E784" s="13"/>
      <c r="F784" s="13"/>
      <c r="G784" s="13"/>
      <c r="H784" s="13"/>
      <c r="I784" s="13"/>
      <c r="J784" s="13"/>
      <c r="K784" s="185"/>
      <c r="L784" s="186"/>
      <c r="M784" s="13"/>
      <c r="N784" s="13"/>
      <c r="O784" s="185"/>
      <c r="P784" s="13"/>
      <c r="Q784" s="13"/>
      <c r="R784" s="177"/>
      <c r="S784" s="35"/>
      <c r="T784" s="35"/>
      <c r="U784" s="13"/>
      <c r="V784" s="13"/>
      <c r="W784" s="13"/>
      <c r="X784" s="13"/>
      <c r="Y784" s="13"/>
      <c r="Z784" s="13"/>
      <c r="AA784" s="13"/>
      <c r="AB784" s="13"/>
      <c r="AC784" s="13"/>
    </row>
    <row r="785" ht="16.5" customHeight="1">
      <c r="A785" s="13"/>
      <c r="B785" s="13"/>
      <c r="C785" s="13"/>
      <c r="D785" s="13"/>
      <c r="E785" s="13"/>
      <c r="F785" s="13"/>
      <c r="G785" s="13"/>
      <c r="H785" s="13"/>
      <c r="I785" s="13"/>
      <c r="J785" s="13"/>
      <c r="K785" s="185"/>
      <c r="L785" s="186"/>
      <c r="M785" s="13"/>
      <c r="N785" s="13"/>
      <c r="O785" s="185"/>
      <c r="P785" s="13"/>
      <c r="Q785" s="13"/>
      <c r="R785" s="177"/>
      <c r="S785" s="35"/>
      <c r="T785" s="35"/>
      <c r="U785" s="13"/>
      <c r="V785" s="13"/>
      <c r="W785" s="13"/>
      <c r="X785" s="13"/>
      <c r="Y785" s="13"/>
      <c r="Z785" s="13"/>
      <c r="AA785" s="13"/>
      <c r="AB785" s="13"/>
      <c r="AC785" s="13"/>
    </row>
    <row r="786" ht="16.5" customHeight="1">
      <c r="A786" s="13"/>
      <c r="B786" s="13"/>
      <c r="C786" s="13"/>
      <c r="D786" s="13"/>
      <c r="E786" s="13"/>
      <c r="F786" s="13"/>
      <c r="G786" s="13"/>
      <c r="H786" s="13"/>
      <c r="I786" s="13"/>
      <c r="J786" s="13"/>
      <c r="K786" s="185"/>
      <c r="L786" s="186"/>
      <c r="M786" s="13"/>
      <c r="N786" s="13"/>
      <c r="O786" s="185"/>
      <c r="P786" s="13"/>
      <c r="Q786" s="13"/>
      <c r="R786" s="177"/>
      <c r="S786" s="35"/>
      <c r="T786" s="35"/>
      <c r="U786" s="13"/>
      <c r="V786" s="13"/>
      <c r="W786" s="13"/>
      <c r="X786" s="13"/>
      <c r="Y786" s="13"/>
      <c r="Z786" s="13"/>
      <c r="AA786" s="13"/>
      <c r="AB786" s="13"/>
      <c r="AC786" s="13"/>
    </row>
    <row r="787" ht="16.5" customHeight="1">
      <c r="A787" s="13"/>
      <c r="B787" s="13"/>
      <c r="C787" s="13"/>
      <c r="D787" s="13"/>
      <c r="E787" s="13"/>
      <c r="F787" s="13"/>
      <c r="G787" s="13"/>
      <c r="H787" s="13"/>
      <c r="I787" s="13"/>
      <c r="J787" s="13"/>
      <c r="K787" s="185"/>
      <c r="L787" s="186"/>
      <c r="M787" s="13"/>
      <c r="N787" s="13"/>
      <c r="O787" s="185"/>
      <c r="P787" s="13"/>
      <c r="Q787" s="13"/>
      <c r="R787" s="177"/>
      <c r="S787" s="35"/>
      <c r="T787" s="35"/>
      <c r="U787" s="13"/>
      <c r="V787" s="13"/>
      <c r="W787" s="13"/>
      <c r="X787" s="13"/>
      <c r="Y787" s="13"/>
      <c r="Z787" s="13"/>
      <c r="AA787" s="13"/>
      <c r="AB787" s="13"/>
      <c r="AC787" s="13"/>
    </row>
    <row r="788" ht="16.5" customHeight="1">
      <c r="A788" s="13"/>
      <c r="B788" s="13"/>
      <c r="C788" s="13"/>
      <c r="D788" s="13"/>
      <c r="E788" s="13"/>
      <c r="F788" s="13"/>
      <c r="G788" s="13"/>
      <c r="H788" s="13"/>
      <c r="I788" s="13"/>
      <c r="J788" s="13"/>
      <c r="K788" s="185"/>
      <c r="L788" s="186"/>
      <c r="M788" s="13"/>
      <c r="N788" s="13"/>
      <c r="O788" s="185"/>
      <c r="P788" s="13"/>
      <c r="Q788" s="13"/>
      <c r="R788" s="177"/>
      <c r="S788" s="35"/>
      <c r="T788" s="35"/>
      <c r="U788" s="13"/>
      <c r="V788" s="13"/>
      <c r="W788" s="13"/>
      <c r="X788" s="13"/>
      <c r="Y788" s="13"/>
      <c r="Z788" s="13"/>
      <c r="AA788" s="13"/>
      <c r="AB788" s="13"/>
      <c r="AC788" s="13"/>
    </row>
    <row r="789" ht="16.5" customHeight="1">
      <c r="A789" s="13"/>
      <c r="B789" s="13"/>
      <c r="C789" s="13"/>
      <c r="D789" s="13"/>
      <c r="E789" s="13"/>
      <c r="F789" s="13"/>
      <c r="G789" s="13"/>
      <c r="H789" s="13"/>
      <c r="I789" s="13"/>
      <c r="J789" s="13"/>
      <c r="K789" s="185"/>
      <c r="L789" s="186"/>
      <c r="M789" s="13"/>
      <c r="N789" s="13"/>
      <c r="O789" s="185"/>
      <c r="P789" s="13"/>
      <c r="Q789" s="13"/>
      <c r="R789" s="177"/>
      <c r="S789" s="35"/>
      <c r="T789" s="35"/>
      <c r="U789" s="13"/>
      <c r="V789" s="13"/>
      <c r="W789" s="13"/>
      <c r="X789" s="13"/>
      <c r="Y789" s="13"/>
      <c r="Z789" s="13"/>
      <c r="AA789" s="13"/>
      <c r="AB789" s="13"/>
      <c r="AC789" s="13"/>
    </row>
    <row r="790" ht="16.5" customHeight="1">
      <c r="A790" s="13"/>
      <c r="B790" s="13"/>
      <c r="C790" s="13"/>
      <c r="D790" s="13"/>
      <c r="E790" s="13"/>
      <c r="F790" s="13"/>
      <c r="G790" s="13"/>
      <c r="H790" s="13"/>
      <c r="I790" s="13"/>
      <c r="J790" s="13"/>
      <c r="K790" s="185"/>
      <c r="L790" s="186"/>
      <c r="M790" s="13"/>
      <c r="N790" s="13"/>
      <c r="O790" s="185"/>
      <c r="P790" s="13"/>
      <c r="Q790" s="13"/>
      <c r="R790" s="177"/>
      <c r="S790" s="35"/>
      <c r="T790" s="35"/>
      <c r="U790" s="13"/>
      <c r="V790" s="13"/>
      <c r="W790" s="13"/>
      <c r="X790" s="13"/>
      <c r="Y790" s="13"/>
      <c r="Z790" s="13"/>
      <c r="AA790" s="13"/>
      <c r="AB790" s="13"/>
      <c r="AC790" s="13"/>
    </row>
    <row r="791" ht="16.5" customHeight="1">
      <c r="A791" s="13"/>
      <c r="B791" s="13"/>
      <c r="C791" s="13"/>
      <c r="D791" s="13"/>
      <c r="E791" s="13"/>
      <c r="F791" s="13"/>
      <c r="G791" s="13"/>
      <c r="H791" s="13"/>
      <c r="I791" s="13"/>
      <c r="J791" s="13"/>
      <c r="K791" s="185"/>
      <c r="L791" s="186"/>
      <c r="M791" s="13"/>
      <c r="N791" s="13"/>
      <c r="O791" s="185"/>
      <c r="P791" s="13"/>
      <c r="Q791" s="13"/>
      <c r="R791" s="177"/>
      <c r="S791" s="35"/>
      <c r="T791" s="35"/>
      <c r="U791" s="13"/>
      <c r="V791" s="13"/>
      <c r="W791" s="13"/>
      <c r="X791" s="13"/>
      <c r="Y791" s="13"/>
      <c r="Z791" s="13"/>
      <c r="AA791" s="13"/>
      <c r="AB791" s="13"/>
      <c r="AC791" s="13"/>
    </row>
    <row r="792" ht="16.5" customHeight="1">
      <c r="A792" s="13"/>
      <c r="B792" s="13"/>
      <c r="C792" s="13"/>
      <c r="D792" s="13"/>
      <c r="E792" s="13"/>
      <c r="F792" s="13"/>
      <c r="G792" s="13"/>
      <c r="H792" s="13"/>
      <c r="I792" s="13"/>
      <c r="J792" s="13"/>
      <c r="K792" s="185"/>
      <c r="L792" s="186"/>
      <c r="M792" s="13"/>
      <c r="N792" s="13"/>
      <c r="O792" s="185"/>
      <c r="P792" s="13"/>
      <c r="Q792" s="13"/>
      <c r="R792" s="177"/>
      <c r="S792" s="35"/>
      <c r="T792" s="35"/>
      <c r="U792" s="13"/>
      <c r="V792" s="13"/>
      <c r="W792" s="13"/>
      <c r="X792" s="13"/>
      <c r="Y792" s="13"/>
      <c r="Z792" s="13"/>
      <c r="AA792" s="13"/>
      <c r="AB792" s="13"/>
      <c r="AC792" s="13"/>
    </row>
    <row r="793" ht="16.5" customHeight="1">
      <c r="A793" s="13"/>
      <c r="B793" s="13"/>
      <c r="C793" s="13"/>
      <c r="D793" s="13"/>
      <c r="E793" s="13"/>
      <c r="F793" s="13"/>
      <c r="G793" s="13"/>
      <c r="H793" s="13"/>
      <c r="I793" s="13"/>
      <c r="J793" s="13"/>
      <c r="K793" s="185"/>
      <c r="L793" s="186"/>
      <c r="M793" s="13"/>
      <c r="N793" s="13"/>
      <c r="O793" s="185"/>
      <c r="P793" s="13"/>
      <c r="Q793" s="13"/>
      <c r="R793" s="177"/>
      <c r="S793" s="35"/>
      <c r="T793" s="35"/>
      <c r="U793" s="13"/>
      <c r="V793" s="13"/>
      <c r="W793" s="13"/>
      <c r="X793" s="13"/>
      <c r="Y793" s="13"/>
      <c r="Z793" s="13"/>
      <c r="AA793" s="13"/>
      <c r="AB793" s="13"/>
      <c r="AC793" s="13"/>
    </row>
    <row r="794" ht="16.5" customHeight="1">
      <c r="A794" s="13"/>
      <c r="B794" s="13"/>
      <c r="C794" s="13"/>
      <c r="D794" s="13"/>
      <c r="E794" s="13"/>
      <c r="F794" s="13"/>
      <c r="G794" s="13"/>
      <c r="H794" s="13"/>
      <c r="I794" s="13"/>
      <c r="J794" s="13"/>
      <c r="K794" s="185"/>
      <c r="L794" s="186"/>
      <c r="M794" s="13"/>
      <c r="N794" s="13"/>
      <c r="O794" s="185"/>
      <c r="P794" s="13"/>
      <c r="Q794" s="13"/>
      <c r="R794" s="177"/>
      <c r="S794" s="35"/>
      <c r="T794" s="35"/>
      <c r="U794" s="13"/>
      <c r="V794" s="13"/>
      <c r="W794" s="13"/>
      <c r="X794" s="13"/>
      <c r="Y794" s="13"/>
      <c r="Z794" s="13"/>
      <c r="AA794" s="13"/>
      <c r="AB794" s="13"/>
      <c r="AC794" s="13"/>
    </row>
    <row r="795" ht="16.5" customHeight="1">
      <c r="A795" s="13"/>
      <c r="B795" s="13"/>
      <c r="C795" s="13"/>
      <c r="D795" s="13"/>
      <c r="E795" s="13"/>
      <c r="F795" s="13"/>
      <c r="G795" s="13"/>
      <c r="H795" s="13"/>
      <c r="I795" s="13"/>
      <c r="J795" s="13"/>
      <c r="K795" s="185"/>
      <c r="L795" s="186"/>
      <c r="M795" s="13"/>
      <c r="N795" s="13"/>
      <c r="O795" s="185"/>
      <c r="P795" s="13"/>
      <c r="Q795" s="13"/>
      <c r="R795" s="177"/>
      <c r="S795" s="35"/>
      <c r="T795" s="35"/>
      <c r="U795" s="13"/>
      <c r="V795" s="13"/>
      <c r="W795" s="13"/>
      <c r="X795" s="13"/>
      <c r="Y795" s="13"/>
      <c r="Z795" s="13"/>
      <c r="AA795" s="13"/>
      <c r="AB795" s="13"/>
      <c r="AC795" s="13"/>
    </row>
    <row r="796" ht="16.5" customHeight="1">
      <c r="A796" s="13"/>
      <c r="B796" s="13"/>
      <c r="C796" s="13"/>
      <c r="D796" s="13"/>
      <c r="E796" s="13"/>
      <c r="F796" s="13"/>
      <c r="G796" s="13"/>
      <c r="H796" s="13"/>
      <c r="I796" s="13"/>
      <c r="J796" s="13"/>
      <c r="K796" s="185"/>
      <c r="L796" s="186"/>
      <c r="M796" s="13"/>
      <c r="N796" s="13"/>
      <c r="O796" s="185"/>
      <c r="P796" s="13"/>
      <c r="Q796" s="13"/>
      <c r="R796" s="177"/>
      <c r="S796" s="35"/>
      <c r="T796" s="35"/>
      <c r="U796" s="13"/>
      <c r="V796" s="13"/>
      <c r="W796" s="13"/>
      <c r="X796" s="13"/>
      <c r="Y796" s="13"/>
      <c r="Z796" s="13"/>
      <c r="AA796" s="13"/>
      <c r="AB796" s="13"/>
      <c r="AC796" s="13"/>
    </row>
    <row r="797" ht="16.5" customHeight="1">
      <c r="A797" s="13"/>
      <c r="B797" s="13"/>
      <c r="C797" s="13"/>
      <c r="D797" s="13"/>
      <c r="E797" s="13"/>
      <c r="F797" s="13"/>
      <c r="G797" s="13"/>
      <c r="H797" s="13"/>
      <c r="I797" s="13"/>
      <c r="J797" s="13"/>
      <c r="K797" s="185"/>
      <c r="L797" s="186"/>
      <c r="M797" s="13"/>
      <c r="N797" s="13"/>
      <c r="O797" s="185"/>
      <c r="P797" s="13"/>
      <c r="Q797" s="13"/>
      <c r="R797" s="177"/>
      <c r="S797" s="35"/>
      <c r="T797" s="35"/>
      <c r="U797" s="13"/>
      <c r="V797" s="13"/>
      <c r="W797" s="13"/>
      <c r="X797" s="13"/>
      <c r="Y797" s="13"/>
      <c r="Z797" s="13"/>
      <c r="AA797" s="13"/>
      <c r="AB797" s="13"/>
      <c r="AC797" s="13"/>
    </row>
    <row r="798" ht="16.5" customHeight="1">
      <c r="A798" s="13"/>
      <c r="B798" s="13"/>
      <c r="C798" s="13"/>
      <c r="D798" s="13"/>
      <c r="E798" s="13"/>
      <c r="F798" s="13"/>
      <c r="G798" s="13"/>
      <c r="H798" s="13"/>
      <c r="I798" s="13"/>
      <c r="J798" s="13"/>
      <c r="K798" s="185"/>
      <c r="L798" s="186"/>
      <c r="M798" s="13"/>
      <c r="N798" s="13"/>
      <c r="O798" s="185"/>
      <c r="P798" s="13"/>
      <c r="Q798" s="13"/>
      <c r="R798" s="177"/>
      <c r="S798" s="35"/>
      <c r="T798" s="35"/>
      <c r="U798" s="13"/>
      <c r="V798" s="13"/>
      <c r="W798" s="13"/>
      <c r="X798" s="13"/>
      <c r="Y798" s="13"/>
      <c r="Z798" s="13"/>
      <c r="AA798" s="13"/>
      <c r="AB798" s="13"/>
      <c r="AC798" s="13"/>
    </row>
    <row r="799" ht="16.5" customHeight="1">
      <c r="A799" s="13"/>
      <c r="B799" s="13"/>
      <c r="C799" s="13"/>
      <c r="D799" s="13"/>
      <c r="E799" s="13"/>
      <c r="F799" s="13"/>
      <c r="G799" s="13"/>
      <c r="H799" s="13"/>
      <c r="I799" s="13"/>
      <c r="J799" s="13"/>
      <c r="K799" s="185"/>
      <c r="L799" s="186"/>
      <c r="M799" s="13"/>
      <c r="N799" s="13"/>
      <c r="O799" s="185"/>
      <c r="P799" s="13"/>
      <c r="Q799" s="13"/>
      <c r="R799" s="177"/>
      <c r="S799" s="35"/>
      <c r="T799" s="35"/>
      <c r="U799" s="13"/>
      <c r="V799" s="13"/>
      <c r="W799" s="13"/>
      <c r="X799" s="13"/>
      <c r="Y799" s="13"/>
      <c r="Z799" s="13"/>
      <c r="AA799" s="13"/>
      <c r="AB799" s="13"/>
      <c r="AC799" s="13"/>
    </row>
    <row r="800" ht="16.5" customHeight="1">
      <c r="A800" s="13"/>
      <c r="B800" s="13"/>
      <c r="C800" s="13"/>
      <c r="D800" s="13"/>
      <c r="E800" s="13"/>
      <c r="F800" s="13"/>
      <c r="G800" s="13"/>
      <c r="H800" s="13"/>
      <c r="I800" s="13"/>
      <c r="J800" s="13"/>
      <c r="K800" s="185"/>
      <c r="L800" s="186"/>
      <c r="M800" s="13"/>
      <c r="N800" s="13"/>
      <c r="O800" s="185"/>
      <c r="P800" s="13"/>
      <c r="Q800" s="13"/>
      <c r="R800" s="177"/>
      <c r="S800" s="35"/>
      <c r="T800" s="35"/>
      <c r="U800" s="13"/>
      <c r="V800" s="13"/>
      <c r="W800" s="13"/>
      <c r="X800" s="13"/>
      <c r="Y800" s="13"/>
      <c r="Z800" s="13"/>
      <c r="AA800" s="13"/>
      <c r="AB800" s="13"/>
      <c r="AC800" s="13"/>
    </row>
    <row r="801" ht="16.5" customHeight="1">
      <c r="A801" s="13"/>
      <c r="B801" s="13"/>
      <c r="C801" s="13"/>
      <c r="D801" s="13"/>
      <c r="E801" s="13"/>
      <c r="F801" s="13"/>
      <c r="G801" s="13"/>
      <c r="H801" s="13"/>
      <c r="I801" s="13"/>
      <c r="J801" s="13"/>
      <c r="K801" s="185"/>
      <c r="L801" s="186"/>
      <c r="M801" s="13"/>
      <c r="N801" s="13"/>
      <c r="O801" s="185"/>
      <c r="P801" s="13"/>
      <c r="Q801" s="13"/>
      <c r="R801" s="177"/>
      <c r="S801" s="35"/>
      <c r="T801" s="35"/>
      <c r="U801" s="13"/>
      <c r="V801" s="13"/>
      <c r="W801" s="13"/>
      <c r="X801" s="13"/>
      <c r="Y801" s="13"/>
      <c r="Z801" s="13"/>
      <c r="AA801" s="13"/>
      <c r="AB801" s="13"/>
      <c r="AC801" s="13"/>
    </row>
    <row r="802" ht="16.5" customHeight="1">
      <c r="A802" s="13"/>
      <c r="B802" s="13"/>
      <c r="C802" s="13"/>
      <c r="D802" s="13"/>
      <c r="E802" s="13"/>
      <c r="F802" s="13"/>
      <c r="G802" s="13"/>
      <c r="H802" s="13"/>
      <c r="I802" s="13"/>
      <c r="J802" s="13"/>
      <c r="K802" s="185"/>
      <c r="L802" s="186"/>
      <c r="M802" s="13"/>
      <c r="N802" s="13"/>
      <c r="O802" s="185"/>
      <c r="P802" s="13"/>
      <c r="Q802" s="13"/>
      <c r="R802" s="177"/>
      <c r="S802" s="35"/>
      <c r="T802" s="35"/>
      <c r="U802" s="13"/>
      <c r="V802" s="13"/>
      <c r="W802" s="13"/>
      <c r="X802" s="13"/>
      <c r="Y802" s="13"/>
      <c r="Z802" s="13"/>
      <c r="AA802" s="13"/>
      <c r="AB802" s="13"/>
      <c r="AC802" s="13"/>
    </row>
    <row r="803" ht="16.5" customHeight="1">
      <c r="A803" s="13"/>
      <c r="B803" s="13"/>
      <c r="C803" s="13"/>
      <c r="D803" s="13"/>
      <c r="E803" s="13"/>
      <c r="F803" s="13"/>
      <c r="G803" s="13"/>
      <c r="H803" s="13"/>
      <c r="I803" s="13"/>
      <c r="J803" s="13"/>
      <c r="K803" s="185"/>
      <c r="L803" s="186"/>
      <c r="M803" s="13"/>
      <c r="N803" s="13"/>
      <c r="O803" s="185"/>
      <c r="P803" s="13"/>
      <c r="Q803" s="13"/>
      <c r="R803" s="177"/>
      <c r="S803" s="35"/>
      <c r="T803" s="35"/>
      <c r="U803" s="13"/>
      <c r="V803" s="13"/>
      <c r="W803" s="13"/>
      <c r="X803" s="13"/>
      <c r="Y803" s="13"/>
      <c r="Z803" s="13"/>
      <c r="AA803" s="13"/>
      <c r="AB803" s="13"/>
      <c r="AC803" s="13"/>
    </row>
    <row r="804" ht="16.5" customHeight="1">
      <c r="A804" s="13"/>
      <c r="B804" s="13"/>
      <c r="C804" s="13"/>
      <c r="D804" s="13"/>
      <c r="E804" s="13"/>
      <c r="F804" s="13"/>
      <c r="G804" s="13"/>
      <c r="H804" s="13"/>
      <c r="I804" s="13"/>
      <c r="J804" s="13"/>
      <c r="K804" s="185"/>
      <c r="L804" s="186"/>
      <c r="M804" s="13"/>
      <c r="N804" s="13"/>
      <c r="O804" s="185"/>
      <c r="P804" s="13"/>
      <c r="Q804" s="13"/>
      <c r="R804" s="177"/>
      <c r="S804" s="35"/>
      <c r="T804" s="35"/>
      <c r="U804" s="13"/>
      <c r="V804" s="13"/>
      <c r="W804" s="13"/>
      <c r="X804" s="13"/>
      <c r="Y804" s="13"/>
      <c r="Z804" s="13"/>
      <c r="AA804" s="13"/>
      <c r="AB804" s="13"/>
      <c r="AC804" s="13"/>
    </row>
    <row r="805" ht="16.5" customHeight="1">
      <c r="A805" s="13"/>
      <c r="B805" s="13"/>
      <c r="C805" s="13"/>
      <c r="D805" s="13"/>
      <c r="E805" s="13"/>
      <c r="F805" s="13"/>
      <c r="G805" s="13"/>
      <c r="H805" s="13"/>
      <c r="I805" s="13"/>
      <c r="J805" s="13"/>
      <c r="K805" s="185"/>
      <c r="L805" s="186"/>
      <c r="M805" s="13"/>
      <c r="N805" s="13"/>
      <c r="O805" s="185"/>
      <c r="P805" s="13"/>
      <c r="Q805" s="13"/>
      <c r="R805" s="177"/>
      <c r="S805" s="35"/>
      <c r="T805" s="35"/>
      <c r="U805" s="13"/>
      <c r="V805" s="13"/>
      <c r="W805" s="13"/>
      <c r="X805" s="13"/>
      <c r="Y805" s="13"/>
      <c r="Z805" s="13"/>
      <c r="AA805" s="13"/>
      <c r="AB805" s="13"/>
      <c r="AC805" s="13"/>
    </row>
    <row r="806" ht="16.5" customHeight="1">
      <c r="A806" s="13"/>
      <c r="B806" s="13"/>
      <c r="C806" s="13"/>
      <c r="D806" s="13"/>
      <c r="E806" s="13"/>
      <c r="F806" s="13"/>
      <c r="G806" s="13"/>
      <c r="H806" s="13"/>
      <c r="I806" s="13"/>
      <c r="J806" s="13"/>
      <c r="K806" s="185"/>
      <c r="L806" s="186"/>
      <c r="M806" s="13"/>
      <c r="N806" s="13"/>
      <c r="O806" s="185"/>
      <c r="P806" s="13"/>
      <c r="Q806" s="13"/>
      <c r="R806" s="177"/>
      <c r="S806" s="35"/>
      <c r="T806" s="35"/>
      <c r="U806" s="13"/>
      <c r="V806" s="13"/>
      <c r="W806" s="13"/>
      <c r="X806" s="13"/>
      <c r="Y806" s="13"/>
      <c r="Z806" s="13"/>
      <c r="AA806" s="13"/>
      <c r="AB806" s="13"/>
      <c r="AC806" s="13"/>
    </row>
    <row r="807" ht="16.5" customHeight="1">
      <c r="A807" s="13"/>
      <c r="B807" s="13"/>
      <c r="C807" s="13"/>
      <c r="D807" s="13"/>
      <c r="E807" s="13"/>
      <c r="F807" s="13"/>
      <c r="G807" s="13"/>
      <c r="H807" s="13"/>
      <c r="I807" s="13"/>
      <c r="J807" s="13"/>
      <c r="K807" s="185"/>
      <c r="L807" s="186"/>
      <c r="M807" s="13"/>
      <c r="N807" s="13"/>
      <c r="O807" s="185"/>
      <c r="P807" s="13"/>
      <c r="Q807" s="13"/>
      <c r="R807" s="177"/>
      <c r="S807" s="35"/>
      <c r="T807" s="35"/>
      <c r="U807" s="13"/>
      <c r="V807" s="13"/>
      <c r="W807" s="13"/>
      <c r="X807" s="13"/>
      <c r="Y807" s="13"/>
      <c r="Z807" s="13"/>
      <c r="AA807" s="13"/>
      <c r="AB807" s="13"/>
      <c r="AC807" s="13"/>
    </row>
    <row r="808" ht="16.5" customHeight="1">
      <c r="A808" s="13"/>
      <c r="B808" s="13"/>
      <c r="C808" s="13"/>
      <c r="D808" s="13"/>
      <c r="E808" s="13"/>
      <c r="F808" s="13"/>
      <c r="G808" s="13"/>
      <c r="H808" s="13"/>
      <c r="I808" s="13"/>
      <c r="J808" s="13"/>
      <c r="K808" s="185"/>
      <c r="L808" s="186"/>
      <c r="M808" s="13"/>
      <c r="N808" s="13"/>
      <c r="O808" s="185"/>
      <c r="P808" s="13"/>
      <c r="Q808" s="13"/>
      <c r="R808" s="177"/>
      <c r="S808" s="35"/>
      <c r="T808" s="35"/>
      <c r="U808" s="13"/>
      <c r="V808" s="13"/>
      <c r="W808" s="13"/>
      <c r="X808" s="13"/>
      <c r="Y808" s="13"/>
      <c r="Z808" s="13"/>
      <c r="AA808" s="13"/>
      <c r="AB808" s="13"/>
      <c r="AC808" s="13"/>
    </row>
    <row r="809" ht="16.5" customHeight="1">
      <c r="A809" s="13"/>
      <c r="B809" s="13"/>
      <c r="C809" s="13"/>
      <c r="D809" s="13"/>
      <c r="E809" s="13"/>
      <c r="F809" s="13"/>
      <c r="G809" s="13"/>
      <c r="H809" s="13"/>
      <c r="I809" s="13"/>
      <c r="J809" s="13"/>
      <c r="K809" s="185"/>
      <c r="L809" s="186"/>
      <c r="M809" s="13"/>
      <c r="N809" s="13"/>
      <c r="O809" s="185"/>
      <c r="P809" s="13"/>
      <c r="Q809" s="13"/>
      <c r="R809" s="177"/>
      <c r="S809" s="35"/>
      <c r="T809" s="35"/>
      <c r="U809" s="13"/>
      <c r="V809" s="13"/>
      <c r="W809" s="13"/>
      <c r="X809" s="13"/>
      <c r="Y809" s="13"/>
      <c r="Z809" s="13"/>
      <c r="AA809" s="13"/>
      <c r="AB809" s="13"/>
      <c r="AC809" s="13"/>
    </row>
    <row r="810" ht="16.5" customHeight="1">
      <c r="A810" s="13"/>
      <c r="B810" s="13"/>
      <c r="C810" s="13"/>
      <c r="D810" s="13"/>
      <c r="E810" s="13"/>
      <c r="F810" s="13"/>
      <c r="G810" s="13"/>
      <c r="H810" s="13"/>
      <c r="I810" s="13"/>
      <c r="J810" s="13"/>
      <c r="K810" s="185"/>
      <c r="L810" s="186"/>
      <c r="M810" s="13"/>
      <c r="N810" s="13"/>
      <c r="O810" s="185"/>
      <c r="P810" s="13"/>
      <c r="Q810" s="13"/>
      <c r="R810" s="177"/>
      <c r="S810" s="35"/>
      <c r="T810" s="35"/>
      <c r="U810" s="13"/>
      <c r="V810" s="13"/>
      <c r="W810" s="13"/>
      <c r="X810" s="13"/>
      <c r="Y810" s="13"/>
      <c r="Z810" s="13"/>
      <c r="AA810" s="13"/>
      <c r="AB810" s="13"/>
      <c r="AC810" s="13"/>
    </row>
    <row r="811" ht="16.5" customHeight="1">
      <c r="A811" s="13"/>
      <c r="B811" s="13"/>
      <c r="C811" s="13"/>
      <c r="D811" s="13"/>
      <c r="E811" s="13"/>
      <c r="F811" s="13"/>
      <c r="G811" s="13"/>
      <c r="H811" s="13"/>
      <c r="I811" s="13"/>
      <c r="J811" s="13"/>
      <c r="K811" s="185"/>
      <c r="L811" s="186"/>
      <c r="M811" s="13"/>
      <c r="N811" s="13"/>
      <c r="O811" s="185"/>
      <c r="P811" s="13"/>
      <c r="Q811" s="13"/>
      <c r="R811" s="177"/>
      <c r="S811" s="35"/>
      <c r="T811" s="35"/>
      <c r="U811" s="13"/>
      <c r="V811" s="13"/>
      <c r="W811" s="13"/>
      <c r="X811" s="13"/>
      <c r="Y811" s="13"/>
      <c r="Z811" s="13"/>
      <c r="AA811" s="13"/>
      <c r="AB811" s="13"/>
      <c r="AC811" s="13"/>
    </row>
    <row r="812" ht="16.5" customHeight="1">
      <c r="A812" s="13"/>
      <c r="B812" s="13"/>
      <c r="C812" s="13"/>
      <c r="D812" s="13"/>
      <c r="E812" s="13"/>
      <c r="F812" s="13"/>
      <c r="G812" s="13"/>
      <c r="H812" s="13"/>
      <c r="I812" s="13"/>
      <c r="J812" s="13"/>
      <c r="K812" s="185"/>
      <c r="L812" s="186"/>
      <c r="M812" s="13"/>
      <c r="N812" s="13"/>
      <c r="O812" s="185"/>
      <c r="P812" s="13"/>
      <c r="Q812" s="13"/>
      <c r="R812" s="177"/>
      <c r="S812" s="35"/>
      <c r="T812" s="35"/>
      <c r="U812" s="13"/>
      <c r="V812" s="13"/>
      <c r="W812" s="13"/>
      <c r="X812" s="13"/>
      <c r="Y812" s="13"/>
      <c r="Z812" s="13"/>
      <c r="AA812" s="13"/>
      <c r="AB812" s="13"/>
      <c r="AC812" s="13"/>
    </row>
    <row r="813" ht="16.5" customHeight="1">
      <c r="A813" s="13"/>
      <c r="B813" s="13"/>
      <c r="C813" s="13"/>
      <c r="D813" s="13"/>
      <c r="E813" s="13"/>
      <c r="F813" s="13"/>
      <c r="G813" s="13"/>
      <c r="H813" s="13"/>
      <c r="I813" s="13"/>
      <c r="J813" s="13"/>
      <c r="K813" s="185"/>
      <c r="L813" s="186"/>
      <c r="M813" s="13"/>
      <c r="N813" s="13"/>
      <c r="O813" s="185"/>
      <c r="P813" s="13"/>
      <c r="Q813" s="13"/>
      <c r="R813" s="177"/>
      <c r="S813" s="35"/>
      <c r="T813" s="35"/>
      <c r="U813" s="13"/>
      <c r="V813" s="13"/>
      <c r="W813" s="13"/>
      <c r="X813" s="13"/>
      <c r="Y813" s="13"/>
      <c r="Z813" s="13"/>
      <c r="AA813" s="13"/>
      <c r="AB813" s="13"/>
      <c r="AC813" s="13"/>
    </row>
    <row r="814" ht="16.5" customHeight="1">
      <c r="A814" s="13"/>
      <c r="B814" s="13"/>
      <c r="C814" s="13"/>
      <c r="D814" s="13"/>
      <c r="E814" s="13"/>
      <c r="F814" s="13"/>
      <c r="G814" s="13"/>
      <c r="H814" s="13"/>
      <c r="I814" s="13"/>
      <c r="J814" s="13"/>
      <c r="K814" s="185"/>
      <c r="L814" s="186"/>
      <c r="M814" s="13"/>
      <c r="N814" s="13"/>
      <c r="O814" s="185"/>
      <c r="P814" s="13"/>
      <c r="Q814" s="13"/>
      <c r="R814" s="177"/>
      <c r="S814" s="35"/>
      <c r="T814" s="35"/>
      <c r="U814" s="13"/>
      <c r="V814" s="13"/>
      <c r="W814" s="13"/>
      <c r="X814" s="13"/>
      <c r="Y814" s="13"/>
      <c r="Z814" s="13"/>
      <c r="AA814" s="13"/>
      <c r="AB814" s="13"/>
      <c r="AC814" s="13"/>
    </row>
    <row r="815" ht="16.5" customHeight="1">
      <c r="A815" s="13"/>
      <c r="B815" s="13"/>
      <c r="C815" s="13"/>
      <c r="D815" s="13"/>
      <c r="E815" s="13"/>
      <c r="F815" s="13"/>
      <c r="G815" s="13"/>
      <c r="H815" s="13"/>
      <c r="I815" s="13"/>
      <c r="J815" s="13"/>
      <c r="K815" s="185"/>
      <c r="L815" s="186"/>
      <c r="M815" s="13"/>
      <c r="N815" s="13"/>
      <c r="O815" s="185"/>
      <c r="P815" s="13"/>
      <c r="Q815" s="13"/>
      <c r="R815" s="177"/>
      <c r="S815" s="35"/>
      <c r="T815" s="35"/>
      <c r="U815" s="13"/>
      <c r="V815" s="13"/>
      <c r="W815" s="13"/>
      <c r="X815" s="13"/>
      <c r="Y815" s="13"/>
      <c r="Z815" s="13"/>
      <c r="AA815" s="13"/>
      <c r="AB815" s="13"/>
      <c r="AC815" s="13"/>
    </row>
    <row r="816" ht="16.5" customHeight="1">
      <c r="A816" s="13"/>
      <c r="B816" s="13"/>
      <c r="C816" s="13"/>
      <c r="D816" s="13"/>
      <c r="E816" s="13"/>
      <c r="F816" s="13"/>
      <c r="G816" s="13"/>
      <c r="H816" s="13"/>
      <c r="I816" s="13"/>
      <c r="J816" s="13"/>
      <c r="K816" s="185"/>
      <c r="L816" s="186"/>
      <c r="M816" s="13"/>
      <c r="N816" s="13"/>
      <c r="O816" s="185"/>
      <c r="P816" s="13"/>
      <c r="Q816" s="13"/>
      <c r="R816" s="177"/>
      <c r="S816" s="35"/>
      <c r="T816" s="35"/>
      <c r="U816" s="13"/>
      <c r="V816" s="13"/>
      <c r="W816" s="13"/>
      <c r="X816" s="13"/>
      <c r="Y816" s="13"/>
      <c r="Z816" s="13"/>
      <c r="AA816" s="13"/>
      <c r="AB816" s="13"/>
      <c r="AC816" s="13"/>
    </row>
    <row r="817" ht="16.5" customHeight="1">
      <c r="A817" s="13"/>
      <c r="B817" s="13"/>
      <c r="C817" s="13"/>
      <c r="D817" s="13"/>
      <c r="E817" s="13"/>
      <c r="F817" s="13"/>
      <c r="G817" s="13"/>
      <c r="H817" s="13"/>
      <c r="I817" s="13"/>
      <c r="J817" s="13"/>
      <c r="K817" s="185"/>
      <c r="L817" s="186"/>
      <c r="M817" s="13"/>
      <c r="N817" s="13"/>
      <c r="O817" s="185"/>
      <c r="P817" s="13"/>
      <c r="Q817" s="13"/>
      <c r="R817" s="177"/>
      <c r="S817" s="35"/>
      <c r="T817" s="35"/>
      <c r="U817" s="13"/>
      <c r="V817" s="13"/>
      <c r="W817" s="13"/>
      <c r="X817" s="13"/>
      <c r="Y817" s="13"/>
      <c r="Z817" s="13"/>
      <c r="AA817" s="13"/>
      <c r="AB817" s="13"/>
      <c r="AC817" s="13"/>
    </row>
    <row r="818" ht="16.5" customHeight="1">
      <c r="A818" s="13"/>
      <c r="B818" s="13"/>
      <c r="C818" s="13"/>
      <c r="D818" s="13"/>
      <c r="E818" s="13"/>
      <c r="F818" s="13"/>
      <c r="G818" s="13"/>
      <c r="H818" s="13"/>
      <c r="I818" s="13"/>
      <c r="J818" s="13"/>
      <c r="K818" s="185"/>
      <c r="L818" s="186"/>
      <c r="M818" s="13"/>
      <c r="N818" s="13"/>
      <c r="O818" s="185"/>
      <c r="P818" s="13"/>
      <c r="Q818" s="13"/>
      <c r="R818" s="177"/>
      <c r="S818" s="35"/>
      <c r="T818" s="35"/>
      <c r="U818" s="13"/>
      <c r="V818" s="13"/>
      <c r="W818" s="13"/>
      <c r="X818" s="13"/>
      <c r="Y818" s="13"/>
      <c r="Z818" s="13"/>
      <c r="AA818" s="13"/>
      <c r="AB818" s="13"/>
      <c r="AC818" s="13"/>
    </row>
    <row r="819" ht="16.5" customHeight="1">
      <c r="A819" s="13"/>
      <c r="B819" s="13"/>
      <c r="C819" s="13"/>
      <c r="D819" s="13"/>
      <c r="E819" s="13"/>
      <c r="F819" s="13"/>
      <c r="G819" s="13"/>
      <c r="H819" s="13"/>
      <c r="I819" s="13"/>
      <c r="J819" s="13"/>
      <c r="K819" s="185"/>
      <c r="L819" s="186"/>
      <c r="M819" s="13"/>
      <c r="N819" s="13"/>
      <c r="O819" s="185"/>
      <c r="P819" s="13"/>
      <c r="Q819" s="13"/>
      <c r="R819" s="177"/>
      <c r="S819" s="35"/>
      <c r="T819" s="35"/>
      <c r="U819" s="13"/>
      <c r="V819" s="13"/>
      <c r="W819" s="13"/>
      <c r="X819" s="13"/>
      <c r="Y819" s="13"/>
      <c r="Z819" s="13"/>
      <c r="AA819" s="13"/>
      <c r="AB819" s="13"/>
      <c r="AC819" s="13"/>
    </row>
    <row r="820" ht="16.5" customHeight="1">
      <c r="A820" s="13"/>
      <c r="B820" s="13"/>
      <c r="C820" s="13"/>
      <c r="D820" s="13"/>
      <c r="E820" s="13"/>
      <c r="F820" s="13"/>
      <c r="G820" s="13"/>
      <c r="H820" s="13"/>
      <c r="I820" s="13"/>
      <c r="J820" s="13"/>
      <c r="K820" s="185"/>
      <c r="L820" s="186"/>
      <c r="M820" s="13"/>
      <c r="N820" s="13"/>
      <c r="O820" s="185"/>
      <c r="P820" s="13"/>
      <c r="Q820" s="13"/>
      <c r="R820" s="177"/>
      <c r="S820" s="35"/>
      <c r="T820" s="35"/>
      <c r="U820" s="13"/>
      <c r="V820" s="13"/>
      <c r="W820" s="13"/>
      <c r="X820" s="13"/>
      <c r="Y820" s="13"/>
      <c r="Z820" s="13"/>
      <c r="AA820" s="13"/>
      <c r="AB820" s="13"/>
      <c r="AC820" s="13"/>
    </row>
    <row r="821" ht="16.5" customHeight="1">
      <c r="A821" s="13"/>
      <c r="B821" s="13"/>
      <c r="C821" s="13"/>
      <c r="D821" s="13"/>
      <c r="E821" s="13"/>
      <c r="F821" s="13"/>
      <c r="G821" s="13"/>
      <c r="H821" s="13"/>
      <c r="I821" s="13"/>
      <c r="J821" s="13"/>
      <c r="K821" s="185"/>
      <c r="L821" s="186"/>
      <c r="M821" s="13"/>
      <c r="N821" s="13"/>
      <c r="O821" s="185"/>
      <c r="P821" s="13"/>
      <c r="Q821" s="13"/>
      <c r="R821" s="177"/>
      <c r="S821" s="35"/>
      <c r="T821" s="35"/>
      <c r="U821" s="13"/>
      <c r="V821" s="13"/>
      <c r="W821" s="13"/>
      <c r="X821" s="13"/>
      <c r="Y821" s="13"/>
      <c r="Z821" s="13"/>
      <c r="AA821" s="13"/>
      <c r="AB821" s="13"/>
      <c r="AC821" s="13"/>
    </row>
    <row r="822" ht="16.5" customHeight="1">
      <c r="A822" s="13"/>
      <c r="B822" s="13"/>
      <c r="C822" s="13"/>
      <c r="D822" s="13"/>
      <c r="E822" s="13"/>
      <c r="F822" s="13"/>
      <c r="G822" s="13"/>
      <c r="H822" s="13"/>
      <c r="I822" s="13"/>
      <c r="J822" s="13"/>
      <c r="K822" s="185"/>
      <c r="L822" s="186"/>
      <c r="M822" s="13"/>
      <c r="N822" s="13"/>
      <c r="O822" s="185"/>
      <c r="P822" s="13"/>
      <c r="Q822" s="13"/>
      <c r="R822" s="177"/>
      <c r="S822" s="35"/>
      <c r="T822" s="35"/>
      <c r="U822" s="13"/>
      <c r="V822" s="13"/>
      <c r="W822" s="13"/>
      <c r="X822" s="13"/>
      <c r="Y822" s="13"/>
      <c r="Z822" s="13"/>
      <c r="AA822" s="13"/>
      <c r="AB822" s="13"/>
      <c r="AC822" s="13"/>
    </row>
    <row r="823" ht="16.5" customHeight="1">
      <c r="A823" s="13"/>
      <c r="B823" s="13"/>
      <c r="C823" s="13"/>
      <c r="D823" s="13"/>
      <c r="E823" s="13"/>
      <c r="F823" s="13"/>
      <c r="G823" s="13"/>
      <c r="H823" s="13"/>
      <c r="I823" s="13"/>
      <c r="J823" s="13"/>
      <c r="K823" s="185"/>
      <c r="L823" s="186"/>
      <c r="M823" s="13"/>
      <c r="N823" s="13"/>
      <c r="O823" s="185"/>
      <c r="P823" s="13"/>
      <c r="Q823" s="13"/>
      <c r="R823" s="177"/>
      <c r="S823" s="35"/>
      <c r="T823" s="35"/>
      <c r="U823" s="13"/>
      <c r="V823" s="13"/>
      <c r="W823" s="13"/>
      <c r="X823" s="13"/>
      <c r="Y823" s="13"/>
      <c r="Z823" s="13"/>
      <c r="AA823" s="13"/>
      <c r="AB823" s="13"/>
      <c r="AC823" s="13"/>
    </row>
    <row r="824" ht="16.5" customHeight="1">
      <c r="A824" s="13"/>
      <c r="B824" s="13"/>
      <c r="C824" s="13"/>
      <c r="D824" s="13"/>
      <c r="E824" s="13"/>
      <c r="F824" s="13"/>
      <c r="G824" s="13"/>
      <c r="H824" s="13"/>
      <c r="I824" s="13"/>
      <c r="J824" s="13"/>
      <c r="K824" s="185"/>
      <c r="L824" s="186"/>
      <c r="M824" s="13"/>
      <c r="N824" s="13"/>
      <c r="O824" s="185"/>
      <c r="P824" s="13"/>
      <c r="Q824" s="13"/>
      <c r="R824" s="177"/>
      <c r="S824" s="35"/>
      <c r="T824" s="35"/>
      <c r="U824" s="13"/>
      <c r="V824" s="13"/>
      <c r="W824" s="13"/>
      <c r="X824" s="13"/>
      <c r="Y824" s="13"/>
      <c r="Z824" s="13"/>
      <c r="AA824" s="13"/>
      <c r="AB824" s="13"/>
      <c r="AC824" s="13"/>
    </row>
    <row r="825" ht="16.5" customHeight="1">
      <c r="A825" s="13"/>
      <c r="B825" s="13"/>
      <c r="C825" s="13"/>
      <c r="D825" s="13"/>
      <c r="E825" s="13"/>
      <c r="F825" s="13"/>
      <c r="G825" s="13"/>
      <c r="H825" s="13"/>
      <c r="I825" s="13"/>
      <c r="J825" s="13"/>
      <c r="K825" s="185"/>
      <c r="L825" s="186"/>
      <c r="M825" s="13"/>
      <c r="N825" s="13"/>
      <c r="O825" s="185"/>
      <c r="P825" s="13"/>
      <c r="Q825" s="13"/>
      <c r="R825" s="177"/>
      <c r="S825" s="35"/>
      <c r="T825" s="35"/>
      <c r="U825" s="13"/>
      <c r="V825" s="13"/>
      <c r="W825" s="13"/>
      <c r="X825" s="13"/>
      <c r="Y825" s="13"/>
      <c r="Z825" s="13"/>
      <c r="AA825" s="13"/>
      <c r="AB825" s="13"/>
      <c r="AC825" s="13"/>
    </row>
    <row r="826" ht="16.5" customHeight="1">
      <c r="A826" s="13"/>
      <c r="B826" s="13"/>
      <c r="C826" s="13"/>
      <c r="D826" s="13"/>
      <c r="E826" s="13"/>
      <c r="F826" s="13"/>
      <c r="G826" s="13"/>
      <c r="H826" s="13"/>
      <c r="I826" s="13"/>
      <c r="J826" s="13"/>
      <c r="K826" s="185"/>
      <c r="L826" s="186"/>
      <c r="M826" s="13"/>
      <c r="N826" s="13"/>
      <c r="O826" s="185"/>
      <c r="P826" s="13"/>
      <c r="Q826" s="13"/>
      <c r="R826" s="177"/>
      <c r="S826" s="35"/>
      <c r="T826" s="35"/>
      <c r="U826" s="13"/>
      <c r="V826" s="13"/>
      <c r="W826" s="13"/>
      <c r="X826" s="13"/>
      <c r="Y826" s="13"/>
      <c r="Z826" s="13"/>
      <c r="AA826" s="13"/>
      <c r="AB826" s="13"/>
      <c r="AC826" s="13"/>
    </row>
    <row r="827" ht="16.5" customHeight="1">
      <c r="A827" s="13"/>
      <c r="B827" s="13"/>
      <c r="C827" s="13"/>
      <c r="D827" s="13"/>
      <c r="E827" s="13"/>
      <c r="F827" s="13"/>
      <c r="G827" s="13"/>
      <c r="H827" s="13"/>
      <c r="I827" s="13"/>
      <c r="J827" s="13"/>
      <c r="K827" s="185"/>
      <c r="L827" s="186"/>
      <c r="M827" s="13"/>
      <c r="N827" s="13"/>
      <c r="O827" s="185"/>
      <c r="P827" s="13"/>
      <c r="Q827" s="13"/>
      <c r="R827" s="177"/>
      <c r="S827" s="35"/>
      <c r="T827" s="35"/>
      <c r="U827" s="13"/>
      <c r="V827" s="13"/>
      <c r="W827" s="13"/>
      <c r="X827" s="13"/>
      <c r="Y827" s="13"/>
      <c r="Z827" s="13"/>
      <c r="AA827" s="13"/>
      <c r="AB827" s="13"/>
      <c r="AC827" s="13"/>
    </row>
    <row r="828" ht="16.5" customHeight="1">
      <c r="A828" s="13"/>
      <c r="B828" s="13"/>
      <c r="C828" s="13"/>
      <c r="D828" s="13"/>
      <c r="E828" s="13"/>
      <c r="F828" s="13"/>
      <c r="G828" s="13"/>
      <c r="H828" s="13"/>
      <c r="I828" s="13"/>
      <c r="J828" s="13"/>
      <c r="K828" s="185"/>
      <c r="L828" s="186"/>
      <c r="M828" s="13"/>
      <c r="N828" s="13"/>
      <c r="O828" s="185"/>
      <c r="P828" s="13"/>
      <c r="Q828" s="13"/>
      <c r="R828" s="177"/>
      <c r="S828" s="35"/>
      <c r="T828" s="35"/>
      <c r="U828" s="13"/>
      <c r="V828" s="13"/>
      <c r="W828" s="13"/>
      <c r="X828" s="13"/>
      <c r="Y828" s="13"/>
      <c r="Z828" s="13"/>
      <c r="AA828" s="13"/>
      <c r="AB828" s="13"/>
      <c r="AC828" s="13"/>
    </row>
    <row r="829" ht="16.5" customHeight="1">
      <c r="A829" s="13"/>
      <c r="B829" s="13"/>
      <c r="C829" s="13"/>
      <c r="D829" s="13"/>
      <c r="E829" s="13"/>
      <c r="F829" s="13"/>
      <c r="G829" s="13"/>
      <c r="H829" s="13"/>
      <c r="I829" s="13"/>
      <c r="J829" s="13"/>
      <c r="K829" s="185"/>
      <c r="L829" s="186"/>
      <c r="M829" s="13"/>
      <c r="N829" s="13"/>
      <c r="O829" s="185"/>
      <c r="P829" s="13"/>
      <c r="Q829" s="13"/>
      <c r="R829" s="177"/>
      <c r="S829" s="35"/>
      <c r="T829" s="35"/>
      <c r="U829" s="13"/>
      <c r="V829" s="13"/>
      <c r="W829" s="13"/>
      <c r="X829" s="13"/>
      <c r="Y829" s="13"/>
      <c r="Z829" s="13"/>
      <c r="AA829" s="13"/>
      <c r="AB829" s="13"/>
      <c r="AC829" s="13"/>
    </row>
    <row r="830" ht="16.5" customHeight="1">
      <c r="A830" s="13"/>
      <c r="B830" s="13"/>
      <c r="C830" s="13"/>
      <c r="D830" s="13"/>
      <c r="E830" s="13"/>
      <c r="F830" s="13"/>
      <c r="G830" s="13"/>
      <c r="H830" s="13"/>
      <c r="I830" s="13"/>
      <c r="J830" s="13"/>
      <c r="K830" s="185"/>
      <c r="L830" s="186"/>
      <c r="M830" s="13"/>
      <c r="N830" s="13"/>
      <c r="O830" s="185"/>
      <c r="P830" s="13"/>
      <c r="Q830" s="13"/>
      <c r="R830" s="177"/>
      <c r="S830" s="35"/>
      <c r="T830" s="35"/>
      <c r="U830" s="13"/>
      <c r="V830" s="13"/>
      <c r="W830" s="13"/>
      <c r="X830" s="13"/>
      <c r="Y830" s="13"/>
      <c r="Z830" s="13"/>
      <c r="AA830" s="13"/>
      <c r="AB830" s="13"/>
      <c r="AC830" s="13"/>
    </row>
    <row r="831" ht="16.5" customHeight="1">
      <c r="A831" s="13"/>
      <c r="B831" s="13"/>
      <c r="C831" s="13"/>
      <c r="D831" s="13"/>
      <c r="E831" s="13"/>
      <c r="F831" s="13"/>
      <c r="G831" s="13"/>
      <c r="H831" s="13"/>
      <c r="I831" s="13"/>
      <c r="J831" s="13"/>
      <c r="K831" s="185"/>
      <c r="L831" s="186"/>
      <c r="M831" s="13"/>
      <c r="N831" s="13"/>
      <c r="O831" s="185"/>
      <c r="P831" s="13"/>
      <c r="Q831" s="13"/>
      <c r="R831" s="177"/>
      <c r="S831" s="35"/>
      <c r="T831" s="35"/>
      <c r="U831" s="13"/>
      <c r="V831" s="13"/>
      <c r="W831" s="13"/>
      <c r="X831" s="13"/>
      <c r="Y831" s="13"/>
      <c r="Z831" s="13"/>
      <c r="AA831" s="13"/>
      <c r="AB831" s="13"/>
      <c r="AC831" s="13"/>
    </row>
    <row r="832" ht="16.5" customHeight="1">
      <c r="A832" s="13"/>
      <c r="B832" s="13"/>
      <c r="C832" s="13"/>
      <c r="D832" s="13"/>
      <c r="E832" s="13"/>
      <c r="F832" s="13"/>
      <c r="G832" s="13"/>
      <c r="H832" s="13"/>
      <c r="I832" s="13"/>
      <c r="J832" s="13"/>
      <c r="K832" s="185"/>
      <c r="L832" s="186"/>
      <c r="M832" s="13"/>
      <c r="N832" s="13"/>
      <c r="O832" s="185"/>
      <c r="P832" s="13"/>
      <c r="Q832" s="13"/>
      <c r="R832" s="177"/>
      <c r="S832" s="35"/>
      <c r="T832" s="35"/>
      <c r="U832" s="13"/>
      <c r="V832" s="13"/>
      <c r="W832" s="13"/>
      <c r="X832" s="13"/>
      <c r="Y832" s="13"/>
      <c r="Z832" s="13"/>
      <c r="AA832" s="13"/>
      <c r="AB832" s="13"/>
      <c r="AC832" s="13"/>
    </row>
    <row r="833" ht="16.5" customHeight="1">
      <c r="A833" s="13"/>
      <c r="B833" s="13"/>
      <c r="C833" s="13"/>
      <c r="D833" s="13"/>
      <c r="E833" s="13"/>
      <c r="F833" s="13"/>
      <c r="G833" s="13"/>
      <c r="H833" s="13"/>
      <c r="I833" s="13"/>
      <c r="J833" s="13"/>
      <c r="K833" s="185"/>
      <c r="L833" s="186"/>
      <c r="M833" s="13"/>
      <c r="N833" s="13"/>
      <c r="O833" s="185"/>
      <c r="P833" s="13"/>
      <c r="Q833" s="13"/>
      <c r="R833" s="177"/>
      <c r="S833" s="35"/>
      <c r="T833" s="35"/>
      <c r="U833" s="13"/>
      <c r="V833" s="13"/>
      <c r="W833" s="13"/>
      <c r="X833" s="13"/>
      <c r="Y833" s="13"/>
      <c r="Z833" s="13"/>
      <c r="AA833" s="13"/>
      <c r="AB833" s="13"/>
      <c r="AC833" s="13"/>
    </row>
    <row r="834" ht="16.5" customHeight="1">
      <c r="A834" s="13"/>
      <c r="B834" s="13"/>
      <c r="C834" s="13"/>
      <c r="D834" s="13"/>
      <c r="E834" s="13"/>
      <c r="F834" s="13"/>
      <c r="G834" s="13"/>
      <c r="H834" s="13"/>
      <c r="I834" s="13"/>
      <c r="J834" s="13"/>
      <c r="K834" s="185"/>
      <c r="L834" s="186"/>
      <c r="M834" s="13"/>
      <c r="N834" s="13"/>
      <c r="O834" s="185"/>
      <c r="P834" s="13"/>
      <c r="Q834" s="13"/>
      <c r="R834" s="177"/>
      <c r="S834" s="35"/>
      <c r="T834" s="35"/>
      <c r="U834" s="13"/>
      <c r="V834" s="13"/>
      <c r="W834" s="13"/>
      <c r="X834" s="13"/>
      <c r="Y834" s="13"/>
      <c r="Z834" s="13"/>
      <c r="AA834" s="13"/>
      <c r="AB834" s="13"/>
      <c r="AC834" s="13"/>
    </row>
    <row r="835" ht="16.5" customHeight="1">
      <c r="A835" s="13"/>
      <c r="B835" s="13"/>
      <c r="C835" s="13"/>
      <c r="D835" s="13"/>
      <c r="E835" s="13"/>
      <c r="F835" s="13"/>
      <c r="G835" s="13"/>
      <c r="H835" s="13"/>
      <c r="I835" s="13"/>
      <c r="J835" s="13"/>
      <c r="K835" s="185"/>
      <c r="L835" s="186"/>
      <c r="M835" s="13"/>
      <c r="N835" s="13"/>
      <c r="O835" s="185"/>
      <c r="P835" s="13"/>
      <c r="Q835" s="13"/>
      <c r="R835" s="177"/>
      <c r="S835" s="35"/>
      <c r="T835" s="35"/>
      <c r="U835" s="13"/>
      <c r="V835" s="13"/>
      <c r="W835" s="13"/>
      <c r="X835" s="13"/>
      <c r="Y835" s="13"/>
      <c r="Z835" s="13"/>
      <c r="AA835" s="13"/>
      <c r="AB835" s="13"/>
      <c r="AC835" s="13"/>
    </row>
    <row r="836" ht="16.5" customHeight="1">
      <c r="A836" s="13"/>
      <c r="B836" s="13"/>
      <c r="C836" s="13"/>
      <c r="D836" s="13"/>
      <c r="E836" s="13"/>
      <c r="F836" s="13"/>
      <c r="G836" s="13"/>
      <c r="H836" s="13"/>
      <c r="I836" s="13"/>
      <c r="J836" s="13"/>
      <c r="K836" s="185"/>
      <c r="L836" s="186"/>
      <c r="M836" s="13"/>
      <c r="N836" s="13"/>
      <c r="O836" s="185"/>
      <c r="P836" s="13"/>
      <c r="Q836" s="13"/>
      <c r="R836" s="177"/>
      <c r="S836" s="35"/>
      <c r="T836" s="35"/>
      <c r="U836" s="13"/>
      <c r="V836" s="13"/>
      <c r="W836" s="13"/>
      <c r="X836" s="13"/>
      <c r="Y836" s="13"/>
      <c r="Z836" s="13"/>
      <c r="AA836" s="13"/>
      <c r="AB836" s="13"/>
      <c r="AC836" s="13"/>
    </row>
    <row r="837" ht="16.5" customHeight="1">
      <c r="A837" s="13"/>
      <c r="B837" s="13"/>
      <c r="C837" s="13"/>
      <c r="D837" s="13"/>
      <c r="E837" s="13"/>
      <c r="F837" s="13"/>
      <c r="G837" s="13"/>
      <c r="H837" s="13"/>
      <c r="I837" s="13"/>
      <c r="J837" s="13"/>
      <c r="K837" s="185"/>
      <c r="L837" s="186"/>
      <c r="M837" s="13"/>
      <c r="N837" s="13"/>
      <c r="O837" s="185"/>
      <c r="P837" s="13"/>
      <c r="Q837" s="13"/>
      <c r="R837" s="177"/>
      <c r="S837" s="35"/>
      <c r="T837" s="35"/>
      <c r="U837" s="13"/>
      <c r="V837" s="13"/>
      <c r="W837" s="13"/>
      <c r="X837" s="13"/>
      <c r="Y837" s="13"/>
      <c r="Z837" s="13"/>
      <c r="AA837" s="13"/>
      <c r="AB837" s="13"/>
      <c r="AC837" s="13"/>
    </row>
    <row r="838" ht="16.5" customHeight="1">
      <c r="A838" s="13"/>
      <c r="B838" s="13"/>
      <c r="C838" s="13"/>
      <c r="D838" s="13"/>
      <c r="E838" s="13"/>
      <c r="F838" s="13"/>
      <c r="G838" s="13"/>
      <c r="H838" s="13"/>
      <c r="I838" s="13"/>
      <c r="J838" s="13"/>
      <c r="K838" s="185"/>
      <c r="L838" s="186"/>
      <c r="M838" s="13"/>
      <c r="N838" s="13"/>
      <c r="O838" s="185"/>
      <c r="P838" s="13"/>
      <c r="Q838" s="13"/>
      <c r="R838" s="177"/>
      <c r="S838" s="35"/>
      <c r="T838" s="35"/>
      <c r="U838" s="13"/>
      <c r="V838" s="13"/>
      <c r="W838" s="13"/>
      <c r="X838" s="13"/>
      <c r="Y838" s="13"/>
      <c r="Z838" s="13"/>
      <c r="AA838" s="13"/>
      <c r="AB838" s="13"/>
      <c r="AC838" s="13"/>
    </row>
    <row r="839" ht="16.5" customHeight="1">
      <c r="A839" s="13"/>
      <c r="B839" s="13"/>
      <c r="C839" s="13"/>
      <c r="D839" s="13"/>
      <c r="E839" s="13"/>
      <c r="F839" s="13"/>
      <c r="G839" s="13"/>
      <c r="H839" s="13"/>
      <c r="I839" s="13"/>
      <c r="J839" s="13"/>
      <c r="K839" s="185"/>
      <c r="L839" s="186"/>
      <c r="M839" s="13"/>
      <c r="N839" s="13"/>
      <c r="O839" s="185"/>
      <c r="P839" s="13"/>
      <c r="Q839" s="13"/>
      <c r="R839" s="177"/>
      <c r="S839" s="35"/>
      <c r="T839" s="35"/>
      <c r="U839" s="13"/>
      <c r="V839" s="13"/>
      <c r="W839" s="13"/>
      <c r="X839" s="13"/>
      <c r="Y839" s="13"/>
      <c r="Z839" s="13"/>
      <c r="AA839" s="13"/>
      <c r="AB839" s="13"/>
      <c r="AC839" s="13"/>
    </row>
    <row r="840" ht="16.5" customHeight="1">
      <c r="A840" s="13"/>
      <c r="B840" s="13"/>
      <c r="C840" s="13"/>
      <c r="D840" s="13"/>
      <c r="E840" s="13"/>
      <c r="F840" s="13"/>
      <c r="G840" s="13"/>
      <c r="H840" s="13"/>
      <c r="I840" s="13"/>
      <c r="J840" s="13"/>
      <c r="K840" s="185"/>
      <c r="L840" s="186"/>
      <c r="M840" s="13"/>
      <c r="N840" s="13"/>
      <c r="O840" s="185"/>
      <c r="P840" s="13"/>
      <c r="Q840" s="13"/>
      <c r="R840" s="177"/>
      <c r="S840" s="35"/>
      <c r="T840" s="35"/>
      <c r="U840" s="13"/>
      <c r="V840" s="13"/>
      <c r="W840" s="13"/>
      <c r="X840" s="13"/>
      <c r="Y840" s="13"/>
      <c r="Z840" s="13"/>
      <c r="AA840" s="13"/>
      <c r="AB840" s="13"/>
      <c r="AC840" s="13"/>
    </row>
    <row r="841" ht="16.5" customHeight="1">
      <c r="A841" s="13"/>
      <c r="B841" s="13"/>
      <c r="C841" s="13"/>
      <c r="D841" s="13"/>
      <c r="E841" s="13"/>
      <c r="F841" s="13"/>
      <c r="G841" s="13"/>
      <c r="H841" s="13"/>
      <c r="I841" s="13"/>
      <c r="J841" s="13"/>
      <c r="K841" s="185"/>
      <c r="L841" s="186"/>
      <c r="M841" s="13"/>
      <c r="N841" s="13"/>
      <c r="O841" s="185"/>
      <c r="P841" s="13"/>
      <c r="Q841" s="13"/>
      <c r="R841" s="177"/>
      <c r="S841" s="35"/>
      <c r="T841" s="35"/>
      <c r="U841" s="13"/>
      <c r="V841" s="13"/>
      <c r="W841" s="13"/>
      <c r="X841" s="13"/>
      <c r="Y841" s="13"/>
      <c r="Z841" s="13"/>
      <c r="AA841" s="13"/>
      <c r="AB841" s="13"/>
      <c r="AC841" s="13"/>
    </row>
    <row r="842" ht="16.5" customHeight="1">
      <c r="A842" s="13"/>
      <c r="B842" s="13"/>
      <c r="C842" s="13"/>
      <c r="D842" s="13"/>
      <c r="E842" s="13"/>
      <c r="F842" s="13"/>
      <c r="G842" s="13"/>
      <c r="H842" s="13"/>
      <c r="I842" s="13"/>
      <c r="J842" s="13"/>
      <c r="K842" s="185"/>
      <c r="L842" s="186"/>
      <c r="M842" s="13"/>
      <c r="N842" s="13"/>
      <c r="O842" s="185"/>
      <c r="P842" s="13"/>
      <c r="Q842" s="13"/>
      <c r="R842" s="177"/>
      <c r="S842" s="35"/>
      <c r="T842" s="35"/>
      <c r="U842" s="13"/>
      <c r="V842" s="13"/>
      <c r="W842" s="13"/>
      <c r="X842" s="13"/>
      <c r="Y842" s="13"/>
      <c r="Z842" s="13"/>
      <c r="AA842" s="13"/>
      <c r="AB842" s="13"/>
      <c r="AC842" s="13"/>
    </row>
    <row r="843" ht="16.5" customHeight="1">
      <c r="A843" s="13"/>
      <c r="B843" s="13"/>
      <c r="C843" s="13"/>
      <c r="D843" s="13"/>
      <c r="E843" s="13"/>
      <c r="F843" s="13"/>
      <c r="G843" s="13"/>
      <c r="H843" s="13"/>
      <c r="I843" s="13"/>
      <c r="J843" s="13"/>
      <c r="K843" s="185"/>
      <c r="L843" s="186"/>
      <c r="M843" s="13"/>
      <c r="N843" s="13"/>
      <c r="O843" s="185"/>
      <c r="P843" s="13"/>
      <c r="Q843" s="13"/>
      <c r="R843" s="177"/>
      <c r="S843" s="35"/>
      <c r="T843" s="35"/>
      <c r="U843" s="13"/>
      <c r="V843" s="13"/>
      <c r="W843" s="13"/>
      <c r="X843" s="13"/>
      <c r="Y843" s="13"/>
      <c r="Z843" s="13"/>
      <c r="AA843" s="13"/>
      <c r="AB843" s="13"/>
      <c r="AC843" s="13"/>
    </row>
    <row r="844" ht="16.5" customHeight="1">
      <c r="A844" s="13"/>
      <c r="B844" s="13"/>
      <c r="C844" s="13"/>
      <c r="D844" s="13"/>
      <c r="E844" s="13"/>
      <c r="F844" s="13"/>
      <c r="G844" s="13"/>
      <c r="H844" s="13"/>
      <c r="I844" s="13"/>
      <c r="J844" s="13"/>
      <c r="K844" s="185"/>
      <c r="L844" s="186"/>
      <c r="M844" s="13"/>
      <c r="N844" s="13"/>
      <c r="O844" s="185"/>
      <c r="P844" s="13"/>
      <c r="Q844" s="13"/>
      <c r="R844" s="177"/>
      <c r="S844" s="35"/>
      <c r="T844" s="35"/>
      <c r="U844" s="13"/>
      <c r="V844" s="13"/>
      <c r="W844" s="13"/>
      <c r="X844" s="13"/>
      <c r="Y844" s="13"/>
      <c r="Z844" s="13"/>
      <c r="AA844" s="13"/>
      <c r="AB844" s="13"/>
      <c r="AC844" s="13"/>
    </row>
    <row r="845" ht="16.5" customHeight="1">
      <c r="A845" s="13"/>
      <c r="B845" s="13"/>
      <c r="C845" s="13"/>
      <c r="D845" s="13"/>
      <c r="E845" s="13"/>
      <c r="F845" s="13"/>
      <c r="G845" s="13"/>
      <c r="H845" s="13"/>
      <c r="I845" s="13"/>
      <c r="J845" s="13"/>
      <c r="K845" s="185"/>
      <c r="L845" s="186"/>
      <c r="M845" s="13"/>
      <c r="N845" s="13"/>
      <c r="O845" s="185"/>
      <c r="P845" s="13"/>
      <c r="Q845" s="13"/>
      <c r="R845" s="177"/>
      <c r="S845" s="35"/>
      <c r="T845" s="35"/>
      <c r="U845" s="13"/>
      <c r="V845" s="13"/>
      <c r="W845" s="13"/>
      <c r="X845" s="13"/>
      <c r="Y845" s="13"/>
      <c r="Z845" s="13"/>
      <c r="AA845" s="13"/>
      <c r="AB845" s="13"/>
      <c r="AC845" s="13"/>
    </row>
    <row r="846" ht="16.5" customHeight="1">
      <c r="A846" s="13"/>
      <c r="B846" s="13"/>
      <c r="C846" s="13"/>
      <c r="D846" s="13"/>
      <c r="E846" s="13"/>
      <c r="F846" s="13"/>
      <c r="G846" s="13"/>
      <c r="H846" s="13"/>
      <c r="I846" s="13"/>
      <c r="J846" s="13"/>
      <c r="K846" s="185"/>
      <c r="L846" s="186"/>
      <c r="M846" s="13"/>
      <c r="N846" s="13"/>
      <c r="O846" s="185"/>
      <c r="P846" s="13"/>
      <c r="Q846" s="13"/>
      <c r="R846" s="177"/>
      <c r="S846" s="35"/>
      <c r="T846" s="35"/>
      <c r="U846" s="13"/>
      <c r="V846" s="13"/>
      <c r="W846" s="13"/>
      <c r="X846" s="13"/>
      <c r="Y846" s="13"/>
      <c r="Z846" s="13"/>
      <c r="AA846" s="13"/>
      <c r="AB846" s="13"/>
      <c r="AC846" s="13"/>
    </row>
    <row r="847" ht="16.5" customHeight="1">
      <c r="A847" s="13"/>
      <c r="B847" s="13"/>
      <c r="C847" s="13"/>
      <c r="D847" s="13"/>
      <c r="E847" s="13"/>
      <c r="F847" s="13"/>
      <c r="G847" s="13"/>
      <c r="H847" s="13"/>
      <c r="I847" s="13"/>
      <c r="J847" s="13"/>
      <c r="K847" s="185"/>
      <c r="L847" s="186"/>
      <c r="M847" s="13"/>
      <c r="N847" s="13"/>
      <c r="O847" s="185"/>
      <c r="P847" s="13"/>
      <c r="Q847" s="13"/>
      <c r="R847" s="177"/>
      <c r="S847" s="35"/>
      <c r="T847" s="35"/>
      <c r="U847" s="13"/>
      <c r="V847" s="13"/>
      <c r="W847" s="13"/>
      <c r="X847" s="13"/>
      <c r="Y847" s="13"/>
      <c r="Z847" s="13"/>
      <c r="AA847" s="13"/>
      <c r="AB847" s="13"/>
      <c r="AC847" s="13"/>
    </row>
    <row r="848" ht="16.5" customHeight="1">
      <c r="A848" s="13"/>
      <c r="B848" s="13"/>
      <c r="C848" s="13"/>
      <c r="D848" s="13"/>
      <c r="E848" s="13"/>
      <c r="F848" s="13"/>
      <c r="G848" s="13"/>
      <c r="H848" s="13"/>
      <c r="I848" s="13"/>
      <c r="J848" s="13"/>
      <c r="K848" s="185"/>
      <c r="L848" s="186"/>
      <c r="M848" s="13"/>
      <c r="N848" s="13"/>
      <c r="O848" s="185"/>
      <c r="P848" s="13"/>
      <c r="Q848" s="13"/>
      <c r="R848" s="177"/>
      <c r="S848" s="35"/>
      <c r="T848" s="35"/>
      <c r="U848" s="13"/>
      <c r="V848" s="13"/>
      <c r="W848" s="13"/>
      <c r="X848" s="13"/>
      <c r="Y848" s="13"/>
      <c r="Z848" s="13"/>
      <c r="AA848" s="13"/>
      <c r="AB848" s="13"/>
      <c r="AC848" s="13"/>
    </row>
    <row r="849" ht="16.5" customHeight="1">
      <c r="A849" s="13"/>
      <c r="B849" s="13"/>
      <c r="C849" s="13"/>
      <c r="D849" s="13"/>
      <c r="E849" s="13"/>
      <c r="F849" s="13"/>
      <c r="G849" s="13"/>
      <c r="H849" s="13"/>
      <c r="I849" s="13"/>
      <c r="J849" s="13"/>
      <c r="K849" s="185"/>
      <c r="L849" s="186"/>
      <c r="M849" s="13"/>
      <c r="N849" s="13"/>
      <c r="O849" s="185"/>
      <c r="P849" s="13"/>
      <c r="Q849" s="13"/>
      <c r="R849" s="177"/>
      <c r="S849" s="35"/>
      <c r="T849" s="35"/>
      <c r="U849" s="13"/>
      <c r="V849" s="13"/>
      <c r="W849" s="13"/>
      <c r="X849" s="13"/>
      <c r="Y849" s="13"/>
      <c r="Z849" s="13"/>
      <c r="AA849" s="13"/>
      <c r="AB849" s="13"/>
      <c r="AC849" s="13"/>
    </row>
    <row r="850" ht="16.5" customHeight="1">
      <c r="A850" s="13"/>
      <c r="B850" s="13"/>
      <c r="C850" s="13"/>
      <c r="D850" s="13"/>
      <c r="E850" s="13"/>
      <c r="F850" s="13"/>
      <c r="G850" s="13"/>
      <c r="H850" s="13"/>
      <c r="I850" s="13"/>
      <c r="J850" s="13"/>
      <c r="K850" s="185"/>
      <c r="L850" s="186"/>
      <c r="M850" s="13"/>
      <c r="N850" s="13"/>
      <c r="O850" s="185"/>
      <c r="P850" s="13"/>
      <c r="Q850" s="13"/>
      <c r="R850" s="177"/>
      <c r="S850" s="35"/>
      <c r="T850" s="35"/>
      <c r="U850" s="13"/>
      <c r="V850" s="13"/>
      <c r="W850" s="13"/>
      <c r="X850" s="13"/>
      <c r="Y850" s="13"/>
      <c r="Z850" s="13"/>
      <c r="AA850" s="13"/>
      <c r="AB850" s="13"/>
      <c r="AC850" s="13"/>
    </row>
    <row r="851" ht="16.5" customHeight="1">
      <c r="A851" s="13"/>
      <c r="B851" s="13"/>
      <c r="C851" s="13"/>
      <c r="D851" s="13"/>
      <c r="E851" s="13"/>
      <c r="F851" s="13"/>
      <c r="G851" s="13"/>
      <c r="H851" s="13"/>
      <c r="I851" s="13"/>
      <c r="J851" s="13"/>
      <c r="K851" s="185"/>
      <c r="L851" s="186"/>
      <c r="M851" s="13"/>
      <c r="N851" s="13"/>
      <c r="O851" s="185"/>
      <c r="P851" s="13"/>
      <c r="Q851" s="13"/>
      <c r="R851" s="177"/>
      <c r="S851" s="35"/>
      <c r="T851" s="35"/>
      <c r="U851" s="13"/>
      <c r="V851" s="13"/>
      <c r="W851" s="13"/>
      <c r="X851" s="13"/>
      <c r="Y851" s="13"/>
      <c r="Z851" s="13"/>
      <c r="AA851" s="13"/>
      <c r="AB851" s="13"/>
      <c r="AC851" s="13"/>
    </row>
    <row r="852" ht="16.5" customHeight="1">
      <c r="A852" s="13"/>
      <c r="B852" s="13"/>
      <c r="C852" s="13"/>
      <c r="D852" s="13"/>
      <c r="E852" s="13"/>
      <c r="F852" s="13"/>
      <c r="G852" s="13"/>
      <c r="H852" s="13"/>
      <c r="I852" s="13"/>
      <c r="J852" s="13"/>
      <c r="K852" s="185"/>
      <c r="L852" s="186"/>
      <c r="M852" s="13"/>
      <c r="N852" s="13"/>
      <c r="O852" s="185"/>
      <c r="P852" s="13"/>
      <c r="Q852" s="13"/>
      <c r="R852" s="177"/>
      <c r="S852" s="35"/>
      <c r="T852" s="35"/>
      <c r="U852" s="13"/>
      <c r="V852" s="13"/>
      <c r="W852" s="13"/>
      <c r="X852" s="13"/>
      <c r="Y852" s="13"/>
      <c r="Z852" s="13"/>
      <c r="AA852" s="13"/>
      <c r="AB852" s="13"/>
      <c r="AC852" s="13"/>
    </row>
    <row r="853" ht="16.5" customHeight="1">
      <c r="A853" s="13"/>
      <c r="B853" s="13"/>
      <c r="C853" s="13"/>
      <c r="D853" s="13"/>
      <c r="E853" s="13"/>
      <c r="F853" s="13"/>
      <c r="G853" s="13"/>
      <c r="H853" s="13"/>
      <c r="I853" s="13"/>
      <c r="J853" s="13"/>
      <c r="K853" s="185"/>
      <c r="L853" s="186"/>
      <c r="M853" s="13"/>
      <c r="N853" s="13"/>
      <c r="O853" s="185"/>
      <c r="P853" s="13"/>
      <c r="Q853" s="13"/>
      <c r="R853" s="177"/>
      <c r="S853" s="35"/>
      <c r="T853" s="35"/>
      <c r="U853" s="13"/>
      <c r="V853" s="13"/>
      <c r="W853" s="13"/>
      <c r="X853" s="13"/>
      <c r="Y853" s="13"/>
      <c r="Z853" s="13"/>
      <c r="AA853" s="13"/>
      <c r="AB853" s="13"/>
      <c r="AC853" s="13"/>
    </row>
    <row r="854" ht="16.5" customHeight="1">
      <c r="A854" s="13"/>
      <c r="B854" s="13"/>
      <c r="C854" s="13"/>
      <c r="D854" s="13"/>
      <c r="E854" s="13"/>
      <c r="F854" s="13"/>
      <c r="G854" s="13"/>
      <c r="H854" s="13"/>
      <c r="I854" s="13"/>
      <c r="J854" s="13"/>
      <c r="K854" s="185"/>
      <c r="L854" s="186"/>
      <c r="M854" s="13"/>
      <c r="N854" s="13"/>
      <c r="O854" s="185"/>
      <c r="P854" s="13"/>
      <c r="Q854" s="13"/>
      <c r="R854" s="177"/>
      <c r="S854" s="35"/>
      <c r="T854" s="35"/>
      <c r="U854" s="13"/>
      <c r="V854" s="13"/>
      <c r="W854" s="13"/>
      <c r="X854" s="13"/>
      <c r="Y854" s="13"/>
      <c r="Z854" s="13"/>
      <c r="AA854" s="13"/>
      <c r="AB854" s="13"/>
      <c r="AC854" s="13"/>
    </row>
    <row r="855" ht="16.5" customHeight="1">
      <c r="A855" s="13"/>
      <c r="B855" s="13"/>
      <c r="C855" s="13"/>
      <c r="D855" s="13"/>
      <c r="E855" s="13"/>
      <c r="F855" s="13"/>
      <c r="G855" s="13"/>
      <c r="H855" s="13"/>
      <c r="I855" s="13"/>
      <c r="J855" s="13"/>
      <c r="K855" s="185"/>
      <c r="L855" s="186"/>
      <c r="M855" s="13"/>
      <c r="N855" s="13"/>
      <c r="O855" s="185"/>
      <c r="P855" s="13"/>
      <c r="Q855" s="13"/>
      <c r="R855" s="177"/>
      <c r="S855" s="35"/>
      <c r="T855" s="35"/>
      <c r="U855" s="13"/>
      <c r="V855" s="13"/>
      <c r="W855" s="13"/>
      <c r="X855" s="13"/>
      <c r="Y855" s="13"/>
      <c r="Z855" s="13"/>
      <c r="AA855" s="13"/>
      <c r="AB855" s="13"/>
      <c r="AC855" s="13"/>
    </row>
    <row r="856" ht="16.5" customHeight="1">
      <c r="A856" s="13"/>
      <c r="B856" s="13"/>
      <c r="C856" s="13"/>
      <c r="D856" s="13"/>
      <c r="E856" s="13"/>
      <c r="F856" s="13"/>
      <c r="G856" s="13"/>
      <c r="H856" s="13"/>
      <c r="I856" s="13"/>
      <c r="J856" s="13"/>
      <c r="K856" s="185"/>
      <c r="L856" s="186"/>
      <c r="M856" s="13"/>
      <c r="N856" s="13"/>
      <c r="O856" s="185"/>
      <c r="P856" s="13"/>
      <c r="Q856" s="13"/>
      <c r="R856" s="177"/>
      <c r="S856" s="35"/>
      <c r="T856" s="35"/>
      <c r="U856" s="13"/>
      <c r="V856" s="13"/>
      <c r="W856" s="13"/>
      <c r="X856" s="13"/>
      <c r="Y856" s="13"/>
      <c r="Z856" s="13"/>
      <c r="AA856" s="13"/>
      <c r="AB856" s="13"/>
      <c r="AC856" s="13"/>
    </row>
    <row r="857" ht="16.5" customHeight="1">
      <c r="A857" s="13"/>
      <c r="B857" s="13"/>
      <c r="C857" s="13"/>
      <c r="D857" s="13"/>
      <c r="E857" s="13"/>
      <c r="F857" s="13"/>
      <c r="G857" s="13"/>
      <c r="H857" s="13"/>
      <c r="I857" s="13"/>
      <c r="J857" s="13"/>
      <c r="K857" s="185"/>
      <c r="L857" s="186"/>
      <c r="M857" s="13"/>
      <c r="N857" s="13"/>
      <c r="O857" s="185"/>
      <c r="P857" s="13"/>
      <c r="Q857" s="13"/>
      <c r="R857" s="177"/>
      <c r="S857" s="35"/>
      <c r="T857" s="35"/>
      <c r="U857" s="13"/>
      <c r="V857" s="13"/>
      <c r="W857" s="13"/>
      <c r="X857" s="13"/>
      <c r="Y857" s="13"/>
      <c r="Z857" s="13"/>
      <c r="AA857" s="13"/>
      <c r="AB857" s="13"/>
      <c r="AC857" s="13"/>
    </row>
    <row r="858" ht="16.5" customHeight="1">
      <c r="A858" s="13"/>
      <c r="B858" s="13"/>
      <c r="C858" s="13"/>
      <c r="D858" s="13"/>
      <c r="E858" s="13"/>
      <c r="F858" s="13"/>
      <c r="G858" s="13"/>
      <c r="H858" s="13"/>
      <c r="I858" s="13"/>
      <c r="J858" s="13"/>
      <c r="K858" s="185"/>
      <c r="L858" s="186"/>
      <c r="M858" s="13"/>
      <c r="N858" s="13"/>
      <c r="O858" s="185"/>
      <c r="P858" s="13"/>
      <c r="Q858" s="13"/>
      <c r="R858" s="177"/>
      <c r="S858" s="35"/>
      <c r="T858" s="35"/>
      <c r="U858" s="13"/>
      <c r="V858" s="13"/>
      <c r="W858" s="13"/>
      <c r="X858" s="13"/>
      <c r="Y858" s="13"/>
      <c r="Z858" s="13"/>
      <c r="AA858" s="13"/>
      <c r="AB858" s="13"/>
      <c r="AC858" s="13"/>
    </row>
    <row r="859" ht="16.5" customHeight="1">
      <c r="A859" s="13"/>
      <c r="B859" s="13"/>
      <c r="C859" s="13"/>
      <c r="D859" s="13"/>
      <c r="E859" s="13"/>
      <c r="F859" s="13"/>
      <c r="G859" s="13"/>
      <c r="H859" s="13"/>
      <c r="I859" s="13"/>
      <c r="J859" s="13"/>
      <c r="K859" s="185"/>
      <c r="L859" s="186"/>
      <c r="M859" s="13"/>
      <c r="N859" s="13"/>
      <c r="O859" s="185"/>
      <c r="P859" s="13"/>
      <c r="Q859" s="13"/>
      <c r="R859" s="177"/>
      <c r="S859" s="35"/>
      <c r="T859" s="35"/>
      <c r="U859" s="13"/>
      <c r="V859" s="13"/>
      <c r="W859" s="13"/>
      <c r="X859" s="13"/>
      <c r="Y859" s="13"/>
      <c r="Z859" s="13"/>
      <c r="AA859" s="13"/>
      <c r="AB859" s="13"/>
      <c r="AC859" s="13"/>
    </row>
    <row r="860" ht="16.5" customHeight="1">
      <c r="A860" s="13"/>
      <c r="B860" s="13"/>
      <c r="C860" s="13"/>
      <c r="D860" s="13"/>
      <c r="E860" s="13"/>
      <c r="F860" s="13"/>
      <c r="G860" s="13"/>
      <c r="H860" s="13"/>
      <c r="I860" s="13"/>
      <c r="J860" s="13"/>
      <c r="K860" s="185"/>
      <c r="L860" s="186"/>
      <c r="M860" s="13"/>
      <c r="N860" s="13"/>
      <c r="O860" s="185"/>
      <c r="P860" s="13"/>
      <c r="Q860" s="13"/>
      <c r="R860" s="177"/>
      <c r="S860" s="35"/>
      <c r="T860" s="35"/>
      <c r="U860" s="13"/>
      <c r="V860" s="13"/>
      <c r="W860" s="13"/>
      <c r="X860" s="13"/>
      <c r="Y860" s="13"/>
      <c r="Z860" s="13"/>
      <c r="AA860" s="13"/>
      <c r="AB860" s="13"/>
      <c r="AC860" s="13"/>
    </row>
    <row r="861" ht="16.5" customHeight="1">
      <c r="A861" s="13"/>
      <c r="B861" s="13"/>
      <c r="C861" s="13"/>
      <c r="D861" s="13"/>
      <c r="E861" s="13"/>
      <c r="F861" s="13"/>
      <c r="G861" s="13"/>
      <c r="H861" s="13"/>
      <c r="I861" s="13"/>
      <c r="J861" s="13"/>
      <c r="K861" s="185"/>
      <c r="L861" s="186"/>
      <c r="M861" s="13"/>
      <c r="N861" s="13"/>
      <c r="O861" s="185"/>
      <c r="P861" s="13"/>
      <c r="Q861" s="13"/>
      <c r="R861" s="177"/>
      <c r="S861" s="35"/>
      <c r="T861" s="35"/>
      <c r="U861" s="13"/>
      <c r="V861" s="13"/>
      <c r="W861" s="13"/>
      <c r="X861" s="13"/>
      <c r="Y861" s="13"/>
      <c r="Z861" s="13"/>
      <c r="AA861" s="13"/>
      <c r="AB861" s="13"/>
      <c r="AC861" s="13"/>
    </row>
    <row r="862" ht="16.5" customHeight="1">
      <c r="A862" s="13"/>
      <c r="B862" s="13"/>
      <c r="C862" s="13"/>
      <c r="D862" s="13"/>
      <c r="E862" s="13"/>
      <c r="F862" s="13"/>
      <c r="G862" s="13"/>
      <c r="H862" s="13"/>
      <c r="I862" s="13"/>
      <c r="J862" s="13"/>
      <c r="K862" s="185"/>
      <c r="L862" s="186"/>
      <c r="M862" s="13"/>
      <c r="N862" s="13"/>
      <c r="O862" s="185"/>
      <c r="P862" s="13"/>
      <c r="Q862" s="13"/>
      <c r="R862" s="177"/>
      <c r="S862" s="35"/>
      <c r="T862" s="35"/>
      <c r="U862" s="13"/>
      <c r="V862" s="13"/>
      <c r="W862" s="13"/>
      <c r="X862" s="13"/>
      <c r="Y862" s="13"/>
      <c r="Z862" s="13"/>
      <c r="AA862" s="13"/>
      <c r="AB862" s="13"/>
      <c r="AC862" s="13"/>
    </row>
    <row r="863" ht="16.5" customHeight="1">
      <c r="A863" s="13"/>
      <c r="B863" s="13"/>
      <c r="C863" s="13"/>
      <c r="D863" s="13"/>
      <c r="E863" s="13"/>
      <c r="F863" s="13"/>
      <c r="G863" s="13"/>
      <c r="H863" s="13"/>
      <c r="I863" s="13"/>
      <c r="J863" s="13"/>
      <c r="K863" s="185"/>
      <c r="L863" s="186"/>
      <c r="M863" s="13"/>
      <c r="N863" s="13"/>
      <c r="O863" s="185"/>
      <c r="P863" s="13"/>
      <c r="Q863" s="13"/>
      <c r="R863" s="177"/>
      <c r="S863" s="35"/>
      <c r="T863" s="35"/>
      <c r="U863" s="13"/>
      <c r="V863" s="13"/>
      <c r="W863" s="13"/>
      <c r="X863" s="13"/>
      <c r="Y863" s="13"/>
      <c r="Z863" s="13"/>
      <c r="AA863" s="13"/>
      <c r="AB863" s="13"/>
      <c r="AC863" s="13"/>
    </row>
    <row r="864" ht="16.5" customHeight="1">
      <c r="A864" s="13"/>
      <c r="B864" s="13"/>
      <c r="C864" s="13"/>
      <c r="D864" s="13"/>
      <c r="E864" s="13"/>
      <c r="F864" s="13"/>
      <c r="G864" s="13"/>
      <c r="H864" s="13"/>
      <c r="I864" s="13"/>
      <c r="J864" s="13"/>
      <c r="K864" s="185"/>
      <c r="L864" s="186"/>
      <c r="M864" s="13"/>
      <c r="N864" s="13"/>
      <c r="O864" s="185"/>
      <c r="P864" s="13"/>
      <c r="Q864" s="13"/>
      <c r="R864" s="177"/>
      <c r="S864" s="35"/>
      <c r="T864" s="35"/>
      <c r="U864" s="13"/>
      <c r="V864" s="13"/>
      <c r="W864" s="13"/>
      <c r="X864" s="13"/>
      <c r="Y864" s="13"/>
      <c r="Z864" s="13"/>
      <c r="AA864" s="13"/>
      <c r="AB864" s="13"/>
      <c r="AC864" s="13"/>
    </row>
    <row r="865" ht="16.5" customHeight="1">
      <c r="A865" s="13"/>
      <c r="B865" s="13"/>
      <c r="C865" s="13"/>
      <c r="D865" s="13"/>
      <c r="E865" s="13"/>
      <c r="F865" s="13"/>
      <c r="G865" s="13"/>
      <c r="H865" s="13"/>
      <c r="I865" s="13"/>
      <c r="J865" s="13"/>
      <c r="K865" s="185"/>
      <c r="L865" s="186"/>
      <c r="M865" s="13"/>
      <c r="N865" s="13"/>
      <c r="O865" s="185"/>
      <c r="P865" s="13"/>
      <c r="Q865" s="13"/>
      <c r="R865" s="177"/>
      <c r="S865" s="35"/>
      <c r="T865" s="35"/>
      <c r="U865" s="13"/>
      <c r="V865" s="13"/>
      <c r="W865" s="13"/>
      <c r="X865" s="13"/>
      <c r="Y865" s="13"/>
      <c r="Z865" s="13"/>
      <c r="AA865" s="13"/>
      <c r="AB865" s="13"/>
      <c r="AC865" s="13"/>
    </row>
    <row r="866" ht="16.5" customHeight="1">
      <c r="A866" s="13"/>
      <c r="B866" s="13"/>
      <c r="C866" s="13"/>
      <c r="D866" s="13"/>
      <c r="E866" s="13"/>
      <c r="F866" s="13"/>
      <c r="G866" s="13"/>
      <c r="H866" s="13"/>
      <c r="I866" s="13"/>
      <c r="J866" s="13"/>
      <c r="K866" s="185"/>
      <c r="L866" s="186"/>
      <c r="M866" s="13"/>
      <c r="N866" s="13"/>
      <c r="O866" s="185"/>
      <c r="P866" s="13"/>
      <c r="Q866" s="13"/>
      <c r="R866" s="177"/>
      <c r="S866" s="35"/>
      <c r="T866" s="35"/>
      <c r="U866" s="13"/>
      <c r="V866" s="13"/>
      <c r="W866" s="13"/>
      <c r="X866" s="13"/>
      <c r="Y866" s="13"/>
      <c r="Z866" s="13"/>
      <c r="AA866" s="13"/>
      <c r="AB866" s="13"/>
      <c r="AC866" s="13"/>
    </row>
    <row r="867" ht="16.5" customHeight="1">
      <c r="A867" s="13"/>
      <c r="B867" s="13"/>
      <c r="C867" s="13"/>
      <c r="D867" s="13"/>
      <c r="E867" s="13"/>
      <c r="F867" s="13"/>
      <c r="G867" s="13"/>
      <c r="H867" s="13"/>
      <c r="I867" s="13"/>
      <c r="J867" s="13"/>
      <c r="K867" s="185"/>
      <c r="L867" s="186"/>
      <c r="M867" s="13"/>
      <c r="N867" s="13"/>
      <c r="O867" s="185"/>
      <c r="P867" s="13"/>
      <c r="Q867" s="13"/>
      <c r="R867" s="177"/>
      <c r="S867" s="35"/>
      <c r="T867" s="35"/>
      <c r="U867" s="13"/>
      <c r="V867" s="13"/>
      <c r="W867" s="13"/>
      <c r="X867" s="13"/>
      <c r="Y867" s="13"/>
      <c r="Z867" s="13"/>
      <c r="AA867" s="13"/>
      <c r="AB867" s="13"/>
      <c r="AC867" s="13"/>
    </row>
    <row r="868" ht="16.5" customHeight="1">
      <c r="A868" s="13"/>
      <c r="B868" s="13"/>
      <c r="C868" s="13"/>
      <c r="D868" s="13"/>
      <c r="E868" s="13"/>
      <c r="F868" s="13"/>
      <c r="G868" s="13"/>
      <c r="H868" s="13"/>
      <c r="I868" s="13"/>
      <c r="J868" s="13"/>
      <c r="K868" s="185"/>
      <c r="L868" s="186"/>
      <c r="M868" s="13"/>
      <c r="N868" s="13"/>
      <c r="O868" s="185"/>
      <c r="P868" s="13"/>
      <c r="Q868" s="13"/>
      <c r="R868" s="177"/>
      <c r="S868" s="35"/>
      <c r="T868" s="35"/>
      <c r="U868" s="13"/>
      <c r="V868" s="13"/>
      <c r="W868" s="13"/>
      <c r="X868" s="13"/>
      <c r="Y868" s="13"/>
      <c r="Z868" s="13"/>
      <c r="AA868" s="13"/>
      <c r="AB868" s="13"/>
      <c r="AC868" s="13"/>
    </row>
    <row r="869" ht="16.5" customHeight="1">
      <c r="A869" s="13"/>
      <c r="B869" s="13"/>
      <c r="C869" s="13"/>
      <c r="D869" s="13"/>
      <c r="E869" s="13"/>
      <c r="F869" s="13"/>
      <c r="G869" s="13"/>
      <c r="H869" s="13"/>
      <c r="I869" s="13"/>
      <c r="J869" s="13"/>
      <c r="K869" s="185"/>
      <c r="L869" s="186"/>
      <c r="M869" s="13"/>
      <c r="N869" s="13"/>
      <c r="O869" s="185"/>
      <c r="P869" s="13"/>
      <c r="Q869" s="13"/>
      <c r="R869" s="177"/>
      <c r="S869" s="35"/>
      <c r="T869" s="35"/>
      <c r="U869" s="13"/>
      <c r="V869" s="13"/>
      <c r="W869" s="13"/>
      <c r="X869" s="13"/>
      <c r="Y869" s="13"/>
      <c r="Z869" s="13"/>
      <c r="AA869" s="13"/>
      <c r="AB869" s="13"/>
      <c r="AC869" s="13"/>
    </row>
    <row r="870" ht="16.5" customHeight="1">
      <c r="A870" s="13"/>
      <c r="B870" s="13"/>
      <c r="C870" s="13"/>
      <c r="D870" s="13"/>
      <c r="E870" s="13"/>
      <c r="F870" s="13"/>
      <c r="G870" s="13"/>
      <c r="H870" s="13"/>
      <c r="I870" s="13"/>
      <c r="J870" s="13"/>
      <c r="K870" s="185"/>
      <c r="L870" s="186"/>
      <c r="M870" s="13"/>
      <c r="N870" s="13"/>
      <c r="O870" s="185"/>
      <c r="P870" s="13"/>
      <c r="Q870" s="13"/>
      <c r="R870" s="177"/>
      <c r="S870" s="35"/>
      <c r="T870" s="35"/>
      <c r="U870" s="13"/>
      <c r="V870" s="13"/>
      <c r="W870" s="13"/>
      <c r="X870" s="13"/>
      <c r="Y870" s="13"/>
      <c r="Z870" s="13"/>
      <c r="AA870" s="13"/>
      <c r="AB870" s="13"/>
      <c r="AC870" s="13"/>
    </row>
    <row r="871" ht="16.5" customHeight="1">
      <c r="A871" s="13"/>
      <c r="B871" s="13"/>
      <c r="C871" s="13"/>
      <c r="D871" s="13"/>
      <c r="E871" s="13"/>
      <c r="F871" s="13"/>
      <c r="G871" s="13"/>
      <c r="H871" s="13"/>
      <c r="I871" s="13"/>
      <c r="J871" s="13"/>
      <c r="K871" s="185"/>
      <c r="L871" s="186"/>
      <c r="M871" s="13"/>
      <c r="N871" s="13"/>
      <c r="O871" s="185"/>
      <c r="P871" s="13"/>
      <c r="Q871" s="13"/>
      <c r="R871" s="177"/>
      <c r="S871" s="35"/>
      <c r="T871" s="35"/>
      <c r="U871" s="13"/>
      <c r="V871" s="13"/>
      <c r="W871" s="13"/>
      <c r="X871" s="13"/>
      <c r="Y871" s="13"/>
      <c r="Z871" s="13"/>
      <c r="AA871" s="13"/>
      <c r="AB871" s="13"/>
      <c r="AC871" s="13"/>
    </row>
    <row r="872" ht="16.5" customHeight="1">
      <c r="A872" s="13"/>
      <c r="B872" s="13"/>
      <c r="C872" s="13"/>
      <c r="D872" s="13"/>
      <c r="E872" s="13"/>
      <c r="F872" s="13"/>
      <c r="G872" s="13"/>
      <c r="H872" s="13"/>
      <c r="I872" s="13"/>
      <c r="J872" s="13"/>
      <c r="K872" s="185"/>
      <c r="L872" s="186"/>
      <c r="M872" s="13"/>
      <c r="N872" s="13"/>
      <c r="O872" s="185"/>
      <c r="P872" s="13"/>
      <c r="Q872" s="13"/>
      <c r="R872" s="177"/>
      <c r="S872" s="35"/>
      <c r="T872" s="35"/>
      <c r="U872" s="13"/>
      <c r="V872" s="13"/>
      <c r="W872" s="13"/>
      <c r="X872" s="13"/>
      <c r="Y872" s="13"/>
      <c r="Z872" s="13"/>
      <c r="AA872" s="13"/>
      <c r="AB872" s="13"/>
      <c r="AC872" s="13"/>
    </row>
    <row r="873" ht="16.5" customHeight="1">
      <c r="A873" s="13"/>
      <c r="B873" s="13"/>
      <c r="C873" s="13"/>
      <c r="D873" s="13"/>
      <c r="E873" s="13"/>
      <c r="F873" s="13"/>
      <c r="G873" s="13"/>
      <c r="H873" s="13"/>
      <c r="I873" s="13"/>
      <c r="J873" s="13"/>
      <c r="K873" s="185"/>
      <c r="L873" s="186"/>
      <c r="M873" s="13"/>
      <c r="N873" s="13"/>
      <c r="O873" s="185"/>
      <c r="P873" s="13"/>
      <c r="Q873" s="13"/>
      <c r="R873" s="177"/>
      <c r="S873" s="35"/>
      <c r="T873" s="35"/>
      <c r="U873" s="13"/>
      <c r="V873" s="13"/>
      <c r="W873" s="13"/>
      <c r="X873" s="13"/>
      <c r="Y873" s="13"/>
      <c r="Z873" s="13"/>
      <c r="AA873" s="13"/>
      <c r="AB873" s="13"/>
      <c r="AC873" s="13"/>
    </row>
    <row r="874" ht="16.5" customHeight="1">
      <c r="A874" s="13"/>
      <c r="B874" s="13"/>
      <c r="C874" s="13"/>
      <c r="D874" s="13"/>
      <c r="E874" s="13"/>
      <c r="F874" s="13"/>
      <c r="G874" s="13"/>
      <c r="H874" s="13"/>
      <c r="I874" s="13"/>
      <c r="J874" s="13"/>
      <c r="K874" s="185"/>
      <c r="L874" s="186"/>
      <c r="M874" s="13"/>
      <c r="N874" s="13"/>
      <c r="O874" s="185"/>
      <c r="P874" s="13"/>
      <c r="Q874" s="13"/>
      <c r="R874" s="177"/>
      <c r="S874" s="35"/>
      <c r="T874" s="35"/>
      <c r="U874" s="13"/>
      <c r="V874" s="13"/>
      <c r="W874" s="13"/>
      <c r="X874" s="13"/>
      <c r="Y874" s="13"/>
      <c r="Z874" s="13"/>
      <c r="AA874" s="13"/>
      <c r="AB874" s="13"/>
      <c r="AC874" s="13"/>
    </row>
    <row r="875" ht="16.5" customHeight="1">
      <c r="A875" s="13"/>
      <c r="B875" s="13"/>
      <c r="C875" s="13"/>
      <c r="D875" s="13"/>
      <c r="E875" s="13"/>
      <c r="F875" s="13"/>
      <c r="G875" s="13"/>
      <c r="H875" s="13"/>
      <c r="I875" s="13"/>
      <c r="J875" s="13"/>
      <c r="K875" s="185"/>
      <c r="L875" s="186"/>
      <c r="M875" s="13"/>
      <c r="N875" s="13"/>
      <c r="O875" s="185"/>
      <c r="P875" s="13"/>
      <c r="Q875" s="13"/>
      <c r="R875" s="177"/>
      <c r="S875" s="35"/>
      <c r="T875" s="35"/>
      <c r="U875" s="13"/>
      <c r="V875" s="13"/>
      <c r="W875" s="13"/>
      <c r="X875" s="13"/>
      <c r="Y875" s="13"/>
      <c r="Z875" s="13"/>
      <c r="AA875" s="13"/>
      <c r="AB875" s="13"/>
      <c r="AC875" s="13"/>
    </row>
    <row r="876" ht="16.5" customHeight="1">
      <c r="A876" s="13"/>
      <c r="B876" s="13"/>
      <c r="C876" s="13"/>
      <c r="D876" s="13"/>
      <c r="E876" s="13"/>
      <c r="F876" s="13"/>
      <c r="G876" s="13"/>
      <c r="H876" s="13"/>
      <c r="I876" s="13"/>
      <c r="J876" s="13"/>
      <c r="K876" s="185"/>
      <c r="L876" s="186"/>
      <c r="M876" s="13"/>
      <c r="N876" s="13"/>
      <c r="O876" s="185"/>
      <c r="P876" s="13"/>
      <c r="Q876" s="13"/>
      <c r="R876" s="177"/>
      <c r="S876" s="35"/>
      <c r="T876" s="35"/>
      <c r="U876" s="13"/>
      <c r="V876" s="13"/>
      <c r="W876" s="13"/>
      <c r="X876" s="13"/>
      <c r="Y876" s="13"/>
      <c r="Z876" s="13"/>
      <c r="AA876" s="13"/>
      <c r="AB876" s="13"/>
      <c r="AC876" s="13"/>
    </row>
    <row r="877" ht="16.5" customHeight="1">
      <c r="A877" s="13"/>
      <c r="B877" s="13"/>
      <c r="C877" s="13"/>
      <c r="D877" s="13"/>
      <c r="E877" s="13"/>
      <c r="F877" s="13"/>
      <c r="G877" s="13"/>
      <c r="H877" s="13"/>
      <c r="I877" s="13"/>
      <c r="J877" s="13"/>
      <c r="K877" s="185"/>
      <c r="L877" s="186"/>
      <c r="M877" s="13"/>
      <c r="N877" s="13"/>
      <c r="O877" s="185"/>
      <c r="P877" s="13"/>
      <c r="Q877" s="13"/>
      <c r="R877" s="177"/>
      <c r="S877" s="35"/>
      <c r="T877" s="35"/>
      <c r="U877" s="13"/>
      <c r="V877" s="13"/>
      <c r="W877" s="13"/>
      <c r="X877" s="13"/>
      <c r="Y877" s="13"/>
      <c r="Z877" s="13"/>
      <c r="AA877" s="13"/>
      <c r="AB877" s="13"/>
      <c r="AC877" s="13"/>
    </row>
    <row r="878" ht="16.5" customHeight="1">
      <c r="A878" s="13"/>
      <c r="B878" s="13"/>
      <c r="C878" s="13"/>
      <c r="D878" s="13"/>
      <c r="E878" s="13"/>
      <c r="F878" s="13"/>
      <c r="G878" s="13"/>
      <c r="H878" s="13"/>
      <c r="I878" s="13"/>
      <c r="J878" s="13"/>
      <c r="K878" s="185"/>
      <c r="L878" s="186"/>
      <c r="M878" s="13"/>
      <c r="N878" s="13"/>
      <c r="O878" s="185"/>
      <c r="P878" s="13"/>
      <c r="Q878" s="13"/>
      <c r="R878" s="177"/>
      <c r="S878" s="35"/>
      <c r="T878" s="35"/>
      <c r="U878" s="13"/>
      <c r="V878" s="13"/>
      <c r="W878" s="13"/>
      <c r="X878" s="13"/>
      <c r="Y878" s="13"/>
      <c r="Z878" s="13"/>
      <c r="AA878" s="13"/>
      <c r="AB878" s="13"/>
      <c r="AC878" s="13"/>
    </row>
    <row r="879" ht="16.5" customHeight="1">
      <c r="A879" s="13"/>
      <c r="B879" s="13"/>
      <c r="C879" s="13"/>
      <c r="D879" s="13"/>
      <c r="E879" s="13"/>
      <c r="F879" s="13"/>
      <c r="G879" s="13"/>
      <c r="H879" s="13"/>
      <c r="I879" s="13"/>
      <c r="J879" s="13"/>
      <c r="K879" s="185"/>
      <c r="L879" s="186"/>
      <c r="M879" s="13"/>
      <c r="N879" s="13"/>
      <c r="O879" s="185"/>
      <c r="P879" s="13"/>
      <c r="Q879" s="13"/>
      <c r="R879" s="177"/>
      <c r="S879" s="35"/>
      <c r="T879" s="35"/>
      <c r="U879" s="13"/>
      <c r="V879" s="13"/>
      <c r="W879" s="13"/>
      <c r="X879" s="13"/>
      <c r="Y879" s="13"/>
      <c r="Z879" s="13"/>
      <c r="AA879" s="13"/>
      <c r="AB879" s="13"/>
      <c r="AC879" s="13"/>
    </row>
    <row r="880" ht="16.5" customHeight="1">
      <c r="A880" s="13"/>
      <c r="B880" s="13"/>
      <c r="C880" s="13"/>
      <c r="D880" s="13"/>
      <c r="E880" s="13"/>
      <c r="F880" s="13"/>
      <c r="G880" s="13"/>
      <c r="H880" s="13"/>
      <c r="I880" s="13"/>
      <c r="J880" s="13"/>
      <c r="K880" s="185"/>
      <c r="L880" s="186"/>
      <c r="M880" s="13"/>
      <c r="N880" s="13"/>
      <c r="O880" s="185"/>
      <c r="P880" s="13"/>
      <c r="Q880" s="13"/>
      <c r="R880" s="177"/>
      <c r="S880" s="35"/>
      <c r="T880" s="35"/>
      <c r="U880" s="13"/>
      <c r="V880" s="13"/>
      <c r="W880" s="13"/>
      <c r="X880" s="13"/>
      <c r="Y880" s="13"/>
      <c r="Z880" s="13"/>
      <c r="AA880" s="13"/>
      <c r="AB880" s="13"/>
      <c r="AC880" s="13"/>
    </row>
    <row r="881" ht="16.5" customHeight="1">
      <c r="A881" s="13"/>
      <c r="B881" s="13"/>
      <c r="C881" s="13"/>
      <c r="D881" s="13"/>
      <c r="E881" s="13"/>
      <c r="F881" s="13"/>
      <c r="G881" s="13"/>
      <c r="H881" s="13"/>
      <c r="I881" s="13"/>
      <c r="J881" s="13"/>
      <c r="K881" s="185"/>
      <c r="L881" s="186"/>
      <c r="M881" s="13"/>
      <c r="N881" s="13"/>
      <c r="O881" s="185"/>
      <c r="P881" s="13"/>
      <c r="Q881" s="13"/>
      <c r="R881" s="177"/>
      <c r="S881" s="35"/>
      <c r="T881" s="35"/>
      <c r="U881" s="13"/>
      <c r="V881" s="13"/>
      <c r="W881" s="13"/>
      <c r="X881" s="13"/>
      <c r="Y881" s="13"/>
      <c r="Z881" s="13"/>
      <c r="AA881" s="13"/>
      <c r="AB881" s="13"/>
      <c r="AC881" s="13"/>
    </row>
    <row r="882" ht="16.5" customHeight="1">
      <c r="A882" s="13"/>
      <c r="B882" s="13"/>
      <c r="C882" s="13"/>
      <c r="D882" s="13"/>
      <c r="E882" s="13"/>
      <c r="F882" s="13"/>
      <c r="G882" s="13"/>
      <c r="H882" s="13"/>
      <c r="I882" s="13"/>
      <c r="J882" s="13"/>
      <c r="K882" s="185"/>
      <c r="L882" s="186"/>
      <c r="M882" s="13"/>
      <c r="N882" s="13"/>
      <c r="O882" s="185"/>
      <c r="P882" s="13"/>
      <c r="Q882" s="13"/>
      <c r="R882" s="177"/>
      <c r="S882" s="35"/>
      <c r="T882" s="35"/>
      <c r="U882" s="13"/>
      <c r="V882" s="13"/>
      <c r="W882" s="13"/>
      <c r="X882" s="13"/>
      <c r="Y882" s="13"/>
      <c r="Z882" s="13"/>
      <c r="AA882" s="13"/>
      <c r="AB882" s="13"/>
      <c r="AC882" s="13"/>
    </row>
    <row r="883" ht="16.5" customHeight="1">
      <c r="A883" s="13"/>
      <c r="B883" s="13"/>
      <c r="C883" s="13"/>
      <c r="D883" s="13"/>
      <c r="E883" s="13"/>
      <c r="F883" s="13"/>
      <c r="G883" s="13"/>
      <c r="H883" s="13"/>
      <c r="I883" s="13"/>
      <c r="J883" s="13"/>
      <c r="K883" s="185"/>
      <c r="L883" s="186"/>
      <c r="M883" s="13"/>
      <c r="N883" s="13"/>
      <c r="O883" s="185"/>
      <c r="P883" s="13"/>
      <c r="Q883" s="13"/>
      <c r="R883" s="177"/>
      <c r="S883" s="35"/>
      <c r="T883" s="35"/>
      <c r="U883" s="13"/>
      <c r="V883" s="13"/>
      <c r="W883" s="13"/>
      <c r="X883" s="13"/>
      <c r="Y883" s="13"/>
      <c r="Z883" s="13"/>
      <c r="AA883" s="13"/>
      <c r="AB883" s="13"/>
      <c r="AC883" s="13"/>
    </row>
    <row r="884" ht="16.5" customHeight="1">
      <c r="A884" s="13"/>
      <c r="B884" s="13"/>
      <c r="C884" s="13"/>
      <c r="D884" s="13"/>
      <c r="E884" s="13"/>
      <c r="F884" s="13"/>
      <c r="G884" s="13"/>
      <c r="H884" s="13"/>
      <c r="I884" s="13"/>
      <c r="J884" s="13"/>
      <c r="K884" s="185"/>
      <c r="L884" s="186"/>
      <c r="M884" s="13"/>
      <c r="N884" s="13"/>
      <c r="O884" s="185"/>
      <c r="P884" s="13"/>
      <c r="Q884" s="13"/>
      <c r="R884" s="177"/>
      <c r="S884" s="35"/>
      <c r="T884" s="35"/>
      <c r="U884" s="13"/>
      <c r="V884" s="13"/>
      <c r="W884" s="13"/>
      <c r="X884" s="13"/>
      <c r="Y884" s="13"/>
      <c r="Z884" s="13"/>
      <c r="AA884" s="13"/>
      <c r="AB884" s="13"/>
      <c r="AC884" s="13"/>
    </row>
    <row r="885" ht="16.5" customHeight="1">
      <c r="A885" s="13"/>
      <c r="B885" s="13"/>
      <c r="C885" s="13"/>
      <c r="D885" s="13"/>
      <c r="E885" s="13"/>
      <c r="F885" s="13"/>
      <c r="G885" s="13"/>
      <c r="H885" s="13"/>
      <c r="I885" s="13"/>
      <c r="J885" s="13"/>
      <c r="K885" s="185"/>
      <c r="L885" s="186"/>
      <c r="M885" s="13"/>
      <c r="N885" s="13"/>
      <c r="O885" s="185"/>
      <c r="P885" s="13"/>
      <c r="Q885" s="13"/>
      <c r="R885" s="177"/>
      <c r="S885" s="35"/>
      <c r="T885" s="35"/>
      <c r="U885" s="13"/>
      <c r="V885" s="13"/>
      <c r="W885" s="13"/>
      <c r="X885" s="13"/>
      <c r="Y885" s="13"/>
      <c r="Z885" s="13"/>
      <c r="AA885" s="13"/>
      <c r="AB885" s="13"/>
      <c r="AC885" s="13"/>
    </row>
    <row r="886" ht="16.5" customHeight="1">
      <c r="A886" s="13"/>
      <c r="B886" s="13"/>
      <c r="C886" s="13"/>
      <c r="D886" s="13"/>
      <c r="E886" s="13"/>
      <c r="F886" s="13"/>
      <c r="G886" s="13"/>
      <c r="H886" s="13"/>
      <c r="I886" s="13"/>
      <c r="J886" s="13"/>
      <c r="K886" s="185"/>
      <c r="L886" s="186"/>
      <c r="M886" s="13"/>
      <c r="N886" s="13"/>
      <c r="O886" s="185"/>
      <c r="P886" s="13"/>
      <c r="Q886" s="13"/>
      <c r="R886" s="177"/>
      <c r="S886" s="35"/>
      <c r="T886" s="35"/>
      <c r="U886" s="13"/>
      <c r="V886" s="13"/>
      <c r="W886" s="13"/>
      <c r="X886" s="13"/>
      <c r="Y886" s="13"/>
      <c r="Z886" s="13"/>
      <c r="AA886" s="13"/>
      <c r="AB886" s="13"/>
      <c r="AC886" s="13"/>
    </row>
    <row r="887" ht="16.5" customHeight="1">
      <c r="A887" s="13"/>
      <c r="B887" s="13"/>
      <c r="C887" s="13"/>
      <c r="D887" s="13"/>
      <c r="E887" s="13"/>
      <c r="F887" s="13"/>
      <c r="G887" s="13"/>
      <c r="H887" s="13"/>
      <c r="I887" s="13"/>
      <c r="J887" s="13"/>
      <c r="K887" s="185"/>
      <c r="L887" s="186"/>
      <c r="M887" s="13"/>
      <c r="N887" s="13"/>
      <c r="O887" s="185"/>
      <c r="P887" s="13"/>
      <c r="Q887" s="13"/>
      <c r="R887" s="177"/>
      <c r="S887" s="35"/>
      <c r="T887" s="35"/>
      <c r="U887" s="13"/>
      <c r="V887" s="13"/>
      <c r="W887" s="13"/>
      <c r="X887" s="13"/>
      <c r="Y887" s="13"/>
      <c r="Z887" s="13"/>
      <c r="AA887" s="13"/>
      <c r="AB887" s="13"/>
      <c r="AC887" s="13"/>
    </row>
    <row r="888" ht="16.5" customHeight="1">
      <c r="A888" s="13"/>
      <c r="B888" s="13"/>
      <c r="C888" s="13"/>
      <c r="D888" s="13"/>
      <c r="E888" s="13"/>
      <c r="F888" s="13"/>
      <c r="G888" s="13"/>
      <c r="H888" s="13"/>
      <c r="I888" s="13"/>
      <c r="J888" s="13"/>
      <c r="K888" s="185"/>
      <c r="L888" s="186"/>
      <c r="M888" s="13"/>
      <c r="N888" s="13"/>
      <c r="O888" s="185"/>
      <c r="P888" s="13"/>
      <c r="Q888" s="13"/>
      <c r="R888" s="177"/>
      <c r="S888" s="35"/>
      <c r="T888" s="35"/>
      <c r="U888" s="13"/>
      <c r="V888" s="13"/>
      <c r="W888" s="13"/>
      <c r="X888" s="13"/>
      <c r="Y888" s="13"/>
      <c r="Z888" s="13"/>
      <c r="AA888" s="13"/>
      <c r="AB888" s="13"/>
      <c r="AC888" s="13"/>
    </row>
    <row r="889" ht="16.5" customHeight="1">
      <c r="A889" s="13"/>
      <c r="B889" s="13"/>
      <c r="C889" s="13"/>
      <c r="D889" s="13"/>
      <c r="E889" s="13"/>
      <c r="F889" s="13"/>
      <c r="G889" s="13"/>
      <c r="H889" s="13"/>
      <c r="I889" s="13"/>
      <c r="J889" s="13"/>
      <c r="K889" s="185"/>
      <c r="L889" s="186"/>
      <c r="M889" s="13"/>
      <c r="N889" s="13"/>
      <c r="O889" s="185"/>
      <c r="P889" s="13"/>
      <c r="Q889" s="13"/>
      <c r="R889" s="177"/>
      <c r="S889" s="35"/>
      <c r="T889" s="35"/>
      <c r="U889" s="13"/>
      <c r="V889" s="13"/>
      <c r="W889" s="13"/>
      <c r="X889" s="13"/>
      <c r="Y889" s="13"/>
      <c r="Z889" s="13"/>
      <c r="AA889" s="13"/>
      <c r="AB889" s="13"/>
      <c r="AC889" s="13"/>
    </row>
    <row r="890" ht="16.5" customHeight="1">
      <c r="A890" s="13"/>
      <c r="B890" s="13"/>
      <c r="C890" s="13"/>
      <c r="D890" s="13"/>
      <c r="E890" s="13"/>
      <c r="F890" s="13"/>
      <c r="G890" s="13"/>
      <c r="H890" s="13"/>
      <c r="I890" s="13"/>
      <c r="J890" s="13"/>
      <c r="K890" s="185"/>
      <c r="L890" s="186"/>
      <c r="M890" s="13"/>
      <c r="N890" s="13"/>
      <c r="O890" s="185"/>
      <c r="P890" s="13"/>
      <c r="Q890" s="13"/>
      <c r="R890" s="177"/>
      <c r="S890" s="35"/>
      <c r="T890" s="35"/>
      <c r="U890" s="13"/>
      <c r="V890" s="13"/>
      <c r="W890" s="13"/>
      <c r="X890" s="13"/>
      <c r="Y890" s="13"/>
      <c r="Z890" s="13"/>
      <c r="AA890" s="13"/>
      <c r="AB890" s="13"/>
      <c r="AC890" s="13"/>
    </row>
    <row r="891" ht="16.5" customHeight="1">
      <c r="A891" s="13"/>
      <c r="B891" s="13"/>
      <c r="C891" s="13"/>
      <c r="D891" s="13"/>
      <c r="E891" s="13"/>
      <c r="F891" s="13"/>
      <c r="G891" s="13"/>
      <c r="H891" s="13"/>
      <c r="I891" s="13"/>
      <c r="J891" s="13"/>
      <c r="K891" s="185"/>
      <c r="L891" s="186"/>
      <c r="M891" s="13"/>
      <c r="N891" s="13"/>
      <c r="O891" s="185"/>
      <c r="P891" s="13"/>
      <c r="Q891" s="13"/>
      <c r="R891" s="177"/>
      <c r="S891" s="35"/>
      <c r="T891" s="35"/>
      <c r="U891" s="13"/>
      <c r="V891" s="13"/>
      <c r="W891" s="13"/>
      <c r="X891" s="13"/>
      <c r="Y891" s="13"/>
      <c r="Z891" s="13"/>
      <c r="AA891" s="13"/>
      <c r="AB891" s="13"/>
      <c r="AC891" s="13"/>
    </row>
    <row r="892" ht="16.5" customHeight="1">
      <c r="A892" s="13"/>
      <c r="B892" s="13"/>
      <c r="C892" s="13"/>
      <c r="D892" s="13"/>
      <c r="E892" s="13"/>
      <c r="F892" s="13"/>
      <c r="G892" s="13"/>
      <c r="H892" s="13"/>
      <c r="I892" s="13"/>
      <c r="J892" s="13"/>
      <c r="K892" s="185"/>
      <c r="L892" s="186"/>
      <c r="M892" s="13"/>
      <c r="N892" s="13"/>
      <c r="O892" s="185"/>
      <c r="P892" s="13"/>
      <c r="Q892" s="13"/>
      <c r="R892" s="177"/>
      <c r="S892" s="35"/>
      <c r="T892" s="35"/>
      <c r="U892" s="13"/>
      <c r="V892" s="13"/>
      <c r="W892" s="13"/>
      <c r="X892" s="13"/>
      <c r="Y892" s="13"/>
      <c r="Z892" s="13"/>
      <c r="AA892" s="13"/>
      <c r="AB892" s="13"/>
      <c r="AC892" s="13"/>
    </row>
    <row r="893" ht="16.5" customHeight="1">
      <c r="A893" s="13"/>
      <c r="B893" s="13"/>
      <c r="C893" s="13"/>
      <c r="D893" s="13"/>
      <c r="E893" s="13"/>
      <c r="F893" s="13"/>
      <c r="G893" s="13"/>
      <c r="H893" s="13"/>
      <c r="I893" s="13"/>
      <c r="J893" s="13"/>
      <c r="K893" s="185"/>
      <c r="L893" s="186"/>
      <c r="M893" s="13"/>
      <c r="N893" s="13"/>
      <c r="O893" s="185"/>
      <c r="P893" s="13"/>
      <c r="Q893" s="13"/>
      <c r="R893" s="177"/>
      <c r="S893" s="35"/>
      <c r="T893" s="35"/>
      <c r="U893" s="13"/>
      <c r="V893" s="13"/>
      <c r="W893" s="13"/>
      <c r="X893" s="13"/>
      <c r="Y893" s="13"/>
      <c r="Z893" s="13"/>
      <c r="AA893" s="13"/>
      <c r="AB893" s="13"/>
      <c r="AC893" s="13"/>
    </row>
    <row r="894" ht="16.5" customHeight="1">
      <c r="A894" s="13"/>
      <c r="B894" s="13"/>
      <c r="C894" s="13"/>
      <c r="D894" s="13"/>
      <c r="E894" s="13"/>
      <c r="F894" s="13"/>
      <c r="G894" s="13"/>
      <c r="H894" s="13"/>
      <c r="I894" s="13"/>
      <c r="J894" s="13"/>
      <c r="K894" s="185"/>
      <c r="L894" s="186"/>
      <c r="M894" s="13"/>
      <c r="N894" s="13"/>
      <c r="O894" s="185"/>
      <c r="P894" s="13"/>
      <c r="Q894" s="13"/>
      <c r="R894" s="177"/>
      <c r="S894" s="35"/>
      <c r="T894" s="35"/>
      <c r="U894" s="13"/>
      <c r="V894" s="13"/>
      <c r="W894" s="13"/>
      <c r="X894" s="13"/>
      <c r="Y894" s="13"/>
      <c r="Z894" s="13"/>
      <c r="AA894" s="13"/>
      <c r="AB894" s="13"/>
      <c r="AC894" s="13"/>
    </row>
    <row r="895" ht="16.5" customHeight="1">
      <c r="A895" s="13"/>
      <c r="B895" s="13"/>
      <c r="C895" s="13"/>
      <c r="D895" s="13"/>
      <c r="E895" s="13"/>
      <c r="F895" s="13"/>
      <c r="G895" s="13"/>
      <c r="H895" s="13"/>
      <c r="I895" s="13"/>
      <c r="J895" s="13"/>
      <c r="K895" s="185"/>
      <c r="L895" s="186"/>
      <c r="M895" s="13"/>
      <c r="N895" s="13"/>
      <c r="O895" s="185"/>
      <c r="P895" s="13"/>
      <c r="Q895" s="13"/>
      <c r="R895" s="177"/>
      <c r="S895" s="35"/>
      <c r="T895" s="35"/>
      <c r="U895" s="13"/>
      <c r="V895" s="13"/>
      <c r="W895" s="13"/>
      <c r="X895" s="13"/>
      <c r="Y895" s="13"/>
      <c r="Z895" s="13"/>
      <c r="AA895" s="13"/>
      <c r="AB895" s="13"/>
      <c r="AC895" s="13"/>
    </row>
    <row r="896" ht="16.5" customHeight="1">
      <c r="A896" s="13"/>
      <c r="B896" s="13"/>
      <c r="C896" s="13"/>
      <c r="D896" s="13"/>
      <c r="E896" s="13"/>
      <c r="F896" s="13"/>
      <c r="G896" s="13"/>
      <c r="H896" s="13"/>
      <c r="I896" s="13"/>
      <c r="J896" s="13"/>
      <c r="K896" s="185"/>
      <c r="L896" s="186"/>
      <c r="M896" s="13"/>
      <c r="N896" s="13"/>
      <c r="O896" s="185"/>
      <c r="P896" s="13"/>
      <c r="Q896" s="13"/>
      <c r="R896" s="177"/>
      <c r="S896" s="35"/>
      <c r="T896" s="35"/>
      <c r="U896" s="13"/>
      <c r="V896" s="13"/>
      <c r="W896" s="13"/>
      <c r="X896" s="13"/>
      <c r="Y896" s="13"/>
      <c r="Z896" s="13"/>
      <c r="AA896" s="13"/>
      <c r="AB896" s="13"/>
      <c r="AC896" s="13"/>
    </row>
    <row r="897" ht="16.5" customHeight="1">
      <c r="A897" s="13"/>
      <c r="B897" s="13"/>
      <c r="C897" s="13"/>
      <c r="D897" s="13"/>
      <c r="E897" s="13"/>
      <c r="F897" s="13"/>
      <c r="G897" s="13"/>
      <c r="H897" s="13"/>
      <c r="I897" s="13"/>
      <c r="J897" s="13"/>
      <c r="K897" s="185"/>
      <c r="L897" s="186"/>
      <c r="M897" s="13"/>
      <c r="N897" s="13"/>
      <c r="O897" s="185"/>
      <c r="P897" s="13"/>
      <c r="Q897" s="13"/>
      <c r="R897" s="177"/>
      <c r="S897" s="35"/>
      <c r="T897" s="35"/>
      <c r="U897" s="13"/>
      <c r="V897" s="13"/>
      <c r="W897" s="13"/>
      <c r="X897" s="13"/>
      <c r="Y897" s="13"/>
      <c r="Z897" s="13"/>
      <c r="AA897" s="13"/>
      <c r="AB897" s="13"/>
      <c r="AC897" s="13"/>
    </row>
    <row r="898" ht="16.5" customHeight="1">
      <c r="A898" s="13"/>
      <c r="B898" s="13"/>
      <c r="C898" s="13"/>
      <c r="D898" s="13"/>
      <c r="E898" s="13"/>
      <c r="F898" s="13"/>
      <c r="G898" s="13"/>
      <c r="H898" s="13"/>
      <c r="I898" s="13"/>
      <c r="J898" s="13"/>
      <c r="K898" s="185"/>
      <c r="L898" s="186"/>
      <c r="M898" s="13"/>
      <c r="N898" s="13"/>
      <c r="O898" s="185"/>
      <c r="P898" s="13"/>
      <c r="Q898" s="13"/>
      <c r="R898" s="177"/>
      <c r="S898" s="35"/>
      <c r="T898" s="35"/>
      <c r="U898" s="13"/>
      <c r="V898" s="13"/>
      <c r="W898" s="13"/>
      <c r="X898" s="13"/>
      <c r="Y898" s="13"/>
      <c r="Z898" s="13"/>
      <c r="AA898" s="13"/>
      <c r="AB898" s="13"/>
      <c r="AC898" s="13"/>
    </row>
    <row r="899" ht="16.5" customHeight="1">
      <c r="A899" s="13"/>
      <c r="B899" s="13"/>
      <c r="C899" s="13"/>
      <c r="D899" s="13"/>
      <c r="E899" s="13"/>
      <c r="F899" s="13"/>
      <c r="G899" s="13"/>
      <c r="H899" s="13"/>
      <c r="I899" s="13"/>
      <c r="J899" s="13"/>
      <c r="K899" s="185"/>
      <c r="L899" s="186"/>
      <c r="M899" s="13"/>
      <c r="N899" s="13"/>
      <c r="O899" s="185"/>
      <c r="P899" s="13"/>
      <c r="Q899" s="13"/>
      <c r="R899" s="177"/>
      <c r="S899" s="35"/>
      <c r="T899" s="35"/>
      <c r="U899" s="13"/>
      <c r="V899" s="13"/>
      <c r="W899" s="13"/>
      <c r="X899" s="13"/>
      <c r="Y899" s="13"/>
      <c r="Z899" s="13"/>
      <c r="AA899" s="13"/>
      <c r="AB899" s="13"/>
      <c r="AC899" s="13"/>
    </row>
    <row r="900" ht="16.5" customHeight="1">
      <c r="A900" s="13"/>
      <c r="B900" s="13"/>
      <c r="C900" s="13"/>
      <c r="D900" s="13"/>
      <c r="E900" s="13"/>
      <c r="F900" s="13"/>
      <c r="G900" s="13"/>
      <c r="H900" s="13"/>
      <c r="I900" s="13"/>
      <c r="J900" s="13"/>
      <c r="K900" s="185"/>
      <c r="L900" s="186"/>
      <c r="M900" s="13"/>
      <c r="N900" s="13"/>
      <c r="O900" s="185"/>
      <c r="P900" s="13"/>
      <c r="Q900" s="13"/>
      <c r="R900" s="177"/>
      <c r="S900" s="35"/>
      <c r="T900" s="35"/>
      <c r="U900" s="13"/>
      <c r="V900" s="13"/>
      <c r="W900" s="13"/>
      <c r="X900" s="13"/>
      <c r="Y900" s="13"/>
      <c r="Z900" s="13"/>
      <c r="AA900" s="13"/>
      <c r="AB900" s="13"/>
      <c r="AC900" s="13"/>
    </row>
    <row r="901" ht="16.5" customHeight="1">
      <c r="A901" s="13"/>
      <c r="B901" s="13"/>
      <c r="C901" s="13"/>
      <c r="D901" s="13"/>
      <c r="E901" s="13"/>
      <c r="F901" s="13"/>
      <c r="G901" s="13"/>
      <c r="H901" s="13"/>
      <c r="I901" s="13"/>
      <c r="J901" s="13"/>
      <c r="K901" s="185"/>
      <c r="L901" s="186"/>
      <c r="M901" s="13"/>
      <c r="N901" s="13"/>
      <c r="O901" s="185"/>
      <c r="P901" s="13"/>
      <c r="Q901" s="13"/>
      <c r="R901" s="177"/>
      <c r="S901" s="35"/>
      <c r="T901" s="35"/>
      <c r="U901" s="13"/>
      <c r="V901" s="13"/>
      <c r="W901" s="13"/>
      <c r="X901" s="13"/>
      <c r="Y901" s="13"/>
      <c r="Z901" s="13"/>
      <c r="AA901" s="13"/>
      <c r="AB901" s="13"/>
      <c r="AC901" s="13"/>
    </row>
    <row r="902" ht="16.5" customHeight="1">
      <c r="A902" s="13"/>
      <c r="B902" s="13"/>
      <c r="C902" s="13"/>
      <c r="D902" s="13"/>
      <c r="E902" s="13"/>
      <c r="F902" s="13"/>
      <c r="G902" s="13"/>
      <c r="H902" s="13"/>
      <c r="I902" s="13"/>
      <c r="J902" s="13"/>
      <c r="K902" s="185"/>
      <c r="L902" s="186"/>
      <c r="M902" s="13"/>
      <c r="N902" s="13"/>
      <c r="O902" s="185"/>
      <c r="P902" s="13"/>
      <c r="Q902" s="13"/>
      <c r="R902" s="177"/>
      <c r="S902" s="35"/>
      <c r="T902" s="35"/>
      <c r="U902" s="13"/>
      <c r="V902" s="13"/>
      <c r="W902" s="13"/>
      <c r="X902" s="13"/>
      <c r="Y902" s="13"/>
      <c r="Z902" s="13"/>
      <c r="AA902" s="13"/>
      <c r="AB902" s="13"/>
      <c r="AC902" s="13"/>
    </row>
    <row r="903" ht="16.5" customHeight="1">
      <c r="A903" s="13"/>
      <c r="B903" s="13"/>
      <c r="C903" s="13"/>
      <c r="D903" s="13"/>
      <c r="E903" s="13"/>
      <c r="F903" s="13"/>
      <c r="G903" s="13"/>
      <c r="H903" s="13"/>
      <c r="I903" s="13"/>
      <c r="J903" s="13"/>
      <c r="K903" s="185"/>
      <c r="L903" s="186"/>
      <c r="M903" s="13"/>
      <c r="N903" s="13"/>
      <c r="O903" s="185"/>
      <c r="P903" s="13"/>
      <c r="Q903" s="13"/>
      <c r="R903" s="177"/>
      <c r="S903" s="35"/>
      <c r="T903" s="35"/>
      <c r="U903" s="13"/>
      <c r="V903" s="13"/>
      <c r="W903" s="13"/>
      <c r="X903" s="13"/>
      <c r="Y903" s="13"/>
      <c r="Z903" s="13"/>
      <c r="AA903" s="13"/>
      <c r="AB903" s="13"/>
      <c r="AC903" s="13"/>
    </row>
    <row r="904" ht="16.5" customHeight="1">
      <c r="A904" s="13"/>
      <c r="B904" s="13"/>
      <c r="C904" s="13"/>
      <c r="D904" s="13"/>
      <c r="E904" s="13"/>
      <c r="F904" s="13"/>
      <c r="G904" s="13"/>
      <c r="H904" s="13"/>
      <c r="I904" s="13"/>
      <c r="J904" s="13"/>
      <c r="K904" s="185"/>
      <c r="L904" s="186"/>
      <c r="M904" s="13"/>
      <c r="N904" s="13"/>
      <c r="O904" s="185"/>
      <c r="P904" s="13"/>
      <c r="Q904" s="13"/>
      <c r="R904" s="177"/>
      <c r="S904" s="35"/>
      <c r="T904" s="35"/>
      <c r="U904" s="13"/>
      <c r="V904" s="13"/>
      <c r="W904" s="13"/>
      <c r="X904" s="13"/>
      <c r="Y904" s="13"/>
      <c r="Z904" s="13"/>
      <c r="AA904" s="13"/>
      <c r="AB904" s="13"/>
      <c r="AC904" s="13"/>
    </row>
    <row r="905" ht="16.5" customHeight="1">
      <c r="A905" s="13"/>
      <c r="B905" s="13"/>
      <c r="C905" s="13"/>
      <c r="D905" s="13"/>
      <c r="E905" s="13"/>
      <c r="F905" s="13"/>
      <c r="G905" s="13"/>
      <c r="H905" s="13"/>
      <c r="I905" s="13"/>
      <c r="J905" s="13"/>
      <c r="K905" s="185"/>
      <c r="L905" s="186"/>
      <c r="M905" s="13"/>
      <c r="N905" s="13"/>
      <c r="O905" s="185"/>
      <c r="P905" s="13"/>
      <c r="Q905" s="13"/>
      <c r="R905" s="177"/>
      <c r="S905" s="35"/>
      <c r="T905" s="35"/>
      <c r="U905" s="13"/>
      <c r="V905" s="13"/>
      <c r="W905" s="13"/>
      <c r="X905" s="13"/>
      <c r="Y905" s="13"/>
      <c r="Z905" s="13"/>
      <c r="AA905" s="13"/>
      <c r="AB905" s="13"/>
      <c r="AC905" s="13"/>
    </row>
    <row r="906" ht="16.5" customHeight="1">
      <c r="A906" s="13"/>
      <c r="B906" s="13"/>
      <c r="C906" s="13"/>
      <c r="D906" s="13"/>
      <c r="E906" s="13"/>
      <c r="F906" s="13"/>
      <c r="G906" s="13"/>
      <c r="H906" s="13"/>
      <c r="I906" s="13"/>
      <c r="J906" s="13"/>
      <c r="K906" s="185"/>
      <c r="L906" s="186"/>
      <c r="M906" s="13"/>
      <c r="N906" s="13"/>
      <c r="O906" s="185"/>
      <c r="P906" s="13"/>
      <c r="Q906" s="13"/>
      <c r="R906" s="177"/>
      <c r="S906" s="35"/>
      <c r="T906" s="35"/>
      <c r="U906" s="13"/>
      <c r="V906" s="13"/>
      <c r="W906" s="13"/>
      <c r="X906" s="13"/>
      <c r="Y906" s="13"/>
      <c r="Z906" s="13"/>
      <c r="AA906" s="13"/>
      <c r="AB906" s="13"/>
      <c r="AC906" s="13"/>
    </row>
    <row r="907" ht="16.5" customHeight="1">
      <c r="A907" s="13"/>
      <c r="B907" s="13"/>
      <c r="C907" s="13"/>
      <c r="D907" s="13"/>
      <c r="E907" s="13"/>
      <c r="F907" s="13"/>
      <c r="G907" s="13"/>
      <c r="H907" s="13"/>
      <c r="I907" s="13"/>
      <c r="J907" s="13"/>
      <c r="K907" s="185"/>
      <c r="L907" s="186"/>
      <c r="M907" s="13"/>
      <c r="N907" s="13"/>
      <c r="O907" s="185"/>
      <c r="P907" s="13"/>
      <c r="Q907" s="13"/>
      <c r="R907" s="177"/>
      <c r="S907" s="35"/>
      <c r="T907" s="35"/>
      <c r="U907" s="13"/>
      <c r="V907" s="13"/>
      <c r="W907" s="13"/>
      <c r="X907" s="13"/>
      <c r="Y907" s="13"/>
      <c r="Z907" s="13"/>
      <c r="AA907" s="13"/>
      <c r="AB907" s="13"/>
      <c r="AC907" s="13"/>
    </row>
    <row r="908" ht="16.5" customHeight="1">
      <c r="A908" s="13"/>
      <c r="B908" s="13"/>
      <c r="C908" s="13"/>
      <c r="D908" s="13"/>
      <c r="E908" s="13"/>
      <c r="F908" s="13"/>
      <c r="G908" s="13"/>
      <c r="H908" s="13"/>
      <c r="I908" s="13"/>
      <c r="J908" s="13"/>
      <c r="K908" s="185"/>
      <c r="L908" s="186"/>
      <c r="M908" s="13"/>
      <c r="N908" s="13"/>
      <c r="O908" s="185"/>
      <c r="P908" s="13"/>
      <c r="Q908" s="13"/>
      <c r="R908" s="177"/>
      <c r="S908" s="35"/>
      <c r="T908" s="35"/>
      <c r="U908" s="13"/>
      <c r="V908" s="13"/>
      <c r="W908" s="13"/>
      <c r="X908" s="13"/>
      <c r="Y908" s="13"/>
      <c r="Z908" s="13"/>
      <c r="AA908" s="13"/>
      <c r="AB908" s="13"/>
      <c r="AC908" s="13"/>
    </row>
    <row r="909" ht="16.5" customHeight="1">
      <c r="A909" s="13"/>
      <c r="B909" s="13"/>
      <c r="C909" s="13"/>
      <c r="D909" s="13"/>
      <c r="E909" s="13"/>
      <c r="F909" s="13"/>
      <c r="G909" s="13"/>
      <c r="H909" s="13"/>
      <c r="I909" s="13"/>
      <c r="J909" s="13"/>
      <c r="K909" s="185"/>
      <c r="L909" s="186"/>
      <c r="M909" s="13"/>
      <c r="N909" s="13"/>
      <c r="O909" s="185"/>
      <c r="P909" s="13"/>
      <c r="Q909" s="13"/>
      <c r="R909" s="177"/>
      <c r="S909" s="35"/>
      <c r="T909" s="35"/>
      <c r="U909" s="13"/>
      <c r="V909" s="13"/>
      <c r="W909" s="13"/>
      <c r="X909" s="13"/>
      <c r="Y909" s="13"/>
      <c r="Z909" s="13"/>
      <c r="AA909" s="13"/>
      <c r="AB909" s="13"/>
      <c r="AC909" s="13"/>
    </row>
    <row r="910" ht="16.5" customHeight="1">
      <c r="A910" s="13"/>
      <c r="B910" s="13"/>
      <c r="C910" s="13"/>
      <c r="D910" s="13"/>
      <c r="E910" s="13"/>
      <c r="F910" s="13"/>
      <c r="G910" s="13"/>
      <c r="H910" s="13"/>
      <c r="I910" s="13"/>
      <c r="J910" s="13"/>
      <c r="K910" s="185"/>
      <c r="L910" s="186"/>
      <c r="M910" s="13"/>
      <c r="N910" s="13"/>
      <c r="O910" s="185"/>
      <c r="P910" s="13"/>
      <c r="Q910" s="13"/>
      <c r="R910" s="177"/>
      <c r="S910" s="35"/>
      <c r="T910" s="35"/>
      <c r="U910" s="13"/>
      <c r="V910" s="13"/>
      <c r="W910" s="13"/>
      <c r="X910" s="13"/>
      <c r="Y910" s="13"/>
      <c r="Z910" s="13"/>
      <c r="AA910" s="13"/>
      <c r="AB910" s="13"/>
      <c r="AC910" s="13"/>
    </row>
    <row r="911" ht="16.5" customHeight="1">
      <c r="A911" s="13"/>
      <c r="B911" s="13"/>
      <c r="C911" s="13"/>
      <c r="D911" s="13"/>
      <c r="E911" s="13"/>
      <c r="F911" s="13"/>
      <c r="G911" s="13"/>
      <c r="H911" s="13"/>
      <c r="I911" s="13"/>
      <c r="J911" s="13"/>
      <c r="K911" s="185"/>
      <c r="L911" s="186"/>
      <c r="M911" s="13"/>
      <c r="N911" s="13"/>
      <c r="O911" s="185"/>
      <c r="P911" s="13"/>
      <c r="Q911" s="13"/>
      <c r="R911" s="177"/>
      <c r="S911" s="35"/>
      <c r="T911" s="35"/>
      <c r="U911" s="13"/>
      <c r="V911" s="13"/>
      <c r="W911" s="13"/>
      <c r="X911" s="13"/>
      <c r="Y911" s="13"/>
      <c r="Z911" s="13"/>
      <c r="AA911" s="13"/>
      <c r="AB911" s="13"/>
      <c r="AC911" s="13"/>
    </row>
    <row r="912" ht="16.5" customHeight="1">
      <c r="A912" s="13"/>
      <c r="B912" s="13"/>
      <c r="C912" s="13"/>
      <c r="D912" s="13"/>
      <c r="E912" s="13"/>
      <c r="F912" s="13"/>
      <c r="G912" s="13"/>
      <c r="H912" s="13"/>
      <c r="I912" s="13"/>
      <c r="J912" s="13"/>
      <c r="K912" s="185"/>
      <c r="L912" s="186"/>
      <c r="M912" s="13"/>
      <c r="N912" s="13"/>
      <c r="O912" s="185"/>
      <c r="P912" s="13"/>
      <c r="Q912" s="13"/>
      <c r="R912" s="177"/>
      <c r="S912" s="35"/>
      <c r="T912" s="35"/>
      <c r="U912" s="13"/>
      <c r="V912" s="13"/>
      <c r="W912" s="13"/>
      <c r="X912" s="13"/>
      <c r="Y912" s="13"/>
      <c r="Z912" s="13"/>
      <c r="AA912" s="13"/>
      <c r="AB912" s="13"/>
      <c r="AC912" s="13"/>
    </row>
    <row r="913" ht="16.5" customHeight="1">
      <c r="A913" s="13"/>
      <c r="B913" s="13"/>
      <c r="C913" s="13"/>
      <c r="D913" s="13"/>
      <c r="E913" s="13"/>
      <c r="F913" s="13"/>
      <c r="G913" s="13"/>
      <c r="H913" s="13"/>
      <c r="I913" s="13"/>
      <c r="J913" s="13"/>
      <c r="K913" s="185"/>
      <c r="L913" s="186"/>
      <c r="M913" s="13"/>
      <c r="N913" s="13"/>
      <c r="O913" s="185"/>
      <c r="P913" s="13"/>
      <c r="Q913" s="13"/>
      <c r="R913" s="177"/>
      <c r="S913" s="35"/>
      <c r="T913" s="35"/>
      <c r="U913" s="13"/>
      <c r="V913" s="13"/>
      <c r="W913" s="13"/>
      <c r="X913" s="13"/>
      <c r="Y913" s="13"/>
      <c r="Z913" s="13"/>
      <c r="AA913" s="13"/>
      <c r="AB913" s="13"/>
      <c r="AC913" s="13"/>
    </row>
    <row r="914" ht="16.5" customHeight="1">
      <c r="A914" s="13"/>
      <c r="B914" s="13"/>
      <c r="C914" s="13"/>
      <c r="D914" s="13"/>
      <c r="E914" s="13"/>
      <c r="F914" s="13"/>
      <c r="G914" s="13"/>
      <c r="H914" s="13"/>
      <c r="I914" s="13"/>
      <c r="J914" s="13"/>
      <c r="K914" s="185"/>
      <c r="L914" s="186"/>
      <c r="M914" s="13"/>
      <c r="N914" s="13"/>
      <c r="O914" s="185"/>
      <c r="P914" s="13"/>
      <c r="Q914" s="13"/>
      <c r="R914" s="177"/>
      <c r="S914" s="35"/>
      <c r="T914" s="35"/>
      <c r="U914" s="13"/>
      <c r="V914" s="13"/>
      <c r="W914" s="13"/>
      <c r="X914" s="13"/>
      <c r="Y914" s="13"/>
      <c r="Z914" s="13"/>
      <c r="AA914" s="13"/>
      <c r="AB914" s="13"/>
      <c r="AC914" s="13"/>
    </row>
    <row r="915" ht="16.5" customHeight="1">
      <c r="A915" s="13"/>
      <c r="B915" s="13"/>
      <c r="C915" s="13"/>
      <c r="D915" s="13"/>
      <c r="E915" s="13"/>
      <c r="F915" s="13"/>
      <c r="G915" s="13"/>
      <c r="H915" s="13"/>
      <c r="I915" s="13"/>
      <c r="J915" s="13"/>
      <c r="K915" s="185"/>
      <c r="L915" s="186"/>
      <c r="M915" s="13"/>
      <c r="N915" s="13"/>
      <c r="O915" s="185"/>
      <c r="P915" s="13"/>
      <c r="Q915" s="13"/>
      <c r="R915" s="177"/>
      <c r="S915" s="35"/>
      <c r="T915" s="35"/>
      <c r="U915" s="13"/>
      <c r="V915" s="13"/>
      <c r="W915" s="13"/>
      <c r="X915" s="13"/>
      <c r="Y915" s="13"/>
      <c r="Z915" s="13"/>
      <c r="AA915" s="13"/>
      <c r="AB915" s="13"/>
      <c r="AC915" s="13"/>
    </row>
    <row r="916" ht="16.5" customHeight="1">
      <c r="A916" s="13"/>
      <c r="B916" s="13"/>
      <c r="C916" s="13"/>
      <c r="D916" s="13"/>
      <c r="E916" s="13"/>
      <c r="F916" s="13"/>
      <c r="G916" s="13"/>
      <c r="H916" s="13"/>
      <c r="I916" s="13"/>
      <c r="J916" s="13"/>
      <c r="K916" s="185"/>
      <c r="L916" s="186"/>
      <c r="M916" s="13"/>
      <c r="N916" s="13"/>
      <c r="O916" s="185"/>
      <c r="P916" s="13"/>
      <c r="Q916" s="13"/>
      <c r="R916" s="177"/>
      <c r="S916" s="35"/>
      <c r="T916" s="35"/>
      <c r="U916" s="13"/>
      <c r="V916" s="13"/>
      <c r="W916" s="13"/>
      <c r="X916" s="13"/>
      <c r="Y916" s="13"/>
      <c r="Z916" s="13"/>
      <c r="AA916" s="13"/>
      <c r="AB916" s="13"/>
      <c r="AC916" s="13"/>
    </row>
    <row r="917" ht="16.5" customHeight="1">
      <c r="A917" s="13"/>
      <c r="B917" s="13"/>
      <c r="C917" s="13"/>
      <c r="D917" s="13"/>
      <c r="E917" s="13"/>
      <c r="F917" s="13"/>
      <c r="G917" s="13"/>
      <c r="H917" s="13"/>
      <c r="I917" s="13"/>
      <c r="J917" s="13"/>
      <c r="K917" s="185"/>
      <c r="L917" s="186"/>
      <c r="M917" s="13"/>
      <c r="N917" s="13"/>
      <c r="O917" s="185"/>
      <c r="P917" s="13"/>
      <c r="Q917" s="13"/>
      <c r="R917" s="177"/>
      <c r="S917" s="35"/>
      <c r="T917" s="35"/>
      <c r="U917" s="13"/>
      <c r="V917" s="13"/>
      <c r="W917" s="13"/>
      <c r="X917" s="13"/>
      <c r="Y917" s="13"/>
      <c r="Z917" s="13"/>
      <c r="AA917" s="13"/>
      <c r="AB917" s="13"/>
      <c r="AC917" s="13"/>
    </row>
    <row r="918" ht="16.5" customHeight="1">
      <c r="A918" s="13"/>
      <c r="B918" s="13"/>
      <c r="C918" s="13"/>
      <c r="D918" s="13"/>
      <c r="E918" s="13"/>
      <c r="F918" s="13"/>
      <c r="G918" s="13"/>
      <c r="H918" s="13"/>
      <c r="I918" s="13"/>
      <c r="J918" s="13"/>
      <c r="K918" s="185"/>
      <c r="L918" s="186"/>
      <c r="M918" s="13"/>
      <c r="N918" s="13"/>
      <c r="O918" s="185"/>
      <c r="P918" s="13"/>
      <c r="Q918" s="13"/>
      <c r="R918" s="177"/>
      <c r="S918" s="35"/>
      <c r="T918" s="35"/>
      <c r="U918" s="13"/>
      <c r="V918" s="13"/>
      <c r="W918" s="13"/>
      <c r="X918" s="13"/>
      <c r="Y918" s="13"/>
      <c r="Z918" s="13"/>
      <c r="AA918" s="13"/>
      <c r="AB918" s="13"/>
      <c r="AC918" s="13"/>
    </row>
    <row r="919" ht="16.5" customHeight="1">
      <c r="A919" s="13"/>
      <c r="B919" s="13"/>
      <c r="C919" s="13"/>
      <c r="D919" s="13"/>
      <c r="E919" s="13"/>
      <c r="F919" s="13"/>
      <c r="G919" s="13"/>
      <c r="H919" s="13"/>
      <c r="I919" s="13"/>
      <c r="J919" s="13"/>
      <c r="K919" s="185"/>
      <c r="L919" s="186"/>
      <c r="M919" s="13"/>
      <c r="N919" s="13"/>
      <c r="O919" s="185"/>
      <c r="P919" s="13"/>
      <c r="Q919" s="13"/>
      <c r="R919" s="177"/>
      <c r="S919" s="35"/>
      <c r="T919" s="35"/>
      <c r="U919" s="13"/>
      <c r="V919" s="13"/>
      <c r="W919" s="13"/>
      <c r="X919" s="13"/>
      <c r="Y919" s="13"/>
      <c r="Z919" s="13"/>
      <c r="AA919" s="13"/>
      <c r="AB919" s="13"/>
      <c r="AC919" s="13"/>
    </row>
    <row r="920" ht="16.5" customHeight="1">
      <c r="A920" s="13"/>
      <c r="B920" s="13"/>
      <c r="C920" s="13"/>
      <c r="D920" s="13"/>
      <c r="E920" s="13"/>
      <c r="F920" s="13"/>
      <c r="G920" s="13"/>
      <c r="H920" s="13"/>
      <c r="I920" s="13"/>
      <c r="J920" s="13"/>
      <c r="K920" s="185"/>
      <c r="L920" s="186"/>
      <c r="M920" s="13"/>
      <c r="N920" s="13"/>
      <c r="O920" s="185"/>
      <c r="P920" s="13"/>
      <c r="Q920" s="13"/>
      <c r="R920" s="177"/>
      <c r="S920" s="35"/>
      <c r="T920" s="35"/>
      <c r="U920" s="13"/>
      <c r="V920" s="13"/>
      <c r="W920" s="13"/>
      <c r="X920" s="13"/>
      <c r="Y920" s="13"/>
      <c r="Z920" s="13"/>
      <c r="AA920" s="13"/>
      <c r="AB920" s="13"/>
      <c r="AC920" s="13"/>
    </row>
    <row r="921" ht="16.5" customHeight="1">
      <c r="A921" s="13"/>
      <c r="B921" s="13"/>
      <c r="C921" s="13"/>
      <c r="D921" s="13"/>
      <c r="E921" s="13"/>
      <c r="F921" s="13"/>
      <c r="G921" s="13"/>
      <c r="H921" s="13"/>
      <c r="I921" s="13"/>
      <c r="J921" s="13"/>
      <c r="K921" s="185"/>
      <c r="L921" s="186"/>
      <c r="M921" s="13"/>
      <c r="N921" s="13"/>
      <c r="O921" s="185"/>
      <c r="P921" s="13"/>
      <c r="Q921" s="13"/>
      <c r="R921" s="177"/>
      <c r="S921" s="35"/>
      <c r="T921" s="35"/>
      <c r="U921" s="13"/>
      <c r="V921" s="13"/>
      <c r="W921" s="13"/>
      <c r="X921" s="13"/>
      <c r="Y921" s="13"/>
      <c r="Z921" s="13"/>
      <c r="AA921" s="13"/>
      <c r="AB921" s="13"/>
      <c r="AC921" s="13"/>
    </row>
    <row r="922" ht="16.5" customHeight="1">
      <c r="A922" s="13"/>
      <c r="B922" s="13"/>
      <c r="C922" s="13"/>
      <c r="D922" s="13"/>
      <c r="E922" s="13"/>
      <c r="F922" s="13"/>
      <c r="G922" s="13"/>
      <c r="H922" s="13"/>
      <c r="I922" s="13"/>
      <c r="J922" s="13"/>
      <c r="K922" s="185"/>
      <c r="L922" s="186"/>
      <c r="M922" s="13"/>
      <c r="N922" s="13"/>
      <c r="O922" s="185"/>
      <c r="P922" s="13"/>
      <c r="Q922" s="13"/>
      <c r="R922" s="177"/>
      <c r="S922" s="35"/>
      <c r="T922" s="35"/>
      <c r="U922" s="13"/>
      <c r="V922" s="13"/>
      <c r="W922" s="13"/>
      <c r="X922" s="13"/>
      <c r="Y922" s="13"/>
      <c r="Z922" s="13"/>
      <c r="AA922" s="13"/>
      <c r="AB922" s="13"/>
      <c r="AC922" s="13"/>
    </row>
    <row r="923" ht="16.5" customHeight="1">
      <c r="A923" s="13"/>
      <c r="B923" s="13"/>
      <c r="C923" s="13"/>
      <c r="D923" s="13"/>
      <c r="E923" s="13"/>
      <c r="F923" s="13"/>
      <c r="G923" s="13"/>
      <c r="H923" s="13"/>
      <c r="I923" s="13"/>
      <c r="J923" s="13"/>
      <c r="K923" s="185"/>
      <c r="L923" s="186"/>
      <c r="M923" s="13"/>
      <c r="N923" s="13"/>
      <c r="O923" s="185"/>
      <c r="P923" s="13"/>
      <c r="Q923" s="13"/>
      <c r="R923" s="177"/>
      <c r="S923" s="35"/>
      <c r="T923" s="35"/>
      <c r="U923" s="13"/>
      <c r="V923" s="13"/>
      <c r="W923" s="13"/>
      <c r="X923" s="13"/>
      <c r="Y923" s="13"/>
      <c r="Z923" s="13"/>
      <c r="AA923" s="13"/>
      <c r="AB923" s="13"/>
      <c r="AC923" s="13"/>
    </row>
    <row r="924" ht="16.5" customHeight="1">
      <c r="A924" s="13"/>
      <c r="B924" s="13"/>
      <c r="C924" s="13"/>
      <c r="D924" s="13"/>
      <c r="E924" s="13"/>
      <c r="F924" s="13"/>
      <c r="G924" s="13"/>
      <c r="H924" s="13"/>
      <c r="I924" s="13"/>
      <c r="J924" s="13"/>
      <c r="K924" s="185"/>
      <c r="L924" s="186"/>
      <c r="M924" s="13"/>
      <c r="N924" s="13"/>
      <c r="O924" s="185"/>
      <c r="P924" s="13"/>
      <c r="Q924" s="13"/>
      <c r="R924" s="177"/>
      <c r="S924" s="35"/>
      <c r="T924" s="35"/>
      <c r="U924" s="13"/>
      <c r="V924" s="13"/>
      <c r="W924" s="13"/>
      <c r="X924" s="13"/>
      <c r="Y924" s="13"/>
      <c r="Z924" s="13"/>
      <c r="AA924" s="13"/>
      <c r="AB924" s="13"/>
      <c r="AC924" s="13"/>
    </row>
    <row r="925" ht="16.5" customHeight="1">
      <c r="A925" s="13"/>
      <c r="B925" s="13"/>
      <c r="C925" s="13"/>
      <c r="D925" s="13"/>
      <c r="E925" s="13"/>
      <c r="F925" s="13"/>
      <c r="G925" s="13"/>
      <c r="H925" s="13"/>
      <c r="I925" s="13"/>
      <c r="J925" s="13"/>
      <c r="K925" s="185"/>
      <c r="L925" s="186"/>
      <c r="M925" s="13"/>
      <c r="N925" s="13"/>
      <c r="O925" s="185"/>
      <c r="P925" s="13"/>
      <c r="Q925" s="13"/>
      <c r="R925" s="177"/>
      <c r="S925" s="35"/>
      <c r="T925" s="35"/>
      <c r="U925" s="13"/>
      <c r="V925" s="13"/>
      <c r="W925" s="13"/>
      <c r="X925" s="13"/>
      <c r="Y925" s="13"/>
      <c r="Z925" s="13"/>
      <c r="AA925" s="13"/>
      <c r="AB925" s="13"/>
      <c r="AC925" s="13"/>
    </row>
    <row r="926" ht="16.5" customHeight="1">
      <c r="A926" s="13"/>
      <c r="B926" s="13"/>
      <c r="C926" s="13"/>
      <c r="D926" s="13"/>
      <c r="E926" s="13"/>
      <c r="F926" s="13"/>
      <c r="G926" s="13"/>
      <c r="H926" s="13"/>
      <c r="I926" s="13"/>
      <c r="J926" s="13"/>
      <c r="K926" s="185"/>
      <c r="L926" s="186"/>
      <c r="M926" s="13"/>
      <c r="N926" s="13"/>
      <c r="O926" s="185"/>
      <c r="P926" s="13"/>
      <c r="Q926" s="13"/>
      <c r="R926" s="177"/>
      <c r="S926" s="35"/>
      <c r="T926" s="35"/>
      <c r="U926" s="13"/>
      <c r="V926" s="13"/>
      <c r="W926" s="13"/>
      <c r="X926" s="13"/>
      <c r="Y926" s="13"/>
      <c r="Z926" s="13"/>
      <c r="AA926" s="13"/>
      <c r="AB926" s="13"/>
      <c r="AC926" s="13"/>
    </row>
    <row r="927" ht="16.5" customHeight="1">
      <c r="A927" s="13"/>
      <c r="B927" s="13"/>
      <c r="C927" s="13"/>
      <c r="D927" s="13"/>
      <c r="E927" s="13"/>
      <c r="F927" s="13"/>
      <c r="G927" s="13"/>
      <c r="H927" s="13"/>
      <c r="I927" s="13"/>
      <c r="J927" s="13"/>
      <c r="K927" s="185"/>
      <c r="L927" s="186"/>
      <c r="M927" s="13"/>
      <c r="N927" s="13"/>
      <c r="O927" s="185"/>
      <c r="P927" s="13"/>
      <c r="Q927" s="13"/>
      <c r="R927" s="177"/>
      <c r="S927" s="35"/>
      <c r="T927" s="35"/>
      <c r="U927" s="13"/>
      <c r="V927" s="13"/>
      <c r="W927" s="13"/>
      <c r="X927" s="13"/>
      <c r="Y927" s="13"/>
      <c r="Z927" s="13"/>
      <c r="AA927" s="13"/>
      <c r="AB927" s="13"/>
      <c r="AC927" s="13"/>
    </row>
    <row r="928" ht="16.5" customHeight="1">
      <c r="A928" s="13"/>
      <c r="B928" s="13"/>
      <c r="C928" s="13"/>
      <c r="D928" s="13"/>
      <c r="E928" s="13"/>
      <c r="F928" s="13"/>
      <c r="G928" s="13"/>
      <c r="H928" s="13"/>
      <c r="I928" s="13"/>
      <c r="J928" s="13"/>
      <c r="K928" s="185"/>
      <c r="L928" s="186"/>
      <c r="M928" s="13"/>
      <c r="N928" s="13"/>
      <c r="O928" s="185"/>
      <c r="P928" s="13"/>
      <c r="Q928" s="13"/>
      <c r="R928" s="177"/>
      <c r="S928" s="35"/>
      <c r="T928" s="35"/>
      <c r="U928" s="13"/>
      <c r="V928" s="13"/>
      <c r="W928" s="13"/>
      <c r="X928" s="13"/>
      <c r="Y928" s="13"/>
      <c r="Z928" s="13"/>
      <c r="AA928" s="13"/>
      <c r="AB928" s="13"/>
      <c r="AC928" s="13"/>
    </row>
    <row r="929" ht="16.5" customHeight="1">
      <c r="A929" s="13"/>
      <c r="B929" s="13"/>
      <c r="C929" s="13"/>
      <c r="D929" s="13"/>
      <c r="E929" s="13"/>
      <c r="F929" s="13"/>
      <c r="G929" s="13"/>
      <c r="H929" s="13"/>
      <c r="I929" s="13"/>
      <c r="J929" s="13"/>
      <c r="K929" s="185"/>
      <c r="L929" s="186"/>
      <c r="M929" s="13"/>
      <c r="N929" s="13"/>
      <c r="O929" s="185"/>
      <c r="P929" s="13"/>
      <c r="Q929" s="13"/>
      <c r="R929" s="177"/>
      <c r="S929" s="35"/>
      <c r="T929" s="35"/>
      <c r="U929" s="13"/>
      <c r="V929" s="13"/>
      <c r="W929" s="13"/>
      <c r="X929" s="13"/>
      <c r="Y929" s="13"/>
      <c r="Z929" s="13"/>
      <c r="AA929" s="13"/>
      <c r="AB929" s="13"/>
      <c r="AC929" s="13"/>
    </row>
    <row r="930" ht="16.5" customHeight="1">
      <c r="A930" s="13"/>
      <c r="B930" s="13"/>
      <c r="C930" s="13"/>
      <c r="D930" s="13"/>
      <c r="E930" s="13"/>
      <c r="F930" s="13"/>
      <c r="G930" s="13"/>
      <c r="H930" s="13"/>
      <c r="I930" s="13"/>
      <c r="J930" s="13"/>
      <c r="K930" s="185"/>
      <c r="L930" s="186"/>
      <c r="M930" s="13"/>
      <c r="N930" s="13"/>
      <c r="O930" s="185"/>
      <c r="P930" s="13"/>
      <c r="Q930" s="13"/>
      <c r="R930" s="177"/>
      <c r="S930" s="35"/>
      <c r="T930" s="35"/>
      <c r="U930" s="13"/>
      <c r="V930" s="13"/>
      <c r="W930" s="13"/>
      <c r="X930" s="13"/>
      <c r="Y930" s="13"/>
      <c r="Z930" s="13"/>
      <c r="AA930" s="13"/>
      <c r="AB930" s="13"/>
      <c r="AC930" s="13"/>
    </row>
    <row r="931" ht="16.5" customHeight="1">
      <c r="A931" s="13"/>
      <c r="B931" s="13"/>
      <c r="C931" s="13"/>
      <c r="D931" s="13"/>
      <c r="E931" s="13"/>
      <c r="F931" s="13"/>
      <c r="G931" s="13"/>
      <c r="H931" s="13"/>
      <c r="I931" s="13"/>
      <c r="J931" s="13"/>
      <c r="K931" s="185"/>
      <c r="L931" s="186"/>
      <c r="M931" s="13"/>
      <c r="N931" s="13"/>
      <c r="O931" s="185"/>
      <c r="P931" s="13"/>
      <c r="Q931" s="13"/>
      <c r="R931" s="177"/>
      <c r="S931" s="35"/>
      <c r="T931" s="35"/>
      <c r="U931" s="13"/>
      <c r="V931" s="13"/>
      <c r="W931" s="13"/>
      <c r="X931" s="13"/>
      <c r="Y931" s="13"/>
      <c r="Z931" s="13"/>
      <c r="AA931" s="13"/>
      <c r="AB931" s="13"/>
      <c r="AC931" s="13"/>
    </row>
    <row r="932" ht="16.5" customHeight="1">
      <c r="A932" s="13"/>
      <c r="B932" s="13"/>
      <c r="C932" s="13"/>
      <c r="D932" s="13"/>
      <c r="E932" s="13"/>
      <c r="F932" s="13"/>
      <c r="G932" s="13"/>
      <c r="H932" s="13"/>
      <c r="I932" s="13"/>
      <c r="J932" s="13"/>
      <c r="K932" s="185"/>
      <c r="L932" s="186"/>
      <c r="M932" s="13"/>
      <c r="N932" s="13"/>
      <c r="O932" s="185"/>
      <c r="P932" s="13"/>
      <c r="Q932" s="13"/>
      <c r="R932" s="177"/>
      <c r="S932" s="35"/>
      <c r="T932" s="35"/>
      <c r="U932" s="13"/>
      <c r="V932" s="13"/>
      <c r="W932" s="13"/>
      <c r="X932" s="13"/>
      <c r="Y932" s="13"/>
      <c r="Z932" s="13"/>
      <c r="AA932" s="13"/>
      <c r="AB932" s="13"/>
      <c r="AC932" s="13"/>
    </row>
    <row r="933" ht="16.5" customHeight="1">
      <c r="A933" s="13"/>
      <c r="B933" s="13"/>
      <c r="C933" s="13"/>
      <c r="D933" s="13"/>
      <c r="E933" s="13"/>
      <c r="F933" s="13"/>
      <c r="G933" s="13"/>
      <c r="H933" s="13"/>
      <c r="I933" s="13"/>
      <c r="J933" s="13"/>
      <c r="K933" s="185"/>
      <c r="L933" s="186"/>
      <c r="M933" s="13"/>
      <c r="N933" s="13"/>
      <c r="O933" s="185"/>
      <c r="P933" s="13"/>
      <c r="Q933" s="13"/>
      <c r="R933" s="177"/>
      <c r="S933" s="35"/>
      <c r="T933" s="35"/>
      <c r="U933" s="13"/>
      <c r="V933" s="13"/>
      <c r="W933" s="13"/>
      <c r="X933" s="13"/>
      <c r="Y933" s="13"/>
      <c r="Z933" s="13"/>
      <c r="AA933" s="13"/>
      <c r="AB933" s="13"/>
      <c r="AC933" s="13"/>
    </row>
    <row r="934" ht="16.5" customHeight="1">
      <c r="A934" s="13"/>
      <c r="B934" s="13"/>
      <c r="C934" s="13"/>
      <c r="D934" s="13"/>
      <c r="E934" s="13"/>
      <c r="F934" s="13"/>
      <c r="G934" s="13"/>
      <c r="H934" s="13"/>
      <c r="I934" s="13"/>
      <c r="J934" s="13"/>
      <c r="K934" s="185"/>
      <c r="L934" s="186"/>
      <c r="M934" s="13"/>
      <c r="N934" s="13"/>
      <c r="O934" s="185"/>
      <c r="P934" s="13"/>
      <c r="Q934" s="13"/>
      <c r="R934" s="177"/>
      <c r="S934" s="35"/>
      <c r="T934" s="35"/>
      <c r="U934" s="13"/>
      <c r="V934" s="13"/>
      <c r="W934" s="13"/>
      <c r="X934" s="13"/>
      <c r="Y934" s="13"/>
      <c r="Z934" s="13"/>
      <c r="AA934" s="13"/>
      <c r="AB934" s="13"/>
      <c r="AC934" s="13"/>
    </row>
    <row r="935" ht="16.5" customHeight="1">
      <c r="A935" s="13"/>
      <c r="B935" s="13"/>
      <c r="C935" s="13"/>
      <c r="D935" s="13"/>
      <c r="E935" s="13"/>
      <c r="F935" s="13"/>
      <c r="G935" s="13"/>
      <c r="H935" s="13"/>
      <c r="I935" s="13"/>
      <c r="J935" s="13"/>
      <c r="K935" s="185"/>
      <c r="L935" s="186"/>
      <c r="M935" s="13"/>
      <c r="N935" s="13"/>
      <c r="O935" s="185"/>
      <c r="P935" s="13"/>
      <c r="Q935" s="13"/>
      <c r="R935" s="177"/>
      <c r="S935" s="35"/>
      <c r="T935" s="35"/>
      <c r="U935" s="13"/>
      <c r="V935" s="13"/>
      <c r="W935" s="13"/>
      <c r="X935" s="13"/>
      <c r="Y935" s="13"/>
      <c r="Z935" s="13"/>
      <c r="AA935" s="13"/>
      <c r="AB935" s="13"/>
      <c r="AC935" s="13"/>
    </row>
    <row r="936" ht="16.5" customHeight="1">
      <c r="A936" s="13"/>
      <c r="B936" s="13"/>
      <c r="C936" s="13"/>
      <c r="D936" s="13"/>
      <c r="E936" s="13"/>
      <c r="F936" s="13"/>
      <c r="G936" s="13"/>
      <c r="H936" s="13"/>
      <c r="I936" s="13"/>
      <c r="J936" s="13"/>
      <c r="K936" s="185"/>
      <c r="L936" s="186"/>
      <c r="M936" s="13"/>
      <c r="N936" s="13"/>
      <c r="O936" s="185"/>
      <c r="P936" s="13"/>
      <c r="Q936" s="13"/>
      <c r="R936" s="177"/>
      <c r="S936" s="35"/>
      <c r="T936" s="35"/>
      <c r="U936" s="13"/>
      <c r="V936" s="13"/>
      <c r="W936" s="13"/>
      <c r="X936" s="13"/>
      <c r="Y936" s="13"/>
      <c r="Z936" s="13"/>
      <c r="AA936" s="13"/>
      <c r="AB936" s="13"/>
      <c r="AC936" s="13"/>
    </row>
    <row r="937" ht="16.5" customHeight="1">
      <c r="A937" s="13"/>
      <c r="B937" s="13"/>
      <c r="C937" s="13"/>
      <c r="D937" s="13"/>
      <c r="E937" s="13"/>
      <c r="F937" s="13"/>
      <c r="G937" s="13"/>
      <c r="H937" s="13"/>
      <c r="I937" s="13"/>
      <c r="J937" s="13"/>
      <c r="K937" s="185"/>
      <c r="L937" s="186"/>
      <c r="M937" s="13"/>
      <c r="N937" s="13"/>
      <c r="O937" s="185"/>
      <c r="P937" s="13"/>
      <c r="Q937" s="13"/>
      <c r="R937" s="177"/>
      <c r="S937" s="35"/>
      <c r="T937" s="35"/>
      <c r="U937" s="13"/>
      <c r="V937" s="13"/>
      <c r="W937" s="13"/>
      <c r="X937" s="13"/>
      <c r="Y937" s="13"/>
      <c r="Z937" s="13"/>
      <c r="AA937" s="13"/>
      <c r="AB937" s="13"/>
      <c r="AC937" s="13"/>
    </row>
    <row r="938" ht="16.5" customHeight="1">
      <c r="A938" s="13"/>
      <c r="B938" s="13"/>
      <c r="C938" s="13"/>
      <c r="D938" s="13"/>
      <c r="E938" s="13"/>
      <c r="F938" s="13"/>
      <c r="G938" s="13"/>
      <c r="H938" s="13"/>
      <c r="I938" s="13"/>
      <c r="J938" s="13"/>
      <c r="K938" s="185"/>
      <c r="L938" s="186"/>
      <c r="M938" s="13"/>
      <c r="N938" s="13"/>
      <c r="O938" s="185"/>
      <c r="P938" s="13"/>
      <c r="Q938" s="13"/>
      <c r="R938" s="177"/>
      <c r="S938" s="35"/>
      <c r="T938" s="35"/>
      <c r="U938" s="13"/>
      <c r="V938" s="13"/>
      <c r="W938" s="13"/>
      <c r="X938" s="13"/>
      <c r="Y938" s="13"/>
      <c r="Z938" s="13"/>
      <c r="AA938" s="13"/>
      <c r="AB938" s="13"/>
      <c r="AC938" s="13"/>
    </row>
    <row r="939" ht="16.5" customHeight="1">
      <c r="A939" s="13"/>
      <c r="B939" s="13"/>
      <c r="C939" s="13"/>
      <c r="D939" s="13"/>
      <c r="E939" s="13"/>
      <c r="F939" s="13"/>
      <c r="G939" s="13"/>
      <c r="H939" s="13"/>
      <c r="I939" s="13"/>
      <c r="J939" s="13"/>
      <c r="K939" s="185"/>
      <c r="L939" s="186"/>
      <c r="M939" s="13"/>
      <c r="N939" s="13"/>
      <c r="O939" s="185"/>
      <c r="P939" s="13"/>
      <c r="Q939" s="13"/>
      <c r="R939" s="177"/>
      <c r="S939" s="35"/>
      <c r="T939" s="35"/>
      <c r="U939" s="13"/>
      <c r="V939" s="13"/>
      <c r="W939" s="13"/>
      <c r="X939" s="13"/>
      <c r="Y939" s="13"/>
      <c r="Z939" s="13"/>
      <c r="AA939" s="13"/>
      <c r="AB939" s="13"/>
      <c r="AC939" s="13"/>
    </row>
    <row r="940" ht="16.5" customHeight="1">
      <c r="A940" s="13"/>
      <c r="B940" s="13"/>
      <c r="C940" s="13"/>
      <c r="D940" s="13"/>
      <c r="E940" s="13"/>
      <c r="F940" s="13"/>
      <c r="G940" s="13"/>
      <c r="H940" s="13"/>
      <c r="I940" s="13"/>
      <c r="J940" s="13"/>
      <c r="K940" s="185"/>
      <c r="L940" s="186"/>
      <c r="M940" s="13"/>
      <c r="N940" s="13"/>
      <c r="O940" s="185"/>
      <c r="P940" s="13"/>
      <c r="Q940" s="13"/>
      <c r="R940" s="177"/>
      <c r="S940" s="35"/>
      <c r="T940" s="35"/>
      <c r="U940" s="13"/>
      <c r="V940" s="13"/>
      <c r="W940" s="13"/>
      <c r="X940" s="13"/>
      <c r="Y940" s="13"/>
      <c r="Z940" s="13"/>
      <c r="AA940" s="13"/>
      <c r="AB940" s="13"/>
      <c r="AC940" s="13"/>
    </row>
    <row r="941" ht="16.5" customHeight="1">
      <c r="A941" s="13"/>
      <c r="B941" s="13"/>
      <c r="C941" s="13"/>
      <c r="D941" s="13"/>
      <c r="E941" s="13"/>
      <c r="F941" s="13"/>
      <c r="G941" s="13"/>
      <c r="H941" s="13"/>
      <c r="I941" s="13"/>
      <c r="J941" s="13"/>
      <c r="K941" s="185"/>
      <c r="L941" s="186"/>
      <c r="M941" s="13"/>
      <c r="N941" s="13"/>
      <c r="O941" s="185"/>
      <c r="P941" s="13"/>
      <c r="Q941" s="13"/>
      <c r="R941" s="177"/>
      <c r="S941" s="35"/>
      <c r="T941" s="35"/>
      <c r="U941" s="13"/>
      <c r="V941" s="13"/>
      <c r="W941" s="13"/>
      <c r="X941" s="13"/>
      <c r="Y941" s="13"/>
      <c r="Z941" s="13"/>
      <c r="AA941" s="13"/>
      <c r="AB941" s="13"/>
      <c r="AC941" s="13"/>
    </row>
    <row r="942" ht="16.5" customHeight="1">
      <c r="A942" s="13"/>
      <c r="B942" s="13"/>
      <c r="C942" s="13"/>
      <c r="D942" s="13"/>
      <c r="E942" s="13"/>
      <c r="F942" s="13"/>
      <c r="G942" s="13"/>
      <c r="H942" s="13"/>
      <c r="I942" s="13"/>
      <c r="J942" s="13"/>
      <c r="K942" s="185"/>
      <c r="L942" s="186"/>
      <c r="M942" s="13"/>
      <c r="N942" s="13"/>
      <c r="O942" s="185"/>
      <c r="P942" s="13"/>
      <c r="Q942" s="13"/>
      <c r="R942" s="177"/>
      <c r="S942" s="35"/>
      <c r="T942" s="35"/>
      <c r="U942" s="13"/>
      <c r="V942" s="13"/>
      <c r="W942" s="13"/>
      <c r="X942" s="13"/>
      <c r="Y942" s="13"/>
      <c r="Z942" s="13"/>
      <c r="AA942" s="13"/>
      <c r="AB942" s="13"/>
      <c r="AC942" s="13"/>
    </row>
    <row r="943" ht="16.5" customHeight="1">
      <c r="A943" s="13"/>
      <c r="B943" s="13"/>
      <c r="C943" s="13"/>
      <c r="D943" s="13"/>
      <c r="E943" s="13"/>
      <c r="F943" s="13"/>
      <c r="G943" s="13"/>
      <c r="H943" s="13"/>
      <c r="I943" s="13"/>
      <c r="J943" s="13"/>
      <c r="K943" s="185"/>
      <c r="L943" s="186"/>
      <c r="M943" s="13"/>
      <c r="N943" s="13"/>
      <c r="O943" s="185"/>
      <c r="P943" s="13"/>
      <c r="Q943" s="13"/>
      <c r="R943" s="177"/>
      <c r="S943" s="35"/>
      <c r="T943" s="35"/>
      <c r="U943" s="13"/>
      <c r="V943" s="13"/>
      <c r="W943" s="13"/>
      <c r="X943" s="13"/>
      <c r="Y943" s="13"/>
      <c r="Z943" s="13"/>
      <c r="AA943" s="13"/>
      <c r="AB943" s="13"/>
      <c r="AC943" s="13"/>
    </row>
    <row r="944" ht="16.5" customHeight="1">
      <c r="A944" s="13"/>
      <c r="B944" s="13"/>
      <c r="C944" s="13"/>
      <c r="D944" s="13"/>
      <c r="E944" s="13"/>
      <c r="F944" s="13"/>
      <c r="G944" s="13"/>
      <c r="H944" s="13"/>
      <c r="I944" s="13"/>
      <c r="J944" s="13"/>
      <c r="K944" s="185"/>
      <c r="L944" s="186"/>
      <c r="M944" s="13"/>
      <c r="N944" s="13"/>
      <c r="O944" s="185"/>
      <c r="P944" s="13"/>
      <c r="Q944" s="13"/>
      <c r="R944" s="177"/>
      <c r="S944" s="35"/>
      <c r="T944" s="35"/>
      <c r="U944" s="13"/>
      <c r="V944" s="13"/>
      <c r="W944" s="13"/>
      <c r="X944" s="13"/>
      <c r="Y944" s="13"/>
      <c r="Z944" s="13"/>
      <c r="AA944" s="13"/>
      <c r="AB944" s="13"/>
      <c r="AC944" s="13"/>
    </row>
    <row r="945" ht="16.5" customHeight="1">
      <c r="A945" s="13"/>
      <c r="B945" s="13"/>
      <c r="C945" s="13"/>
      <c r="D945" s="13"/>
      <c r="E945" s="13"/>
      <c r="F945" s="13"/>
      <c r="G945" s="13"/>
      <c r="H945" s="13"/>
      <c r="I945" s="13"/>
      <c r="J945" s="13"/>
      <c r="K945" s="185"/>
      <c r="L945" s="186"/>
      <c r="M945" s="13"/>
      <c r="N945" s="13"/>
      <c r="O945" s="185"/>
      <c r="P945" s="13"/>
      <c r="Q945" s="13"/>
      <c r="R945" s="177"/>
      <c r="S945" s="35"/>
      <c r="T945" s="35"/>
      <c r="U945" s="13"/>
      <c r="V945" s="13"/>
      <c r="W945" s="13"/>
      <c r="X945" s="13"/>
      <c r="Y945" s="13"/>
      <c r="Z945" s="13"/>
      <c r="AA945" s="13"/>
      <c r="AB945" s="13"/>
      <c r="AC945" s="13"/>
    </row>
    <row r="946" ht="16.5" customHeight="1">
      <c r="A946" s="13"/>
      <c r="B946" s="13"/>
      <c r="C946" s="13"/>
      <c r="D946" s="13"/>
      <c r="E946" s="13"/>
      <c r="F946" s="13"/>
      <c r="G946" s="13"/>
      <c r="H946" s="13"/>
      <c r="I946" s="13"/>
      <c r="J946" s="13"/>
      <c r="K946" s="185"/>
      <c r="L946" s="186"/>
      <c r="M946" s="13"/>
      <c r="N946" s="13"/>
      <c r="O946" s="185"/>
      <c r="P946" s="13"/>
      <c r="Q946" s="13"/>
      <c r="R946" s="177"/>
      <c r="S946" s="35"/>
      <c r="T946" s="35"/>
      <c r="U946" s="13"/>
      <c r="V946" s="13"/>
      <c r="W946" s="13"/>
      <c r="X946" s="13"/>
      <c r="Y946" s="13"/>
      <c r="Z946" s="13"/>
      <c r="AA946" s="13"/>
      <c r="AB946" s="13"/>
      <c r="AC946" s="13"/>
    </row>
    <row r="947" ht="16.5" customHeight="1">
      <c r="A947" s="13"/>
      <c r="B947" s="13"/>
      <c r="C947" s="13"/>
      <c r="D947" s="13"/>
      <c r="E947" s="13"/>
      <c r="F947" s="13"/>
      <c r="G947" s="13"/>
      <c r="H947" s="13"/>
      <c r="I947" s="13"/>
      <c r="J947" s="13"/>
      <c r="K947" s="185"/>
      <c r="L947" s="186"/>
      <c r="M947" s="13"/>
      <c r="N947" s="13"/>
      <c r="O947" s="185"/>
      <c r="P947" s="13"/>
      <c r="Q947" s="13"/>
      <c r="R947" s="177"/>
      <c r="S947" s="35"/>
      <c r="T947" s="35"/>
      <c r="U947" s="13"/>
      <c r="V947" s="13"/>
      <c r="W947" s="13"/>
      <c r="X947" s="13"/>
      <c r="Y947" s="13"/>
      <c r="Z947" s="13"/>
      <c r="AA947" s="13"/>
      <c r="AB947" s="13"/>
      <c r="AC947" s="13"/>
    </row>
    <row r="948" ht="16.5" customHeight="1">
      <c r="A948" s="13"/>
      <c r="B948" s="13"/>
      <c r="C948" s="13"/>
      <c r="D948" s="13"/>
      <c r="E948" s="13"/>
      <c r="F948" s="13"/>
      <c r="G948" s="13"/>
      <c r="H948" s="13"/>
      <c r="I948" s="13"/>
      <c r="J948" s="13"/>
      <c r="K948" s="185"/>
      <c r="L948" s="186"/>
      <c r="M948" s="13"/>
      <c r="N948" s="13"/>
      <c r="O948" s="185"/>
      <c r="P948" s="13"/>
      <c r="Q948" s="13"/>
      <c r="R948" s="177"/>
      <c r="S948" s="35"/>
      <c r="T948" s="35"/>
      <c r="U948" s="13"/>
      <c r="V948" s="13"/>
      <c r="W948" s="13"/>
      <c r="X948" s="13"/>
      <c r="Y948" s="13"/>
      <c r="Z948" s="13"/>
      <c r="AA948" s="13"/>
      <c r="AB948" s="13"/>
      <c r="AC948" s="13"/>
    </row>
    <row r="949" ht="16.5" customHeight="1">
      <c r="A949" s="13"/>
      <c r="B949" s="13"/>
      <c r="C949" s="13"/>
      <c r="D949" s="13"/>
      <c r="E949" s="13"/>
      <c r="F949" s="13"/>
      <c r="G949" s="13"/>
      <c r="H949" s="13"/>
      <c r="I949" s="13"/>
      <c r="J949" s="13"/>
      <c r="K949" s="185"/>
      <c r="L949" s="186"/>
      <c r="M949" s="13"/>
      <c r="N949" s="13"/>
      <c r="O949" s="185"/>
      <c r="P949" s="13"/>
      <c r="Q949" s="13"/>
      <c r="R949" s="177"/>
      <c r="S949" s="35"/>
      <c r="T949" s="35"/>
      <c r="U949" s="13"/>
      <c r="V949" s="13"/>
      <c r="W949" s="13"/>
      <c r="X949" s="13"/>
      <c r="Y949" s="13"/>
      <c r="Z949" s="13"/>
      <c r="AA949" s="13"/>
      <c r="AB949" s="13"/>
      <c r="AC949" s="13"/>
    </row>
    <row r="950" ht="16.5" customHeight="1">
      <c r="A950" s="13"/>
      <c r="B950" s="13"/>
      <c r="C950" s="13"/>
      <c r="D950" s="13"/>
      <c r="E950" s="13"/>
      <c r="F950" s="13"/>
      <c r="G950" s="13"/>
      <c r="H950" s="13"/>
      <c r="I950" s="13"/>
      <c r="J950" s="13"/>
      <c r="K950" s="185"/>
      <c r="L950" s="186"/>
      <c r="M950" s="13"/>
      <c r="N950" s="13"/>
      <c r="O950" s="185"/>
      <c r="P950" s="13"/>
      <c r="Q950" s="13"/>
      <c r="R950" s="177"/>
      <c r="S950" s="35"/>
      <c r="T950" s="35"/>
      <c r="U950" s="13"/>
      <c r="V950" s="13"/>
      <c r="W950" s="13"/>
      <c r="X950" s="13"/>
      <c r="Y950" s="13"/>
      <c r="Z950" s="13"/>
      <c r="AA950" s="13"/>
      <c r="AB950" s="13"/>
      <c r="AC950" s="13"/>
    </row>
    <row r="951" ht="16.5" customHeight="1">
      <c r="A951" s="13"/>
      <c r="B951" s="13"/>
      <c r="C951" s="13"/>
      <c r="D951" s="13"/>
      <c r="E951" s="13"/>
      <c r="F951" s="13"/>
      <c r="G951" s="13"/>
      <c r="H951" s="13"/>
      <c r="I951" s="13"/>
      <c r="J951" s="13"/>
      <c r="K951" s="185"/>
      <c r="L951" s="186"/>
      <c r="M951" s="13"/>
      <c r="N951" s="13"/>
      <c r="O951" s="185"/>
      <c r="P951" s="13"/>
      <c r="Q951" s="13"/>
      <c r="R951" s="177"/>
      <c r="S951" s="35"/>
      <c r="T951" s="35"/>
      <c r="U951" s="13"/>
      <c r="V951" s="13"/>
      <c r="W951" s="13"/>
      <c r="X951" s="13"/>
      <c r="Y951" s="13"/>
      <c r="Z951" s="13"/>
      <c r="AA951" s="13"/>
      <c r="AB951" s="13"/>
      <c r="AC951" s="13"/>
    </row>
    <row r="952" ht="16.5" customHeight="1">
      <c r="A952" s="13"/>
      <c r="B952" s="13"/>
      <c r="C952" s="13"/>
      <c r="D952" s="13"/>
      <c r="E952" s="13"/>
      <c r="F952" s="13"/>
      <c r="G952" s="13"/>
      <c r="H952" s="13"/>
      <c r="I952" s="13"/>
      <c r="J952" s="13"/>
      <c r="K952" s="185"/>
      <c r="L952" s="186"/>
      <c r="M952" s="13"/>
      <c r="N952" s="13"/>
      <c r="O952" s="185"/>
      <c r="P952" s="13"/>
      <c r="Q952" s="13"/>
      <c r="R952" s="177"/>
      <c r="S952" s="35"/>
      <c r="T952" s="35"/>
      <c r="U952" s="13"/>
      <c r="V952" s="13"/>
      <c r="W952" s="13"/>
      <c r="X952" s="13"/>
      <c r="Y952" s="13"/>
      <c r="Z952" s="13"/>
      <c r="AA952" s="13"/>
      <c r="AB952" s="13"/>
      <c r="AC952" s="13"/>
    </row>
    <row r="953" ht="16.5" customHeight="1">
      <c r="A953" s="13"/>
      <c r="B953" s="13"/>
      <c r="C953" s="13"/>
      <c r="D953" s="13"/>
      <c r="E953" s="13"/>
      <c r="F953" s="13"/>
      <c r="G953" s="13"/>
      <c r="H953" s="13"/>
      <c r="I953" s="13"/>
      <c r="J953" s="13"/>
      <c r="K953" s="185"/>
      <c r="L953" s="186"/>
      <c r="M953" s="13"/>
      <c r="N953" s="13"/>
      <c r="O953" s="185"/>
      <c r="P953" s="13"/>
      <c r="Q953" s="13"/>
      <c r="R953" s="177"/>
      <c r="S953" s="35"/>
      <c r="T953" s="35"/>
      <c r="U953" s="13"/>
      <c r="V953" s="13"/>
      <c r="W953" s="13"/>
      <c r="X953" s="13"/>
      <c r="Y953" s="13"/>
      <c r="Z953" s="13"/>
      <c r="AA953" s="13"/>
      <c r="AB953" s="13"/>
      <c r="AC953" s="13"/>
    </row>
    <row r="954" ht="16.5" customHeight="1">
      <c r="A954" s="13"/>
      <c r="B954" s="13"/>
      <c r="C954" s="13"/>
      <c r="D954" s="13"/>
      <c r="E954" s="13"/>
      <c r="F954" s="13"/>
      <c r="G954" s="13"/>
      <c r="H954" s="13"/>
      <c r="I954" s="13"/>
      <c r="J954" s="13"/>
      <c r="K954" s="185"/>
      <c r="L954" s="186"/>
      <c r="M954" s="13"/>
      <c r="N954" s="13"/>
      <c r="O954" s="185"/>
      <c r="P954" s="13"/>
      <c r="Q954" s="13"/>
      <c r="R954" s="177"/>
      <c r="S954" s="35"/>
      <c r="T954" s="35"/>
      <c r="U954" s="13"/>
      <c r="V954" s="13"/>
      <c r="W954" s="13"/>
      <c r="X954" s="13"/>
      <c r="Y954" s="13"/>
      <c r="Z954" s="13"/>
      <c r="AA954" s="13"/>
      <c r="AB954" s="13"/>
      <c r="AC954" s="13"/>
    </row>
    <row r="955" ht="16.5" customHeight="1">
      <c r="A955" s="13"/>
      <c r="B955" s="13"/>
      <c r="C955" s="13"/>
      <c r="D955" s="13"/>
      <c r="E955" s="13"/>
      <c r="F955" s="13"/>
      <c r="G955" s="13"/>
      <c r="H955" s="13"/>
      <c r="I955" s="13"/>
      <c r="J955" s="13"/>
      <c r="K955" s="185"/>
      <c r="L955" s="186"/>
      <c r="M955" s="13"/>
      <c r="N955" s="13"/>
      <c r="O955" s="185"/>
      <c r="P955" s="13"/>
      <c r="Q955" s="13"/>
      <c r="R955" s="177"/>
      <c r="S955" s="35"/>
      <c r="T955" s="35"/>
      <c r="U955" s="13"/>
      <c r="V955" s="13"/>
      <c r="W955" s="13"/>
      <c r="X955" s="13"/>
      <c r="Y955" s="13"/>
      <c r="Z955" s="13"/>
      <c r="AA955" s="13"/>
      <c r="AB955" s="13"/>
      <c r="AC955" s="13"/>
    </row>
    <row r="956" ht="16.5" customHeight="1">
      <c r="A956" s="13"/>
      <c r="B956" s="13"/>
      <c r="C956" s="13"/>
      <c r="D956" s="13"/>
      <c r="E956" s="13"/>
      <c r="F956" s="13"/>
      <c r="G956" s="13"/>
      <c r="H956" s="13"/>
      <c r="I956" s="13"/>
      <c r="J956" s="13"/>
      <c r="K956" s="185"/>
      <c r="L956" s="186"/>
      <c r="M956" s="13"/>
      <c r="N956" s="13"/>
      <c r="O956" s="185"/>
      <c r="P956" s="13"/>
      <c r="Q956" s="13"/>
      <c r="R956" s="177"/>
      <c r="S956" s="35"/>
      <c r="T956" s="35"/>
      <c r="U956" s="13"/>
      <c r="V956" s="13"/>
      <c r="W956" s="13"/>
      <c r="X956" s="13"/>
      <c r="Y956" s="13"/>
      <c r="Z956" s="13"/>
      <c r="AA956" s="13"/>
      <c r="AB956" s="13"/>
      <c r="AC956" s="13"/>
    </row>
    <row r="957" ht="16.5" customHeight="1">
      <c r="A957" s="13"/>
      <c r="B957" s="13"/>
      <c r="C957" s="13"/>
      <c r="D957" s="13"/>
      <c r="E957" s="13"/>
      <c r="F957" s="13"/>
      <c r="G957" s="13"/>
      <c r="H957" s="13"/>
      <c r="I957" s="13"/>
      <c r="J957" s="13"/>
      <c r="K957" s="185"/>
      <c r="L957" s="186"/>
      <c r="M957" s="13"/>
      <c r="N957" s="13"/>
      <c r="O957" s="185"/>
      <c r="P957" s="13"/>
      <c r="Q957" s="13"/>
      <c r="R957" s="177"/>
      <c r="S957" s="35"/>
      <c r="T957" s="35"/>
      <c r="U957" s="13"/>
      <c r="V957" s="13"/>
      <c r="W957" s="13"/>
      <c r="X957" s="13"/>
      <c r="Y957" s="13"/>
      <c r="Z957" s="13"/>
      <c r="AA957" s="13"/>
      <c r="AB957" s="13"/>
      <c r="AC957" s="13"/>
    </row>
    <row r="958" ht="16.5" customHeight="1">
      <c r="A958" s="13"/>
      <c r="B958" s="13"/>
      <c r="C958" s="13"/>
      <c r="D958" s="13"/>
      <c r="E958" s="13"/>
      <c r="F958" s="13"/>
      <c r="G958" s="13"/>
      <c r="H958" s="13"/>
      <c r="I958" s="13"/>
      <c r="J958" s="13"/>
      <c r="K958" s="185"/>
      <c r="L958" s="186"/>
      <c r="M958" s="13"/>
      <c r="N958" s="13"/>
      <c r="O958" s="185"/>
      <c r="P958" s="13"/>
      <c r="Q958" s="13"/>
      <c r="R958" s="177"/>
      <c r="S958" s="35"/>
      <c r="T958" s="35"/>
      <c r="U958" s="13"/>
      <c r="V958" s="13"/>
      <c r="W958" s="13"/>
      <c r="X958" s="13"/>
      <c r="Y958" s="13"/>
      <c r="Z958" s="13"/>
      <c r="AA958" s="13"/>
      <c r="AB958" s="13"/>
      <c r="AC958" s="13"/>
    </row>
    <row r="959" ht="16.5" customHeight="1">
      <c r="A959" s="13"/>
      <c r="B959" s="13"/>
      <c r="C959" s="13"/>
      <c r="D959" s="13"/>
      <c r="E959" s="13"/>
      <c r="F959" s="13"/>
      <c r="G959" s="13"/>
      <c r="H959" s="13"/>
      <c r="I959" s="13"/>
      <c r="J959" s="13"/>
      <c r="K959" s="185"/>
      <c r="L959" s="186"/>
      <c r="M959" s="13"/>
      <c r="N959" s="13"/>
      <c r="O959" s="185"/>
      <c r="P959" s="13"/>
      <c r="Q959" s="13"/>
      <c r="R959" s="177"/>
      <c r="S959" s="35"/>
      <c r="T959" s="35"/>
      <c r="U959" s="13"/>
      <c r="V959" s="13"/>
      <c r="W959" s="13"/>
      <c r="X959" s="13"/>
      <c r="Y959" s="13"/>
      <c r="Z959" s="13"/>
      <c r="AA959" s="13"/>
      <c r="AB959" s="13"/>
      <c r="AC959" s="13"/>
    </row>
    <row r="960" ht="16.5" customHeight="1">
      <c r="A960" s="13"/>
      <c r="B960" s="13"/>
      <c r="C960" s="13"/>
      <c r="D960" s="13"/>
      <c r="E960" s="13"/>
      <c r="F960" s="13"/>
      <c r="G960" s="13"/>
      <c r="H960" s="13"/>
      <c r="I960" s="13"/>
      <c r="J960" s="13"/>
      <c r="K960" s="185"/>
      <c r="L960" s="186"/>
      <c r="M960" s="13"/>
      <c r="N960" s="13"/>
      <c r="O960" s="185"/>
      <c r="P960" s="13"/>
      <c r="Q960" s="13"/>
      <c r="R960" s="177"/>
      <c r="S960" s="35"/>
      <c r="T960" s="35"/>
      <c r="U960" s="13"/>
      <c r="V960" s="13"/>
      <c r="W960" s="13"/>
      <c r="X960" s="13"/>
      <c r="Y960" s="13"/>
      <c r="Z960" s="13"/>
      <c r="AA960" s="13"/>
      <c r="AB960" s="13"/>
      <c r="AC960" s="13"/>
    </row>
    <row r="961" ht="16.5" customHeight="1">
      <c r="A961" s="13"/>
      <c r="B961" s="13"/>
      <c r="C961" s="13"/>
      <c r="D961" s="13"/>
      <c r="E961" s="13"/>
      <c r="F961" s="13"/>
      <c r="G961" s="13"/>
      <c r="H961" s="13"/>
      <c r="I961" s="13"/>
      <c r="J961" s="13"/>
      <c r="K961" s="185"/>
      <c r="L961" s="186"/>
      <c r="M961" s="13"/>
      <c r="N961" s="13"/>
      <c r="O961" s="185"/>
      <c r="P961" s="13"/>
      <c r="Q961" s="13"/>
      <c r="R961" s="177"/>
      <c r="S961" s="35"/>
      <c r="T961" s="35"/>
      <c r="U961" s="13"/>
      <c r="V961" s="13"/>
      <c r="W961" s="13"/>
      <c r="X961" s="13"/>
      <c r="Y961" s="13"/>
      <c r="Z961" s="13"/>
      <c r="AA961" s="13"/>
      <c r="AB961" s="13"/>
      <c r="AC961" s="13"/>
    </row>
    <row r="962" ht="16.5" customHeight="1">
      <c r="A962" s="13"/>
      <c r="B962" s="13"/>
      <c r="C962" s="13"/>
      <c r="D962" s="13"/>
      <c r="E962" s="13"/>
      <c r="F962" s="13"/>
      <c r="G962" s="13"/>
      <c r="H962" s="13"/>
      <c r="I962" s="13"/>
      <c r="J962" s="13"/>
      <c r="K962" s="185"/>
      <c r="L962" s="186"/>
      <c r="M962" s="13"/>
      <c r="N962" s="13"/>
      <c r="O962" s="185"/>
      <c r="P962" s="13"/>
      <c r="Q962" s="13"/>
      <c r="R962" s="177"/>
      <c r="S962" s="35"/>
      <c r="T962" s="35"/>
      <c r="U962" s="13"/>
      <c r="V962" s="13"/>
      <c r="W962" s="13"/>
      <c r="X962" s="13"/>
      <c r="Y962" s="13"/>
      <c r="Z962" s="13"/>
      <c r="AA962" s="13"/>
      <c r="AB962" s="13"/>
      <c r="AC962" s="13"/>
    </row>
    <row r="963" ht="16.5" customHeight="1">
      <c r="A963" s="13"/>
      <c r="B963" s="13"/>
      <c r="C963" s="13"/>
      <c r="D963" s="13"/>
      <c r="E963" s="13"/>
      <c r="F963" s="13"/>
      <c r="G963" s="13"/>
      <c r="H963" s="13"/>
      <c r="I963" s="13"/>
      <c r="J963" s="13"/>
      <c r="K963" s="185"/>
      <c r="L963" s="186"/>
      <c r="M963" s="13"/>
      <c r="N963" s="13"/>
      <c r="O963" s="185"/>
      <c r="P963" s="13"/>
      <c r="Q963" s="13"/>
      <c r="R963" s="177"/>
      <c r="S963" s="35"/>
      <c r="T963" s="35"/>
      <c r="U963" s="13"/>
      <c r="V963" s="13"/>
      <c r="W963" s="13"/>
      <c r="X963" s="13"/>
      <c r="Y963" s="13"/>
      <c r="Z963" s="13"/>
      <c r="AA963" s="13"/>
      <c r="AB963" s="13"/>
      <c r="AC963" s="13"/>
    </row>
    <row r="964" ht="16.5" customHeight="1">
      <c r="A964" s="13"/>
      <c r="B964" s="13"/>
      <c r="C964" s="13"/>
      <c r="D964" s="13"/>
      <c r="E964" s="13"/>
      <c r="F964" s="13"/>
      <c r="G964" s="13"/>
      <c r="H964" s="13"/>
      <c r="I964" s="13"/>
      <c r="J964" s="13"/>
      <c r="K964" s="185"/>
      <c r="L964" s="186"/>
      <c r="M964" s="13"/>
      <c r="N964" s="13"/>
      <c r="O964" s="185"/>
      <c r="P964" s="13"/>
      <c r="Q964" s="13"/>
      <c r="R964" s="177"/>
      <c r="S964" s="35"/>
      <c r="T964" s="35"/>
      <c r="U964" s="13"/>
      <c r="V964" s="13"/>
      <c r="W964" s="13"/>
      <c r="X964" s="13"/>
      <c r="Y964" s="13"/>
      <c r="Z964" s="13"/>
      <c r="AA964" s="13"/>
      <c r="AB964" s="13"/>
      <c r="AC964" s="13"/>
    </row>
    <row r="965" ht="16.5" customHeight="1">
      <c r="A965" s="13"/>
      <c r="B965" s="13"/>
      <c r="C965" s="13"/>
      <c r="D965" s="13"/>
      <c r="E965" s="13"/>
      <c r="F965" s="13"/>
      <c r="G965" s="13"/>
      <c r="H965" s="13"/>
      <c r="I965" s="13"/>
      <c r="J965" s="13"/>
      <c r="K965" s="185"/>
      <c r="L965" s="186"/>
      <c r="M965" s="13"/>
      <c r="N965" s="13"/>
      <c r="O965" s="185"/>
      <c r="P965" s="13"/>
      <c r="Q965" s="13"/>
      <c r="R965" s="177"/>
      <c r="S965" s="35"/>
      <c r="T965" s="35"/>
      <c r="U965" s="13"/>
      <c r="V965" s="13"/>
      <c r="W965" s="13"/>
      <c r="X965" s="13"/>
      <c r="Y965" s="13"/>
      <c r="Z965" s="13"/>
      <c r="AA965" s="13"/>
      <c r="AB965" s="13"/>
      <c r="AC965" s="13"/>
    </row>
    <row r="966" ht="16.5" customHeight="1">
      <c r="A966" s="13"/>
      <c r="B966" s="13"/>
      <c r="C966" s="13"/>
      <c r="D966" s="13"/>
      <c r="E966" s="13"/>
      <c r="F966" s="13"/>
      <c r="G966" s="13"/>
      <c r="H966" s="13"/>
      <c r="I966" s="13"/>
      <c r="J966" s="13"/>
      <c r="K966" s="185"/>
      <c r="L966" s="186"/>
      <c r="M966" s="13"/>
      <c r="N966" s="13"/>
      <c r="O966" s="185"/>
      <c r="P966" s="13"/>
      <c r="Q966" s="13"/>
      <c r="R966" s="177"/>
      <c r="S966" s="35"/>
      <c r="T966" s="35"/>
      <c r="U966" s="13"/>
      <c r="V966" s="13"/>
      <c r="W966" s="13"/>
      <c r="X966" s="13"/>
      <c r="Y966" s="13"/>
      <c r="Z966" s="13"/>
      <c r="AA966" s="13"/>
      <c r="AB966" s="13"/>
      <c r="AC966" s="13"/>
    </row>
    <row r="967" ht="16.5" customHeight="1">
      <c r="A967" s="13"/>
      <c r="B967" s="13"/>
      <c r="C967" s="13"/>
      <c r="D967" s="13"/>
      <c r="E967" s="13"/>
      <c r="F967" s="13"/>
      <c r="G967" s="13"/>
      <c r="H967" s="13"/>
      <c r="I967" s="13"/>
      <c r="J967" s="13"/>
      <c r="K967" s="185"/>
      <c r="L967" s="186"/>
      <c r="M967" s="13"/>
      <c r="N967" s="13"/>
      <c r="O967" s="185"/>
      <c r="P967" s="13"/>
      <c r="Q967" s="13"/>
      <c r="R967" s="177"/>
      <c r="S967" s="35"/>
      <c r="T967" s="35"/>
      <c r="U967" s="13"/>
      <c r="V967" s="13"/>
      <c r="W967" s="13"/>
      <c r="X967" s="13"/>
      <c r="Y967" s="13"/>
      <c r="Z967" s="13"/>
      <c r="AA967" s="13"/>
      <c r="AB967" s="13"/>
      <c r="AC967" s="13"/>
    </row>
    <row r="968" ht="16.5" customHeight="1">
      <c r="A968" s="13"/>
      <c r="B968" s="13"/>
      <c r="C968" s="13"/>
      <c r="D968" s="13"/>
      <c r="E968" s="13"/>
      <c r="F968" s="13"/>
      <c r="G968" s="13"/>
      <c r="H968" s="13"/>
      <c r="I968" s="13"/>
      <c r="J968" s="13"/>
      <c r="K968" s="185"/>
      <c r="L968" s="186"/>
      <c r="M968" s="13"/>
      <c r="N968" s="13"/>
      <c r="O968" s="185"/>
      <c r="P968" s="13"/>
      <c r="Q968" s="13"/>
      <c r="R968" s="177"/>
      <c r="S968" s="35"/>
      <c r="T968" s="35"/>
      <c r="U968" s="13"/>
      <c r="V968" s="13"/>
      <c r="W968" s="13"/>
      <c r="X968" s="13"/>
      <c r="Y968" s="13"/>
      <c r="Z968" s="13"/>
      <c r="AA968" s="13"/>
      <c r="AB968" s="13"/>
      <c r="AC968" s="13"/>
    </row>
    <row r="969" ht="16.5" customHeight="1">
      <c r="A969" s="13"/>
      <c r="B969" s="13"/>
      <c r="C969" s="13"/>
      <c r="D969" s="13"/>
      <c r="E969" s="13"/>
      <c r="F969" s="13"/>
      <c r="G969" s="13"/>
      <c r="H969" s="13"/>
      <c r="I969" s="13"/>
      <c r="J969" s="13"/>
      <c r="K969" s="185"/>
      <c r="L969" s="186"/>
      <c r="M969" s="13"/>
      <c r="N969" s="13"/>
      <c r="O969" s="185"/>
      <c r="P969" s="13"/>
      <c r="Q969" s="13"/>
      <c r="R969" s="177"/>
      <c r="S969" s="35"/>
      <c r="T969" s="35"/>
      <c r="U969" s="13"/>
      <c r="V969" s="13"/>
      <c r="W969" s="13"/>
      <c r="X969" s="13"/>
      <c r="Y969" s="13"/>
      <c r="Z969" s="13"/>
      <c r="AA969" s="13"/>
      <c r="AB969" s="13"/>
      <c r="AC969" s="13"/>
    </row>
    <row r="970" ht="16.5" customHeight="1">
      <c r="A970" s="13"/>
      <c r="B970" s="13"/>
      <c r="C970" s="13"/>
      <c r="D970" s="13"/>
      <c r="E970" s="13"/>
      <c r="F970" s="13"/>
      <c r="G970" s="13"/>
      <c r="H970" s="13"/>
      <c r="I970" s="13"/>
      <c r="J970" s="13"/>
      <c r="K970" s="185"/>
      <c r="L970" s="186"/>
      <c r="M970" s="13"/>
      <c r="N970" s="13"/>
      <c r="O970" s="185"/>
      <c r="P970" s="13"/>
      <c r="Q970" s="13"/>
      <c r="R970" s="177"/>
      <c r="S970" s="35"/>
      <c r="T970" s="35"/>
      <c r="U970" s="13"/>
      <c r="V970" s="13"/>
      <c r="W970" s="13"/>
      <c r="X970" s="13"/>
      <c r="Y970" s="13"/>
      <c r="Z970" s="13"/>
      <c r="AA970" s="13"/>
      <c r="AB970" s="13"/>
      <c r="AC970" s="13"/>
    </row>
    <row r="971" ht="16.5" customHeight="1">
      <c r="A971" s="13"/>
      <c r="B971" s="13"/>
      <c r="C971" s="13"/>
      <c r="D971" s="13"/>
      <c r="E971" s="13"/>
      <c r="F971" s="13"/>
      <c r="G971" s="13"/>
      <c r="H971" s="13"/>
      <c r="I971" s="13"/>
      <c r="J971" s="13"/>
      <c r="K971" s="185"/>
      <c r="L971" s="186"/>
      <c r="M971" s="13"/>
      <c r="N971" s="13"/>
      <c r="O971" s="185"/>
      <c r="P971" s="13"/>
      <c r="Q971" s="13"/>
      <c r="R971" s="177"/>
      <c r="S971" s="35"/>
      <c r="T971" s="35"/>
      <c r="U971" s="13"/>
      <c r="V971" s="13"/>
      <c r="W971" s="13"/>
      <c r="X971" s="13"/>
      <c r="Y971" s="13"/>
      <c r="Z971" s="13"/>
      <c r="AA971" s="13"/>
      <c r="AB971" s="13"/>
      <c r="AC971" s="13"/>
    </row>
    <row r="972" ht="16.5" customHeight="1">
      <c r="A972" s="13"/>
      <c r="B972" s="13"/>
      <c r="C972" s="13"/>
      <c r="D972" s="13"/>
      <c r="E972" s="13"/>
      <c r="F972" s="13"/>
      <c r="G972" s="13"/>
      <c r="H972" s="13"/>
      <c r="I972" s="13"/>
      <c r="J972" s="13"/>
      <c r="K972" s="185"/>
      <c r="L972" s="186"/>
      <c r="M972" s="13"/>
      <c r="N972" s="13"/>
      <c r="O972" s="185"/>
      <c r="P972" s="13"/>
      <c r="Q972" s="13"/>
      <c r="R972" s="177"/>
      <c r="S972" s="35"/>
      <c r="T972" s="35"/>
      <c r="U972" s="13"/>
      <c r="V972" s="13"/>
      <c r="W972" s="13"/>
      <c r="X972" s="13"/>
      <c r="Y972" s="13"/>
      <c r="Z972" s="13"/>
      <c r="AA972" s="13"/>
      <c r="AB972" s="13"/>
      <c r="AC972" s="13"/>
    </row>
    <row r="973" ht="16.5" customHeight="1">
      <c r="A973" s="13"/>
      <c r="B973" s="13"/>
      <c r="C973" s="13"/>
      <c r="D973" s="13"/>
      <c r="E973" s="13"/>
      <c r="F973" s="13"/>
      <c r="G973" s="13"/>
      <c r="H973" s="13"/>
      <c r="I973" s="13"/>
      <c r="J973" s="13"/>
      <c r="K973" s="185"/>
      <c r="L973" s="186"/>
      <c r="M973" s="13"/>
      <c r="N973" s="13"/>
      <c r="O973" s="185"/>
      <c r="P973" s="13"/>
      <c r="Q973" s="13"/>
      <c r="R973" s="177"/>
      <c r="S973" s="35"/>
      <c r="T973" s="35"/>
      <c r="U973" s="13"/>
      <c r="V973" s="13"/>
      <c r="W973" s="13"/>
      <c r="X973" s="13"/>
      <c r="Y973" s="13"/>
      <c r="Z973" s="13"/>
      <c r="AA973" s="13"/>
      <c r="AB973" s="13"/>
      <c r="AC973" s="13"/>
    </row>
    <row r="974" ht="16.5" customHeight="1">
      <c r="A974" s="13"/>
      <c r="B974" s="13"/>
      <c r="C974" s="13"/>
      <c r="D974" s="13"/>
      <c r="E974" s="13"/>
      <c r="F974" s="13"/>
      <c r="G974" s="13"/>
      <c r="H974" s="13"/>
      <c r="I974" s="13"/>
      <c r="J974" s="13"/>
      <c r="K974" s="185"/>
      <c r="L974" s="186"/>
      <c r="M974" s="13"/>
      <c r="N974" s="13"/>
      <c r="O974" s="185"/>
      <c r="P974" s="13"/>
      <c r="Q974" s="13"/>
      <c r="R974" s="177"/>
      <c r="S974" s="35"/>
      <c r="T974" s="35"/>
      <c r="U974" s="13"/>
      <c r="V974" s="13"/>
      <c r="W974" s="13"/>
      <c r="X974" s="13"/>
      <c r="Y974" s="13"/>
      <c r="Z974" s="13"/>
      <c r="AA974" s="13"/>
      <c r="AB974" s="13"/>
      <c r="AC974" s="13"/>
    </row>
    <row r="975" ht="16.5" customHeight="1">
      <c r="A975" s="13"/>
      <c r="B975" s="13"/>
      <c r="C975" s="13"/>
      <c r="D975" s="13"/>
      <c r="E975" s="13"/>
      <c r="F975" s="13"/>
      <c r="G975" s="13"/>
      <c r="H975" s="13"/>
      <c r="I975" s="13"/>
      <c r="J975" s="13"/>
      <c r="K975" s="185"/>
      <c r="L975" s="186"/>
      <c r="M975" s="13"/>
      <c r="N975" s="13"/>
      <c r="O975" s="185"/>
      <c r="P975" s="13"/>
      <c r="Q975" s="13"/>
      <c r="R975" s="177"/>
      <c r="S975" s="35"/>
      <c r="T975" s="35"/>
      <c r="U975" s="13"/>
      <c r="V975" s="13"/>
      <c r="W975" s="13"/>
      <c r="X975" s="13"/>
      <c r="Y975" s="13"/>
      <c r="Z975" s="13"/>
      <c r="AA975" s="13"/>
      <c r="AB975" s="13"/>
      <c r="AC975" s="13"/>
    </row>
    <row r="976" ht="16.5" customHeight="1">
      <c r="A976" s="13"/>
      <c r="B976" s="13"/>
      <c r="C976" s="13"/>
      <c r="D976" s="13"/>
      <c r="E976" s="13"/>
      <c r="F976" s="13"/>
      <c r="G976" s="13"/>
      <c r="H976" s="13"/>
      <c r="I976" s="13"/>
      <c r="J976" s="13"/>
      <c r="K976" s="185"/>
      <c r="L976" s="186"/>
      <c r="M976" s="13"/>
      <c r="N976" s="13"/>
      <c r="O976" s="185"/>
      <c r="P976" s="13"/>
      <c r="Q976" s="13"/>
      <c r="R976" s="177"/>
      <c r="S976" s="35"/>
      <c r="T976" s="35"/>
      <c r="U976" s="13"/>
      <c r="V976" s="13"/>
      <c r="W976" s="13"/>
      <c r="X976" s="13"/>
      <c r="Y976" s="13"/>
      <c r="Z976" s="13"/>
      <c r="AA976" s="13"/>
      <c r="AB976" s="13"/>
      <c r="AC976" s="13"/>
    </row>
    <row r="977" ht="16.5" customHeight="1">
      <c r="A977" s="13"/>
      <c r="B977" s="13"/>
      <c r="C977" s="13"/>
      <c r="D977" s="13"/>
      <c r="E977" s="13"/>
      <c r="F977" s="13"/>
      <c r="G977" s="13"/>
      <c r="H977" s="13"/>
      <c r="I977" s="13"/>
      <c r="J977" s="13"/>
      <c r="K977" s="185"/>
      <c r="L977" s="186"/>
      <c r="M977" s="13"/>
      <c r="N977" s="13"/>
      <c r="O977" s="185"/>
      <c r="P977" s="13"/>
      <c r="Q977" s="13"/>
      <c r="R977" s="177"/>
      <c r="S977" s="35"/>
      <c r="T977" s="35"/>
      <c r="U977" s="13"/>
      <c r="V977" s="13"/>
      <c r="W977" s="13"/>
      <c r="X977" s="13"/>
      <c r="Y977" s="13"/>
      <c r="Z977" s="13"/>
      <c r="AA977" s="13"/>
      <c r="AB977" s="13"/>
      <c r="AC977" s="13"/>
    </row>
    <row r="978" ht="16.5" customHeight="1">
      <c r="A978" s="13"/>
      <c r="B978" s="13"/>
      <c r="C978" s="13"/>
      <c r="D978" s="13"/>
      <c r="E978" s="13"/>
      <c r="F978" s="13"/>
      <c r="G978" s="13"/>
      <c r="H978" s="13"/>
      <c r="I978" s="13"/>
      <c r="J978" s="13"/>
      <c r="K978" s="185"/>
      <c r="L978" s="186"/>
      <c r="M978" s="13"/>
      <c r="N978" s="13"/>
      <c r="O978" s="185"/>
      <c r="P978" s="13"/>
      <c r="Q978" s="13"/>
      <c r="R978" s="177"/>
      <c r="S978" s="35"/>
      <c r="T978" s="35"/>
      <c r="U978" s="13"/>
      <c r="V978" s="13"/>
      <c r="W978" s="13"/>
      <c r="X978" s="13"/>
      <c r="Y978" s="13"/>
      <c r="Z978" s="13"/>
      <c r="AA978" s="13"/>
      <c r="AB978" s="13"/>
      <c r="AC978" s="13"/>
    </row>
    <row r="979" ht="16.5" customHeight="1">
      <c r="A979" s="13"/>
      <c r="B979" s="13"/>
      <c r="C979" s="13"/>
      <c r="D979" s="13"/>
      <c r="E979" s="13"/>
      <c r="F979" s="13"/>
      <c r="G979" s="13"/>
      <c r="H979" s="13"/>
      <c r="I979" s="13"/>
      <c r="J979" s="13"/>
      <c r="K979" s="185"/>
      <c r="L979" s="186"/>
      <c r="M979" s="13"/>
      <c r="N979" s="13"/>
      <c r="O979" s="185"/>
      <c r="P979" s="13"/>
      <c r="Q979" s="13"/>
      <c r="R979" s="177"/>
      <c r="S979" s="35"/>
      <c r="T979" s="35"/>
      <c r="U979" s="13"/>
      <c r="V979" s="13"/>
      <c r="W979" s="13"/>
      <c r="X979" s="13"/>
      <c r="Y979" s="13"/>
      <c r="Z979" s="13"/>
      <c r="AA979" s="13"/>
      <c r="AB979" s="13"/>
      <c r="AC979" s="13"/>
    </row>
    <row r="980" ht="16.5" customHeight="1">
      <c r="A980" s="13"/>
      <c r="B980" s="13"/>
      <c r="C980" s="13"/>
      <c r="D980" s="13"/>
      <c r="E980" s="13"/>
      <c r="F980" s="13"/>
      <c r="G980" s="13"/>
      <c r="H980" s="13"/>
      <c r="I980" s="13"/>
      <c r="J980" s="13"/>
      <c r="K980" s="185"/>
      <c r="L980" s="186"/>
      <c r="M980" s="13"/>
      <c r="N980" s="13"/>
      <c r="O980" s="185"/>
      <c r="P980" s="13"/>
      <c r="Q980" s="13"/>
      <c r="R980" s="177"/>
      <c r="S980" s="35"/>
      <c r="T980" s="35"/>
      <c r="U980" s="13"/>
      <c r="V980" s="13"/>
      <c r="W980" s="13"/>
      <c r="X980" s="13"/>
      <c r="Y980" s="13"/>
      <c r="Z980" s="13"/>
      <c r="AA980" s="13"/>
      <c r="AB980" s="13"/>
      <c r="AC980" s="13"/>
    </row>
    <row r="981" ht="16.5" customHeight="1">
      <c r="A981" s="13"/>
      <c r="B981" s="13"/>
      <c r="C981" s="13"/>
      <c r="D981" s="13"/>
      <c r="E981" s="13"/>
      <c r="F981" s="13"/>
      <c r="G981" s="13"/>
      <c r="H981" s="13"/>
      <c r="I981" s="13"/>
      <c r="J981" s="13"/>
      <c r="K981" s="185"/>
      <c r="L981" s="186"/>
      <c r="M981" s="13"/>
      <c r="N981" s="13"/>
      <c r="O981" s="185"/>
      <c r="P981" s="13"/>
      <c r="Q981" s="13"/>
      <c r="R981" s="177"/>
      <c r="S981" s="35"/>
      <c r="T981" s="35"/>
      <c r="U981" s="13"/>
      <c r="V981" s="13"/>
      <c r="W981" s="13"/>
      <c r="X981" s="13"/>
      <c r="Y981" s="13"/>
      <c r="Z981" s="13"/>
      <c r="AA981" s="13"/>
      <c r="AB981" s="13"/>
      <c r="AC981" s="13"/>
    </row>
    <row r="982" ht="16.5" customHeight="1">
      <c r="A982" s="13"/>
      <c r="B982" s="13"/>
      <c r="C982" s="13"/>
      <c r="D982" s="13"/>
      <c r="E982" s="13"/>
      <c r="F982" s="13"/>
      <c r="G982" s="13"/>
      <c r="H982" s="13"/>
      <c r="I982" s="13"/>
      <c r="J982" s="13"/>
      <c r="K982" s="185"/>
      <c r="L982" s="186"/>
      <c r="M982" s="13"/>
      <c r="N982" s="13"/>
      <c r="O982" s="185"/>
      <c r="P982" s="13"/>
      <c r="Q982" s="13"/>
      <c r="R982" s="177"/>
      <c r="S982" s="35"/>
      <c r="T982" s="35"/>
      <c r="U982" s="13"/>
      <c r="V982" s="13"/>
      <c r="W982" s="13"/>
      <c r="X982" s="13"/>
      <c r="Y982" s="13"/>
      <c r="Z982" s="13"/>
      <c r="AA982" s="13"/>
      <c r="AB982" s="13"/>
      <c r="AC982" s="13"/>
    </row>
    <row r="983" ht="16.5" customHeight="1">
      <c r="A983" s="13"/>
      <c r="B983" s="13"/>
      <c r="C983" s="13"/>
      <c r="D983" s="13"/>
      <c r="E983" s="13"/>
      <c r="F983" s="13"/>
      <c r="G983" s="13"/>
      <c r="H983" s="13"/>
      <c r="I983" s="13"/>
      <c r="J983" s="13"/>
      <c r="K983" s="185"/>
      <c r="L983" s="186"/>
      <c r="M983" s="13"/>
      <c r="N983" s="13"/>
      <c r="O983" s="185"/>
      <c r="P983" s="13"/>
      <c r="Q983" s="13"/>
      <c r="R983" s="177"/>
      <c r="S983" s="35"/>
      <c r="T983" s="35"/>
      <c r="U983" s="13"/>
      <c r="V983" s="13"/>
      <c r="W983" s="13"/>
      <c r="X983" s="13"/>
      <c r="Y983" s="13"/>
      <c r="Z983" s="13"/>
      <c r="AA983" s="13"/>
      <c r="AB983" s="13"/>
      <c r="AC983" s="13"/>
    </row>
    <row r="984" ht="16.5" customHeight="1">
      <c r="A984" s="13"/>
      <c r="B984" s="13"/>
      <c r="C984" s="13"/>
      <c r="D984" s="13"/>
      <c r="E984" s="13"/>
      <c r="F984" s="13"/>
      <c r="G984" s="13"/>
      <c r="H984" s="13"/>
      <c r="I984" s="13"/>
      <c r="J984" s="13"/>
      <c r="K984" s="185"/>
      <c r="L984" s="186"/>
      <c r="M984" s="13"/>
      <c r="N984" s="13"/>
      <c r="O984" s="185"/>
      <c r="P984" s="13"/>
      <c r="Q984" s="13"/>
      <c r="R984" s="177"/>
      <c r="S984" s="35"/>
      <c r="T984" s="35"/>
      <c r="U984" s="13"/>
      <c r="V984" s="13"/>
      <c r="W984" s="13"/>
      <c r="X984" s="13"/>
      <c r="Y984" s="13"/>
      <c r="Z984" s="13"/>
      <c r="AA984" s="13"/>
      <c r="AB984" s="13"/>
      <c r="AC984" s="13"/>
    </row>
    <row r="985" ht="16.5" customHeight="1">
      <c r="A985" s="13"/>
      <c r="B985" s="13"/>
      <c r="C985" s="13"/>
      <c r="D985" s="13"/>
      <c r="E985" s="13"/>
      <c r="F985" s="13"/>
      <c r="G985" s="13"/>
      <c r="H985" s="13"/>
      <c r="I985" s="13"/>
      <c r="J985" s="13"/>
      <c r="K985" s="185"/>
      <c r="L985" s="186"/>
      <c r="M985" s="13"/>
      <c r="N985" s="13"/>
      <c r="O985" s="185"/>
      <c r="P985" s="13"/>
      <c r="Q985" s="13"/>
      <c r="R985" s="177"/>
      <c r="S985" s="35"/>
      <c r="T985" s="35"/>
      <c r="U985" s="13"/>
      <c r="V985" s="13"/>
      <c r="W985" s="13"/>
      <c r="X985" s="13"/>
      <c r="Y985" s="13"/>
      <c r="Z985" s="13"/>
      <c r="AA985" s="13"/>
      <c r="AB985" s="13"/>
      <c r="AC985" s="13"/>
    </row>
    <row r="986" ht="16.5" customHeight="1">
      <c r="A986" s="13"/>
      <c r="B986" s="13"/>
      <c r="C986" s="13"/>
      <c r="D986" s="13"/>
      <c r="E986" s="13"/>
      <c r="F986" s="13"/>
      <c r="G986" s="13"/>
      <c r="H986" s="13"/>
      <c r="I986" s="13"/>
      <c r="J986" s="13"/>
      <c r="K986" s="185"/>
      <c r="L986" s="186"/>
      <c r="M986" s="13"/>
      <c r="N986" s="13"/>
      <c r="O986" s="185"/>
      <c r="P986" s="13"/>
      <c r="Q986" s="13"/>
      <c r="R986" s="177"/>
      <c r="S986" s="35"/>
      <c r="T986" s="35"/>
      <c r="U986" s="13"/>
      <c r="V986" s="13"/>
      <c r="W986" s="13"/>
      <c r="X986" s="13"/>
      <c r="Y986" s="13"/>
      <c r="Z986" s="13"/>
      <c r="AA986" s="13"/>
      <c r="AB986" s="13"/>
      <c r="AC986" s="13"/>
    </row>
    <row r="987" ht="16.5" customHeight="1">
      <c r="A987" s="13"/>
      <c r="B987" s="13"/>
      <c r="C987" s="13"/>
      <c r="D987" s="13"/>
      <c r="E987" s="13"/>
      <c r="F987" s="13"/>
      <c r="G987" s="13"/>
      <c r="H987" s="13"/>
      <c r="I987" s="13"/>
      <c r="J987" s="13"/>
      <c r="K987" s="185"/>
      <c r="L987" s="186"/>
      <c r="M987" s="13"/>
      <c r="N987" s="13"/>
      <c r="O987" s="185"/>
      <c r="P987" s="13"/>
      <c r="Q987" s="13"/>
      <c r="R987" s="177"/>
      <c r="S987" s="35"/>
      <c r="T987" s="35"/>
      <c r="U987" s="13"/>
      <c r="V987" s="13"/>
      <c r="W987" s="13"/>
      <c r="X987" s="13"/>
      <c r="Y987" s="13"/>
      <c r="Z987" s="13"/>
      <c r="AA987" s="13"/>
      <c r="AB987" s="13"/>
      <c r="AC987" s="13"/>
    </row>
    <row r="988" ht="16.5" customHeight="1">
      <c r="A988" s="13"/>
      <c r="B988" s="13"/>
      <c r="C988" s="13"/>
      <c r="D988" s="13"/>
      <c r="E988" s="13"/>
      <c r="F988" s="13"/>
      <c r="G988" s="13"/>
      <c r="H988" s="13"/>
      <c r="I988" s="13"/>
      <c r="J988" s="13"/>
      <c r="K988" s="185"/>
      <c r="L988" s="186"/>
      <c r="M988" s="13"/>
      <c r="N988" s="13"/>
      <c r="O988" s="185"/>
      <c r="P988" s="13"/>
      <c r="Q988" s="13"/>
      <c r="R988" s="177"/>
      <c r="S988" s="35"/>
      <c r="T988" s="35"/>
      <c r="U988" s="13"/>
      <c r="V988" s="13"/>
      <c r="W988" s="13"/>
      <c r="X988" s="13"/>
      <c r="Y988" s="13"/>
      <c r="Z988" s="13"/>
      <c r="AA988" s="13"/>
      <c r="AB988" s="13"/>
      <c r="AC988" s="13"/>
    </row>
    <row r="989" ht="16.5" customHeight="1">
      <c r="A989" s="13"/>
      <c r="B989" s="13"/>
      <c r="C989" s="13"/>
      <c r="D989" s="13"/>
      <c r="E989" s="13"/>
      <c r="F989" s="13"/>
      <c r="G989" s="13"/>
      <c r="H989" s="13"/>
      <c r="I989" s="13"/>
      <c r="J989" s="13"/>
      <c r="K989" s="185"/>
      <c r="L989" s="186"/>
      <c r="M989" s="13"/>
      <c r="N989" s="13"/>
      <c r="O989" s="185"/>
      <c r="P989" s="13"/>
      <c r="Q989" s="13"/>
      <c r="R989" s="177"/>
      <c r="S989" s="35"/>
      <c r="T989" s="35"/>
      <c r="U989" s="13"/>
      <c r="V989" s="13"/>
      <c r="W989" s="13"/>
      <c r="X989" s="13"/>
      <c r="Y989" s="13"/>
      <c r="Z989" s="13"/>
      <c r="AA989" s="13"/>
      <c r="AB989" s="13"/>
      <c r="AC989" s="13"/>
    </row>
    <row r="990" ht="16.5" customHeight="1">
      <c r="A990" s="13"/>
      <c r="B990" s="13"/>
      <c r="C990" s="13"/>
      <c r="D990" s="13"/>
      <c r="E990" s="13"/>
      <c r="F990" s="13"/>
      <c r="G990" s="13"/>
      <c r="H990" s="13"/>
      <c r="I990" s="13"/>
      <c r="J990" s="13"/>
      <c r="K990" s="185"/>
      <c r="L990" s="186"/>
      <c r="M990" s="13"/>
      <c r="N990" s="13"/>
      <c r="O990" s="185"/>
      <c r="P990" s="13"/>
      <c r="Q990" s="13"/>
      <c r="R990" s="177"/>
      <c r="S990" s="35"/>
      <c r="T990" s="35"/>
      <c r="U990" s="13"/>
      <c r="V990" s="13"/>
      <c r="W990" s="13"/>
      <c r="X990" s="13"/>
      <c r="Y990" s="13"/>
      <c r="Z990" s="13"/>
      <c r="AA990" s="13"/>
      <c r="AB990" s="13"/>
      <c r="AC990" s="13"/>
    </row>
    <row r="991" ht="16.5" customHeight="1">
      <c r="A991" s="13"/>
      <c r="B991" s="13"/>
      <c r="C991" s="13"/>
      <c r="D991" s="13"/>
      <c r="E991" s="13"/>
      <c r="F991" s="13"/>
      <c r="G991" s="13"/>
      <c r="H991" s="13"/>
      <c r="I991" s="13"/>
      <c r="J991" s="13"/>
      <c r="K991" s="185"/>
      <c r="L991" s="186"/>
      <c r="M991" s="13"/>
      <c r="N991" s="13"/>
      <c r="O991" s="185"/>
      <c r="P991" s="13"/>
      <c r="Q991" s="13"/>
      <c r="R991" s="177"/>
      <c r="S991" s="35"/>
      <c r="T991" s="35"/>
      <c r="U991" s="13"/>
      <c r="V991" s="13"/>
      <c r="W991" s="13"/>
      <c r="X991" s="13"/>
      <c r="Y991" s="13"/>
      <c r="Z991" s="13"/>
      <c r="AA991" s="13"/>
      <c r="AB991" s="13"/>
      <c r="AC991" s="13"/>
    </row>
    <row r="992" ht="16.5" customHeight="1">
      <c r="A992" s="13"/>
      <c r="B992" s="13"/>
      <c r="C992" s="13"/>
      <c r="D992" s="13"/>
      <c r="E992" s="13"/>
      <c r="F992" s="13"/>
      <c r="G992" s="13"/>
      <c r="H992" s="13"/>
      <c r="I992" s="13"/>
      <c r="J992" s="13"/>
      <c r="K992" s="185"/>
      <c r="L992" s="186"/>
      <c r="M992" s="13"/>
      <c r="N992" s="13"/>
      <c r="O992" s="185"/>
      <c r="P992" s="13"/>
      <c r="Q992" s="13"/>
      <c r="R992" s="177"/>
      <c r="S992" s="35"/>
      <c r="T992" s="35"/>
      <c r="U992" s="13"/>
      <c r="V992" s="13"/>
      <c r="W992" s="13"/>
      <c r="X992" s="13"/>
      <c r="Y992" s="13"/>
      <c r="Z992" s="13"/>
      <c r="AA992" s="13"/>
      <c r="AB992" s="13"/>
      <c r="AC992" s="13"/>
    </row>
    <row r="993" ht="16.5" customHeight="1">
      <c r="A993" s="13"/>
      <c r="B993" s="13"/>
      <c r="C993" s="13"/>
      <c r="D993" s="13"/>
      <c r="E993" s="13"/>
      <c r="F993" s="13"/>
      <c r="G993" s="13"/>
      <c r="H993" s="13"/>
      <c r="I993" s="13"/>
      <c r="J993" s="13"/>
      <c r="K993" s="185"/>
      <c r="L993" s="186"/>
      <c r="M993" s="13"/>
      <c r="N993" s="13"/>
      <c r="O993" s="185"/>
      <c r="P993" s="13"/>
      <c r="Q993" s="13"/>
      <c r="R993" s="177"/>
      <c r="S993" s="35"/>
      <c r="T993" s="35"/>
      <c r="U993" s="13"/>
      <c r="V993" s="13"/>
      <c r="W993" s="13"/>
      <c r="X993" s="13"/>
      <c r="Y993" s="13"/>
      <c r="Z993" s="13"/>
      <c r="AA993" s="13"/>
      <c r="AB993" s="13"/>
      <c r="AC993" s="13"/>
    </row>
    <row r="994" ht="16.5" customHeight="1">
      <c r="A994" s="13"/>
      <c r="B994" s="13"/>
      <c r="C994" s="13"/>
      <c r="D994" s="13"/>
      <c r="E994" s="13"/>
      <c r="F994" s="13"/>
      <c r="G994" s="13"/>
      <c r="H994" s="13"/>
      <c r="I994" s="13"/>
      <c r="J994" s="13"/>
      <c r="K994" s="185"/>
      <c r="L994" s="186"/>
      <c r="M994" s="13"/>
      <c r="N994" s="13"/>
      <c r="O994" s="185"/>
      <c r="P994" s="13"/>
      <c r="Q994" s="13"/>
      <c r="R994" s="177"/>
      <c r="S994" s="35"/>
      <c r="T994" s="35"/>
      <c r="U994" s="13"/>
      <c r="V994" s="13"/>
      <c r="W994" s="13"/>
      <c r="X994" s="13"/>
      <c r="Y994" s="13"/>
      <c r="Z994" s="13"/>
      <c r="AA994" s="13"/>
      <c r="AB994" s="13"/>
      <c r="AC994" s="13"/>
    </row>
    <row r="995" ht="16.5" customHeight="1">
      <c r="A995" s="13"/>
      <c r="B995" s="13"/>
      <c r="C995" s="13"/>
      <c r="D995" s="13"/>
      <c r="E995" s="13"/>
      <c r="F995" s="13"/>
      <c r="G995" s="13"/>
      <c r="H995" s="13"/>
      <c r="I995" s="13"/>
      <c r="J995" s="13"/>
      <c r="K995" s="185"/>
      <c r="L995" s="186"/>
      <c r="M995" s="13"/>
      <c r="N995" s="13"/>
      <c r="O995" s="185"/>
      <c r="P995" s="13"/>
      <c r="Q995" s="13"/>
      <c r="R995" s="177"/>
      <c r="S995" s="35"/>
      <c r="T995" s="35"/>
      <c r="U995" s="13"/>
      <c r="V995" s="13"/>
      <c r="W995" s="13"/>
      <c r="X995" s="13"/>
      <c r="Y995" s="13"/>
      <c r="Z995" s="13"/>
      <c r="AA995" s="13"/>
      <c r="AB995" s="13"/>
      <c r="AC995" s="13"/>
    </row>
    <row r="996" ht="16.5" customHeight="1">
      <c r="A996" s="13"/>
      <c r="B996" s="13"/>
      <c r="C996" s="13"/>
      <c r="D996" s="13"/>
      <c r="E996" s="13"/>
      <c r="F996" s="13"/>
      <c r="G996" s="13"/>
      <c r="H996" s="13"/>
      <c r="I996" s="13"/>
      <c r="J996" s="13"/>
      <c r="K996" s="185"/>
      <c r="L996" s="186"/>
      <c r="M996" s="13"/>
      <c r="N996" s="13"/>
      <c r="O996" s="185"/>
      <c r="P996" s="13"/>
      <c r="Q996" s="13"/>
      <c r="R996" s="177"/>
      <c r="S996" s="35"/>
      <c r="T996" s="35"/>
      <c r="U996" s="13"/>
      <c r="V996" s="13"/>
      <c r="W996" s="13"/>
      <c r="X996" s="13"/>
      <c r="Y996" s="13"/>
      <c r="Z996" s="13"/>
      <c r="AA996" s="13"/>
      <c r="AB996" s="13"/>
      <c r="AC996" s="13"/>
    </row>
    <row r="997" ht="16.5" customHeight="1">
      <c r="A997" s="13"/>
      <c r="B997" s="13"/>
      <c r="C997" s="13"/>
      <c r="D997" s="13"/>
      <c r="E997" s="13"/>
      <c r="F997" s="13"/>
      <c r="G997" s="13"/>
      <c r="H997" s="13"/>
      <c r="I997" s="13"/>
      <c r="J997" s="13"/>
      <c r="K997" s="185"/>
      <c r="L997" s="186"/>
      <c r="M997" s="13"/>
      <c r="N997" s="13"/>
      <c r="O997" s="185"/>
      <c r="P997" s="13"/>
      <c r="Q997" s="13"/>
      <c r="R997" s="177"/>
      <c r="S997" s="35"/>
      <c r="T997" s="35"/>
      <c r="U997" s="13"/>
      <c r="V997" s="13"/>
      <c r="W997" s="13"/>
      <c r="X997" s="13"/>
      <c r="Y997" s="13"/>
      <c r="Z997" s="13"/>
      <c r="AA997" s="13"/>
      <c r="AB997" s="13"/>
      <c r="AC997" s="13"/>
    </row>
    <row r="998" ht="16.5" customHeight="1">
      <c r="A998" s="13"/>
      <c r="B998" s="13"/>
      <c r="C998" s="13"/>
      <c r="D998" s="13"/>
      <c r="E998" s="13"/>
      <c r="F998" s="13"/>
      <c r="G998" s="13"/>
      <c r="H998" s="13"/>
      <c r="I998" s="13"/>
      <c r="J998" s="13"/>
      <c r="K998" s="185"/>
      <c r="L998" s="186"/>
      <c r="M998" s="13"/>
      <c r="N998" s="13"/>
      <c r="O998" s="185"/>
      <c r="P998" s="13"/>
      <c r="Q998" s="13"/>
      <c r="R998" s="177"/>
      <c r="S998" s="35"/>
      <c r="T998" s="35"/>
      <c r="U998" s="13"/>
      <c r="V998" s="13"/>
      <c r="W998" s="13"/>
      <c r="X998" s="13"/>
      <c r="Y998" s="13"/>
      <c r="Z998" s="13"/>
      <c r="AA998" s="13"/>
      <c r="AB998" s="13"/>
      <c r="AC998" s="13"/>
    </row>
    <row r="999" ht="16.5" customHeight="1">
      <c r="A999" s="13"/>
      <c r="B999" s="13"/>
      <c r="C999" s="13"/>
      <c r="D999" s="13"/>
      <c r="E999" s="13"/>
      <c r="F999" s="13"/>
      <c r="G999" s="13"/>
      <c r="H999" s="13"/>
      <c r="I999" s="13"/>
      <c r="J999" s="13"/>
      <c r="K999" s="185"/>
      <c r="L999" s="186"/>
      <c r="M999" s="13"/>
      <c r="N999" s="13"/>
      <c r="O999" s="185"/>
      <c r="P999" s="13"/>
      <c r="Q999" s="13"/>
      <c r="R999" s="177"/>
      <c r="S999" s="35"/>
      <c r="T999" s="35"/>
      <c r="U999" s="13"/>
      <c r="V999" s="13"/>
      <c r="W999" s="13"/>
      <c r="X999" s="13"/>
      <c r="Y999" s="13"/>
      <c r="Z999" s="13"/>
      <c r="AA999" s="13"/>
      <c r="AB999" s="13"/>
      <c r="AC999" s="13"/>
    </row>
    <row r="1000" ht="16.5" customHeight="1">
      <c r="A1000" s="13"/>
      <c r="B1000" s="13"/>
      <c r="C1000" s="13"/>
      <c r="D1000" s="13"/>
      <c r="E1000" s="13"/>
      <c r="F1000" s="13"/>
      <c r="G1000" s="13"/>
      <c r="H1000" s="13"/>
      <c r="I1000" s="13"/>
      <c r="J1000" s="13"/>
      <c r="K1000" s="185"/>
      <c r="L1000" s="186"/>
      <c r="M1000" s="13"/>
      <c r="N1000" s="13"/>
      <c r="O1000" s="185"/>
      <c r="P1000" s="13"/>
      <c r="Q1000" s="13"/>
      <c r="R1000" s="177"/>
      <c r="S1000" s="35"/>
      <c r="T1000" s="35"/>
      <c r="U1000" s="13"/>
      <c r="V1000" s="13"/>
      <c r="W1000" s="13"/>
      <c r="X1000" s="13"/>
      <c r="Y1000" s="13"/>
      <c r="Z1000" s="13"/>
      <c r="AA1000" s="13"/>
      <c r="AB1000" s="13"/>
      <c r="AC1000" s="13"/>
    </row>
  </sheetData>
  <autoFilter ref="$A$3:$O$414">
    <filterColumn colId="8">
      <filters>
        <filter val="참조문서확정"/>
      </filters>
    </filterColumn>
  </autoFilter>
  <customSheetViews>
    <customSheetView guid="{E14FC1BD-5B70-4D77-B952-C84B5CD25E55}" filter="1" showAutoFilter="1">
      <autoFilter ref="$A$3:$O$414">
        <filterColumn colId="8">
          <filters>
            <filter val="고정답변처리"/>
            <filter val="참조문서확정"/>
            <filter val="별도서비스처리"/>
          </filters>
        </filterColumn>
      </autoFilter>
    </customSheetView>
  </customSheetViews>
  <mergeCells count="7">
    <mergeCell ref="A1:F1"/>
    <mergeCell ref="D2:E2"/>
    <mergeCell ref="F2:G2"/>
    <mergeCell ref="H2:I2"/>
    <mergeCell ref="J2:L2"/>
    <mergeCell ref="M2:O2"/>
    <mergeCell ref="P2:T2"/>
  </mergeCells>
  <hyperlinks>
    <hyperlink r:id="rId1" location="question4-8" ref="L266"/>
  </hyperlinks>
  <printOptions/>
  <pageMargins bottom="1.0" footer="0.0" header="0.0" left="0.75" right="0.75" top="1.0"/>
  <pageSetup fitToHeight="0" paperSize="9" orientation="landscape"/>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6.43"/>
  </cols>
  <sheetData>
    <row r="1">
      <c r="A1" s="187" t="s">
        <v>12</v>
      </c>
      <c r="B1" s="187" t="s">
        <v>13</v>
      </c>
    </row>
    <row r="2">
      <c r="A2" s="188">
        <f>IFERROR(__xludf.DUMMYFUNCTION("FILTER('부서FAQ_GoldenSet'!A4:B381, '부서FAQ_GoldenSet'!M4:M381=TRUE)"),2.0)</f>
        <v>2</v>
      </c>
      <c r="B2" s="188" t="str">
        <f>IFERROR(__xludf.DUMMYFUNCTION("""COMPUTED_VALUE"""),"질병휴직시 필요한 서류가 무엇인가요?")</f>
        <v>질병휴직시 필요한 서류가 무엇인가요?</v>
      </c>
      <c r="D2" s="187">
        <v>2.0</v>
      </c>
    </row>
    <row r="3">
      <c r="A3" s="188">
        <f>IFERROR(__xludf.DUMMYFUNCTION("""COMPUTED_VALUE"""),5.0)</f>
        <v>5</v>
      </c>
      <c r="B3" s="188" t="str">
        <f>IFERROR(__xludf.DUMMYFUNCTION("""COMPUTED_VALUE"""),"협상에 의한 계약을 진행할 시 절차가 어떻게 되나요?")</f>
        <v>협상에 의한 계약을 진행할 시 절차가 어떻게 되나요?</v>
      </c>
      <c r="D3" s="187">
        <v>5.0</v>
      </c>
    </row>
    <row r="4">
      <c r="A4" s="188">
        <f>IFERROR(__xludf.DUMMYFUNCTION("""COMPUTED_VALUE"""),6.0)</f>
        <v>6</v>
      </c>
      <c r="B4" s="188" t="str">
        <f>IFERROR(__xludf.DUMMYFUNCTION("""COMPUTED_VALUE"""),"DRM 비밀번호 초기화 방법이 무엇인가요?")</f>
        <v>DRM 비밀번호 초기화 방법이 무엇인가요?</v>
      </c>
      <c r="D4" s="187">
        <v>6.0</v>
      </c>
    </row>
    <row r="5">
      <c r="A5" s="188">
        <f>IFERROR(__xludf.DUMMYFUNCTION("""COMPUTED_VALUE"""),7.0)</f>
        <v>7</v>
      </c>
      <c r="B5" s="188" t="str">
        <f>IFERROR(__xludf.DUMMYFUNCTION("""COMPUTED_VALUE"""),"장관표창 공적심사 의뢰 시 제출서류가 무엇인가요?")</f>
        <v>장관표창 공적심사 의뢰 시 제출서류가 무엇인가요?</v>
      </c>
      <c r="D5" s="187">
        <v>9.0</v>
      </c>
    </row>
    <row r="6">
      <c r="A6" s="188">
        <f>IFERROR(__xludf.DUMMYFUNCTION("""COMPUTED_VALUE"""),8.0)</f>
        <v>8</v>
      </c>
      <c r="B6" s="188" t="str">
        <f>IFERROR(__xludf.DUMMYFUNCTION("""COMPUTED_VALUE"""),"시장표창 공적심사 의뢰 시 제출서류가 무엇인가요?")</f>
        <v>시장표창 공적심사 의뢰 시 제출서류가 무엇인가요?</v>
      </c>
      <c r="D6" s="187">
        <v>10.0</v>
      </c>
    </row>
    <row r="7">
      <c r="A7" s="188">
        <f>IFERROR(__xludf.DUMMYFUNCTION("""COMPUTED_VALUE"""),9.0)</f>
        <v>9</v>
      </c>
      <c r="B7" s="188" t="str">
        <f>IFERROR(__xludf.DUMMYFUNCTION("""COMPUTED_VALUE"""),"일상경비 교부대상 통계목이 무엇인가요?")</f>
        <v>일상경비 교부대상 통계목이 무엇인가요?</v>
      </c>
      <c r="D7" s="187">
        <v>11.0</v>
      </c>
    </row>
    <row r="8">
      <c r="A8" s="188">
        <f>IFERROR(__xludf.DUMMYFUNCTION("""COMPUTED_VALUE"""),10.0)</f>
        <v>10</v>
      </c>
      <c r="B8" s="188" t="str">
        <f>IFERROR(__xludf.DUMMYFUNCTION("""COMPUTED_VALUE"""),"일상경비 교부범위가 어떻게 되나요?")</f>
        <v>일상경비 교부범위가 어떻게 되나요?</v>
      </c>
      <c r="D8" s="187">
        <v>13.0</v>
      </c>
    </row>
    <row r="9">
      <c r="A9" s="188">
        <f>IFERROR(__xludf.DUMMYFUNCTION("""COMPUTED_VALUE"""),11.0)</f>
        <v>11</v>
      </c>
      <c r="B9" s="188" t="str">
        <f>IFERROR(__xludf.DUMMYFUNCTION("""COMPUTED_VALUE"""),"DRM 암호 초기화 어떻게 하나요?")</f>
        <v>DRM 암호 초기화 어떻게 하나요?</v>
      </c>
      <c r="D9" s="187">
        <v>15.0</v>
      </c>
    </row>
    <row r="10">
      <c r="A10" s="188">
        <f>IFERROR(__xludf.DUMMYFUNCTION("""COMPUTED_VALUE"""),13.0)</f>
        <v>13</v>
      </c>
      <c r="B10" s="188" t="str">
        <f>IFERROR(__xludf.DUMMYFUNCTION("""COMPUTED_VALUE"""),"보도자료 작성 기한은?")</f>
        <v>보도자료 작성 기한은?</v>
      </c>
      <c r="D10" s="187">
        <v>16.0</v>
      </c>
    </row>
    <row r="11">
      <c r="A11" s="188">
        <f>IFERROR(__xludf.DUMMYFUNCTION("""COMPUTED_VALUE"""),14.0)</f>
        <v>14</v>
      </c>
      <c r="B11" s="188" t="str">
        <f>IFERROR(__xludf.DUMMYFUNCTION("""COMPUTED_VALUE"""),"인사고충 신청을 하려고 하는데 방법은?")</f>
        <v>인사고충 신청을 하려고 하는데 방법은?</v>
      </c>
      <c r="D11" s="187">
        <v>17.0</v>
      </c>
    </row>
    <row r="12">
      <c r="A12" s="188">
        <f>IFERROR(__xludf.DUMMYFUNCTION("""COMPUTED_VALUE"""),15.0)</f>
        <v>15</v>
      </c>
      <c r="B12" s="188" t="str">
        <f>IFERROR(__xludf.DUMMYFUNCTION("""COMPUTED_VALUE"""),"인사랑이 열리지 않을때 조치방법은?")</f>
        <v>인사랑이 열리지 않을때 조치방법은?</v>
      </c>
      <c r="D12" s="187">
        <v>18.0</v>
      </c>
    </row>
    <row r="13">
      <c r="A13" s="188">
        <f>IFERROR(__xludf.DUMMYFUNCTION("""COMPUTED_VALUE"""),16.0)</f>
        <v>16</v>
      </c>
      <c r="B13" s="188" t="str">
        <f>IFERROR(__xludf.DUMMYFUNCTION("""COMPUTED_VALUE"""),"행정포털 접속 장애 시 조치 방법은?")</f>
        <v>행정포털 접속 장애 시 조치 방법은?</v>
      </c>
      <c r="D13" s="187">
        <v>19.0</v>
      </c>
    </row>
    <row r="14">
      <c r="A14" s="188">
        <f>IFERROR(__xludf.DUMMYFUNCTION("""COMPUTED_VALUE"""),17.0)</f>
        <v>17</v>
      </c>
      <c r="B14" s="188" t="str">
        <f>IFERROR(__xludf.DUMMYFUNCTION("""COMPUTED_VALUE"""),"회의장 예약 방법은?")</f>
        <v>회의장 예약 방법은?</v>
      </c>
      <c r="D14" s="187">
        <v>20.0</v>
      </c>
    </row>
    <row r="15">
      <c r="A15" s="188">
        <f>IFERROR(__xludf.DUMMYFUNCTION("""COMPUTED_VALUE"""),18.0)</f>
        <v>18</v>
      </c>
      <c r="B15" s="188" t="str">
        <f>IFERROR(__xludf.DUMMYFUNCTION("""COMPUTED_VALUE"""),"PC 개인정보 삭제 방법은? ")</f>
        <v>PC 개인정보 삭제 방법은? </v>
      </c>
      <c r="D15" s="187">
        <v>22.0</v>
      </c>
    </row>
    <row r="16">
      <c r="A16" s="188">
        <f>IFERROR(__xludf.DUMMYFUNCTION("""COMPUTED_VALUE"""),19.0)</f>
        <v>19</v>
      </c>
      <c r="B16" s="188" t="str">
        <f>IFERROR(__xludf.DUMMYFUNCTION("""COMPUTED_VALUE"""),"회의장 예약 방법은?")</f>
        <v>회의장 예약 방법은?</v>
      </c>
      <c r="D16" s="187">
        <v>32.0</v>
      </c>
    </row>
    <row r="17">
      <c r="A17" s="188">
        <f>IFERROR(__xludf.DUMMYFUNCTION("""COMPUTED_VALUE"""),20.0)</f>
        <v>20</v>
      </c>
      <c r="B17" s="188" t="str">
        <f>IFERROR(__xludf.DUMMYFUNCTION("""COMPUTED_VALUE"""),"시 공무원 장례비 지원 및 사망조위금 신청방법은?")</f>
        <v>시 공무원 장례비 지원 및 사망조위금 신청방법은?</v>
      </c>
      <c r="D17" s="187">
        <v>33.0</v>
      </c>
    </row>
    <row r="18">
      <c r="A18" s="188">
        <f>IFERROR(__xludf.DUMMYFUNCTION("""COMPUTED_VALUE"""),22.0)</f>
        <v>22</v>
      </c>
      <c r="B18" s="188" t="str">
        <f>IFERROR(__xludf.DUMMYFUNCTION("""COMPUTED_VALUE"""),"회의실 예약은 어떻게 하나요?")</f>
        <v>회의실 예약은 어떻게 하나요?</v>
      </c>
      <c r="D18" s="187">
        <v>34.0</v>
      </c>
    </row>
    <row r="19">
      <c r="A19" s="188">
        <f>IFERROR(__xludf.DUMMYFUNCTION("""COMPUTED_VALUE"""),24.0)</f>
        <v>24</v>
      </c>
      <c r="B19" s="188" t="str">
        <f>IFERROR(__xludf.DUMMYFUNCTION("""COMPUTED_VALUE"""),"임기제공무원은 어떻게 임용되나요?")</f>
        <v>임기제공무원은 어떻게 임용되나요?</v>
      </c>
      <c r="D19" s="187">
        <v>35.0</v>
      </c>
    </row>
    <row r="20">
      <c r="A20" s="188">
        <f>IFERROR(__xludf.DUMMYFUNCTION("""COMPUTED_VALUE"""),32.0)</f>
        <v>32</v>
      </c>
      <c r="B20" s="188" t="str">
        <f>IFERROR(__xludf.DUMMYFUNCTION("""COMPUTED_VALUE"""),"데이터산업 혁신생태계 조성 전략의 내용은?")</f>
        <v>데이터산업 혁신생태계 조성 전략의 내용은?</v>
      </c>
      <c r="D20" s="187">
        <v>36.0</v>
      </c>
    </row>
    <row r="21">
      <c r="A21" s="188">
        <f>IFERROR(__xludf.DUMMYFUNCTION("""COMPUTED_VALUE"""),33.0)</f>
        <v>33</v>
      </c>
      <c r="B21" s="188" t="str">
        <f>IFERROR(__xludf.DUMMYFUNCTION("""COMPUTED_VALUE"""),"데이터 활용 지원센터(빅데이터혁신센터)의 혁신성장 데이터 챌린지 프로그램은 어떤 것들이 있나요?")</f>
        <v>데이터 활용 지원센터(빅데이터혁신센터)의 혁신성장 데이터 챌린지 프로그램은 어떤 것들이 있나요?</v>
      </c>
      <c r="D21" s="187">
        <v>37.0</v>
      </c>
    </row>
    <row r="22">
      <c r="A22" s="188">
        <f>IFERROR(__xludf.DUMMYFUNCTION("""COMPUTED_VALUE"""),34.0)</f>
        <v>34</v>
      </c>
      <c r="B22" s="188" t="str">
        <f>IFERROR(__xludf.DUMMYFUNCTION("""COMPUTED_VALUE"""),"부산광역시 데이터 활용 및 데이터산업 육성에 관한 조례에 따른 기본계획의 수립 내용은?")</f>
        <v>부산광역시 데이터 활용 및 데이터산업 육성에 관한 조례에 따른 기본계획의 수립 내용은?</v>
      </c>
      <c r="D22" s="187">
        <v>38.0</v>
      </c>
    </row>
    <row r="23">
      <c r="A23" s="188">
        <f>IFERROR(__xludf.DUMMYFUNCTION("""COMPUTED_VALUE"""),35.0)</f>
        <v>35</v>
      </c>
      <c r="B23" s="188" t="str">
        <f>IFERROR(__xludf.DUMMYFUNCTION("""COMPUTED_VALUE"""),"공공데이터 포털에 공공데이터를 등록하는 절차가 무엇인가요?")</f>
        <v>공공데이터 포털에 공공데이터를 등록하는 절차가 무엇인가요?</v>
      </c>
      <c r="D23" s="187">
        <v>39.0</v>
      </c>
    </row>
    <row r="24">
      <c r="A24" s="188">
        <f>IFERROR(__xludf.DUMMYFUNCTION("""COMPUTED_VALUE"""),36.0)</f>
        <v>36</v>
      </c>
      <c r="B24" s="188" t="str">
        <f>IFERROR(__xludf.DUMMYFUNCTION("""COMPUTED_VALUE"""),"공공데이터 목록과 제공 대상 공공데이터의 차이는 무엇인가요?")</f>
        <v>공공데이터 목록과 제공 대상 공공데이터의 차이는 무엇인가요?</v>
      </c>
      <c r="D24" s="187">
        <v>40.0</v>
      </c>
    </row>
    <row r="25">
      <c r="A25" s="188">
        <f>IFERROR(__xludf.DUMMYFUNCTION("""COMPUTED_VALUE"""),37.0)</f>
        <v>37</v>
      </c>
      <c r="B25" s="188" t="str">
        <f>IFERROR(__xludf.DUMMYFUNCTION("""COMPUTED_VALUE"""),"공공데이터 제공 표준이 무엇인가요?")</f>
        <v>공공데이터 제공 표준이 무엇인가요?</v>
      </c>
      <c r="D25" s="187">
        <v>41.0</v>
      </c>
    </row>
    <row r="26">
      <c r="A26" s="188">
        <f>IFERROR(__xludf.DUMMYFUNCTION("""COMPUTED_VALUE"""),38.0)</f>
        <v>38</v>
      </c>
      <c r="B26" s="188" t="str">
        <f>IFERROR(__xludf.DUMMYFUNCTION("""COMPUTED_VALUE"""),"가명정보 처리가 가능한 목적은 무엇인가요?")</f>
        <v>가명정보 처리가 가능한 목적은 무엇인가요?</v>
      </c>
      <c r="D26" s="187">
        <v>42.0</v>
      </c>
    </row>
    <row r="27">
      <c r="A27" s="188">
        <f>IFERROR(__xludf.DUMMYFUNCTION("""COMPUTED_VALUE"""),39.0)</f>
        <v>39</v>
      </c>
      <c r="B27" s="188" t="str">
        <f>IFERROR(__xludf.DUMMYFUNCTION("""COMPUTED_VALUE"""),"가명정보 처리 시 개인정보 주체의 동의가 반드시 필요한가요?")</f>
        <v>가명정보 처리 시 개인정보 주체의 동의가 반드시 필요한가요?</v>
      </c>
      <c r="D27" s="187">
        <v>43.0</v>
      </c>
    </row>
    <row r="28">
      <c r="A28" s="188">
        <f>IFERROR(__xludf.DUMMYFUNCTION("""COMPUTED_VALUE"""),40.0)</f>
        <v>40</v>
      </c>
      <c r="B28" s="188" t="str">
        <f>IFERROR(__xludf.DUMMYFUNCTION("""COMPUTED_VALUE"""),"가명정보를 제3자에게 제공할 때 특별한 조치가 필요한가요?")</f>
        <v>가명정보를 제3자에게 제공할 때 특별한 조치가 필요한가요?</v>
      </c>
      <c r="D28" s="187">
        <v>45.0</v>
      </c>
    </row>
    <row r="29">
      <c r="A29" s="188">
        <f>IFERROR(__xludf.DUMMYFUNCTION("""COMPUTED_VALUE"""),41.0)</f>
        <v>41</v>
      </c>
      <c r="B29" s="188" t="str">
        <f>IFERROR(__xludf.DUMMYFUNCTION("""COMPUTED_VALUE"""),"비정형 데이터의 가명처리 시 유의할 사항은 무엇인가요?")</f>
        <v>비정형 데이터의 가명처리 시 유의할 사항은 무엇인가요?</v>
      </c>
      <c r="D29" s="187">
        <v>49.0</v>
      </c>
    </row>
    <row r="30">
      <c r="A30" s="188">
        <f>IFERROR(__xludf.DUMMYFUNCTION("""COMPUTED_VALUE"""),42.0)</f>
        <v>42</v>
      </c>
      <c r="B30" s="188" t="str">
        <f>IFERROR(__xludf.DUMMYFUNCTION("""COMPUTED_VALUE"""),"부산광역시에서 생산하는 통계는 어떤 것들이 있나요?")</f>
        <v>부산광역시에서 생산하는 통계는 어떤 것들이 있나요?</v>
      </c>
      <c r="D30" s="187">
        <v>50.0</v>
      </c>
    </row>
    <row r="31">
      <c r="A31" s="188">
        <f>IFERROR(__xludf.DUMMYFUNCTION("""COMPUTED_VALUE"""),43.0)</f>
        <v>43</v>
      </c>
      <c r="B31" s="188" t="str">
        <f>IFERROR(__xludf.DUMMYFUNCTION("""COMPUTED_VALUE"""),"내부 지침 및 조례를 빠르게 찾고 싶은데 어떻게 하나요?")</f>
        <v>내부 지침 및 조례를 빠르게 찾고 싶은데 어떻게 하나요?</v>
      </c>
      <c r="D31" s="187">
        <v>51.0</v>
      </c>
    </row>
    <row r="32">
      <c r="A32" s="188">
        <f>IFERROR(__xludf.DUMMYFUNCTION("""COMPUTED_VALUE"""),45.0)</f>
        <v>45</v>
      </c>
      <c r="B32" s="188" t="str">
        <f>IFERROR(__xludf.DUMMYFUNCTION("""COMPUTED_VALUE"""),"문서 보존기간은 얼마인가요?")</f>
        <v>문서 보존기간은 얼마인가요?</v>
      </c>
      <c r="D32" s="187">
        <v>53.0</v>
      </c>
    </row>
    <row r="33">
      <c r="A33" s="188">
        <f>IFERROR(__xludf.DUMMYFUNCTION("""COMPUTED_VALUE"""),46.0)</f>
        <v>46</v>
      </c>
      <c r="B33" s="188" t="str">
        <f>IFERROR(__xludf.DUMMYFUNCTION("""COMPUTED_VALUE"""),"직원대상 후생복지 내용을 보는 방법이 있나요?")</f>
        <v>직원대상 후생복지 내용을 보는 방법이 있나요?</v>
      </c>
      <c r="D33" s="187">
        <v>54.0</v>
      </c>
    </row>
    <row r="34">
      <c r="A34" s="188">
        <f>IFERROR(__xludf.DUMMYFUNCTION("""COMPUTED_VALUE"""),49.0)</f>
        <v>49</v>
      </c>
      <c r="B34" s="188" t="str">
        <f>IFERROR(__xludf.DUMMYFUNCTION("""COMPUTED_VALUE"""),"금액별 수의, 조달, 계약 절차 매뉴얼을 찾고 싶어요")</f>
        <v>금액별 수의, 조달, 계약 절차 매뉴얼을 찾고 싶어요</v>
      </c>
      <c r="D34" s="187">
        <v>55.0</v>
      </c>
    </row>
    <row r="35">
      <c r="A35" s="188">
        <f>IFERROR(__xludf.DUMMYFUNCTION("""COMPUTED_VALUE"""),50.0)</f>
        <v>50</v>
      </c>
      <c r="B35" s="188" t="str">
        <f>IFERROR(__xludf.DUMMYFUNCTION("""COMPUTED_VALUE"""),"DRM, 네트워크접근제어 아이디, 패스워드 찾는 매뉴얼이 있나요?")</f>
        <v>DRM, 네트워크접근제어 아이디, 패스워드 찾는 매뉴얼이 있나요?</v>
      </c>
      <c r="D35" s="187">
        <v>56.0</v>
      </c>
    </row>
    <row r="36">
      <c r="A36" s="188">
        <f>IFERROR(__xludf.DUMMYFUNCTION("""COMPUTED_VALUE"""),51.0)</f>
        <v>51</v>
      </c>
      <c r="B36" s="188" t="str">
        <f>IFERROR(__xludf.DUMMYFUNCTION("""COMPUTED_VALUE"""),"온나라 2.0 이후 많이 발생하는 오류 사례집이 있나요?")</f>
        <v>온나라 2.0 이후 많이 발생하는 오류 사례집이 있나요?</v>
      </c>
      <c r="D36" s="187">
        <v>60.0</v>
      </c>
    </row>
    <row r="37">
      <c r="A37" s="188">
        <f>IFERROR(__xludf.DUMMYFUNCTION("""COMPUTED_VALUE"""),53.0)</f>
        <v>53</v>
      </c>
      <c r="B37" s="188" t="str">
        <f>IFERROR(__xludf.DUMMYFUNCTION("""COMPUTED_VALUE"""),"공용차량 신청방법")</f>
        <v>공용차량 신청방법</v>
      </c>
      <c r="D37" s="187">
        <v>62.0</v>
      </c>
    </row>
    <row r="38">
      <c r="A38" s="188">
        <f>IFERROR(__xludf.DUMMYFUNCTION("""COMPUTED_VALUE"""),54.0)</f>
        <v>54</v>
      </c>
      <c r="B38" s="188" t="str">
        <f>IFERROR(__xludf.DUMMYFUNCTION("""COMPUTED_VALUE"""),"공무원증 재발급 방법")</f>
        <v>공무원증 재발급 방법</v>
      </c>
      <c r="D38" s="187">
        <v>65.0</v>
      </c>
    </row>
    <row r="39">
      <c r="A39" s="188">
        <f>IFERROR(__xludf.DUMMYFUNCTION("""COMPUTED_VALUE"""),55.0)</f>
        <v>55</v>
      </c>
      <c r="B39" s="188" t="str">
        <f>IFERROR(__xludf.DUMMYFUNCTION("""COMPUTED_VALUE"""),"네트워크 차단 시 조치방법")</f>
        <v>네트워크 차단 시 조치방법</v>
      </c>
      <c r="D39" s="187">
        <v>71.0</v>
      </c>
    </row>
    <row r="40">
      <c r="A40" s="188">
        <f>IFERROR(__xludf.DUMMYFUNCTION("""COMPUTED_VALUE"""),56.0)</f>
        <v>56</v>
      </c>
      <c r="B40" s="188" t="str">
        <f>IFERROR(__xludf.DUMMYFUNCTION("""COMPUTED_VALUE"""),"도모헌공간 신청방법")</f>
        <v>도모헌공간 신청방법</v>
      </c>
      <c r="D40" s="187">
        <v>72.0</v>
      </c>
    </row>
    <row r="41">
      <c r="A41" s="188">
        <f>IFERROR(__xludf.DUMMYFUNCTION("""COMPUTED_VALUE"""),57.0)</f>
        <v>57</v>
      </c>
      <c r="B41" s="188" t="str">
        <f>IFERROR(__xludf.DUMMYFUNCTION("""COMPUTED_VALUE"""),"부산시 공무원 복지지원 프로그램 총괄 ")</f>
        <v>부산시 공무원 복지지원 프로그램 총괄 </v>
      </c>
      <c r="D41" s="187">
        <v>75.0</v>
      </c>
    </row>
    <row r="42">
      <c r="A42" s="188">
        <f>IFERROR(__xludf.DUMMYFUNCTION("""COMPUTED_VALUE"""),60.0)</f>
        <v>60</v>
      </c>
      <c r="B42" s="188" t="str">
        <f>IFERROR(__xludf.DUMMYFUNCTION("""COMPUTED_VALUE"""),"보안 USB 반출 및 반입 절차는?")</f>
        <v>보안 USB 반출 및 반입 절차는?</v>
      </c>
      <c r="D42" s="187">
        <v>76.0</v>
      </c>
    </row>
    <row r="43">
      <c r="A43" s="188">
        <f>IFERROR(__xludf.DUMMYFUNCTION("""COMPUTED_VALUE"""),62.0)</f>
        <v>62</v>
      </c>
      <c r="B43" s="188" t="str">
        <f>IFERROR(__xludf.DUMMYFUNCTION("""COMPUTED_VALUE"""),"구청에서 근무 중인 시직원도 장기재직 휴가 쓸 수 있나요?")</f>
        <v>구청에서 근무 중인 시직원도 장기재직 휴가 쓸 수 있나요?</v>
      </c>
      <c r="D43" s="187">
        <v>77.0</v>
      </c>
    </row>
    <row r="44">
      <c r="A44" s="188">
        <f>IFERROR(__xludf.DUMMYFUNCTION("""COMPUTED_VALUE"""),64.0)</f>
        <v>64</v>
      </c>
      <c r="B44" s="188" t="str">
        <f>IFERROR(__xludf.DUMMYFUNCTION("""COMPUTED_VALUE"""),"4시간 미만 관외출장의 경우 일비 및 식비 정액 지급하는지?")</f>
        <v>4시간 미만 관외출장의 경우 일비 및 식비 정액 지급하는지?</v>
      </c>
      <c r="D44" s="187">
        <v>78.0</v>
      </c>
    </row>
    <row r="45">
      <c r="A45" s="188">
        <f>IFERROR(__xludf.DUMMYFUNCTION("""COMPUTED_VALUE"""),65.0)</f>
        <v>65</v>
      </c>
      <c r="B45" s="188" t="str">
        <f>IFERROR(__xludf.DUMMYFUNCTION("""COMPUTED_VALUE"""),"출장 시간 계산 시 18시 근무시간 이후 시간도 포함해야 하는지?")</f>
        <v>출장 시간 계산 시 18시 근무시간 이후 시간도 포함해야 하는지?</v>
      </c>
      <c r="D45" s="187">
        <v>79.0</v>
      </c>
    </row>
    <row r="46">
      <c r="A46" s="188">
        <f>IFERROR(__xludf.DUMMYFUNCTION("""COMPUTED_VALUE"""),71.0)</f>
        <v>71</v>
      </c>
      <c r="B46" s="188" t="str">
        <f>IFERROR(__xludf.DUMMYFUNCTION("""COMPUTED_VALUE"""),"구군에서 전입오고 처음으로 정보공개청구포털에 로그인하려니 안되는데, 어떻게 해야 하나요?")</f>
        <v>구군에서 전입오고 처음으로 정보공개청구포털에 로그인하려니 안되는데, 어떻게 해야 하나요?</v>
      </c>
      <c r="D46" s="187">
        <v>80.0</v>
      </c>
    </row>
    <row r="47">
      <c r="A47" s="188">
        <f>IFERROR(__xludf.DUMMYFUNCTION("""COMPUTED_VALUE"""),72.0)</f>
        <v>72</v>
      </c>
      <c r="B47" s="188" t="str">
        <f>IFERROR(__xludf.DUMMYFUNCTION("""COMPUTED_VALUE"""),"인건비 편성할 때 정원, 현원 중 어떤 기준으로 산출해야 하는지 알려주세요")</f>
        <v>인건비 편성할 때 정원, 현원 중 어떤 기준으로 산출해야 하는지 알려주세요</v>
      </c>
      <c r="D47" s="187">
        <v>85.0</v>
      </c>
    </row>
    <row r="48">
      <c r="A48" s="188">
        <f>IFERROR(__xludf.DUMMYFUNCTION("""COMPUTED_VALUE"""),75.0)</f>
        <v>75</v>
      </c>
      <c r="B48" s="188" t="str">
        <f>IFERROR(__xludf.DUMMYFUNCTION("""COMPUTED_VALUE"""),"(공사,용역,물품) 계약 시 필요한 서류가 뭐가 있는지 알려주세요")</f>
        <v>(공사,용역,물품) 계약 시 필요한 서류가 뭐가 있는지 알려주세요</v>
      </c>
      <c r="D48" s="187">
        <v>90.0</v>
      </c>
    </row>
    <row r="49">
      <c r="A49" s="188">
        <f>IFERROR(__xludf.DUMMYFUNCTION("""COMPUTED_VALUE"""),76.0)</f>
        <v>76</v>
      </c>
      <c r="B49" s="188" t="str">
        <f>IFERROR(__xludf.DUMMYFUNCTION("""COMPUTED_VALUE"""),"온나라 접수 문서를 부서원들도 열람할 수 없도록 하는 방법을 알려주세요")</f>
        <v>온나라 접수 문서를 부서원들도 열람할 수 없도록 하는 방법을 알려주세요</v>
      </c>
      <c r="D49" s="187">
        <v>95.0</v>
      </c>
    </row>
    <row r="50">
      <c r="A50" s="188">
        <f>IFERROR(__xludf.DUMMYFUNCTION("""COMPUTED_VALUE"""),77.0)</f>
        <v>77</v>
      </c>
      <c r="B50" s="188" t="str">
        <f>IFERROR(__xludf.DUMMYFUNCTION("""COMPUTED_VALUE"""),"(공사,용역,물품) 계약 선금 신청 및 지급 절차를 알려주세요")</f>
        <v>(공사,용역,물품) 계약 선금 신청 및 지급 절차를 알려주세요</v>
      </c>
      <c r="D50" s="187">
        <v>97.0</v>
      </c>
    </row>
    <row r="51">
      <c r="A51" s="188">
        <f>IFERROR(__xludf.DUMMYFUNCTION("""COMPUTED_VALUE"""),78.0)</f>
        <v>78</v>
      </c>
      <c r="B51" s="188" t="str">
        <f>IFERROR(__xludf.DUMMYFUNCTION("""COMPUTED_VALUE"""),"(공사,용역,물품) 계약 시 지역제한임찰 대상 금액을 알려주세요")</f>
        <v>(공사,용역,물품) 계약 시 지역제한임찰 대상 금액을 알려주세요</v>
      </c>
      <c r="D51" s="187">
        <v>99.0</v>
      </c>
    </row>
    <row r="52">
      <c r="A52" s="188">
        <f>IFERROR(__xludf.DUMMYFUNCTION("""COMPUTED_VALUE"""),79.0)</f>
        <v>79</v>
      </c>
      <c r="B52" s="188" t="str">
        <f>IFERROR(__xludf.DUMMYFUNCTION("""COMPUTED_VALUE"""),"온나라 지식행정에 접속하면 흰창만 나오는데, 어떻게 해결해야하나요?")</f>
        <v>온나라 지식행정에 접속하면 흰창만 나오는데, 어떻게 해결해야하나요?</v>
      </c>
      <c r="D52" s="187">
        <v>100.0</v>
      </c>
    </row>
    <row r="53">
      <c r="A53" s="188">
        <f>IFERROR(__xludf.DUMMYFUNCTION("""COMPUTED_VALUE"""),80.0)</f>
        <v>80</v>
      </c>
      <c r="B53" s="188" t="str">
        <f>IFERROR(__xludf.DUMMYFUNCTION("""COMPUTED_VALUE"""),"장기재직휴가 신청 절차는?")</f>
        <v>장기재직휴가 신청 절차는?</v>
      </c>
      <c r="D53" s="187">
        <v>101.0</v>
      </c>
    </row>
    <row r="54">
      <c r="A54" s="188">
        <f>IFERROR(__xludf.DUMMYFUNCTION("""COMPUTED_VALUE"""),81.0)</f>
        <v>81</v>
      </c>
      <c r="B54" s="188" t="str">
        <f>IFERROR(__xludf.DUMMYFUNCTION("""COMPUTED_VALUE"""),"직원 단체보장보험 보장내용 및 실비 등 청구 방법은?")</f>
        <v>직원 단체보장보험 보장내용 및 실비 등 청구 방법은?</v>
      </c>
      <c r="D54" s="187">
        <v>103.0</v>
      </c>
    </row>
    <row r="55">
      <c r="A55" s="188">
        <f>IFERROR(__xludf.DUMMYFUNCTION("""COMPUTED_VALUE"""),82.0)</f>
        <v>82</v>
      </c>
      <c r="B55" s="188" t="str">
        <f>IFERROR(__xludf.DUMMYFUNCTION("""COMPUTED_VALUE"""),"PC 네트워크 비밀번호 분실 시 해결방법은?")</f>
        <v>PC 네트워크 비밀번호 분실 시 해결방법은?</v>
      </c>
      <c r="D55" s="187">
        <v>105.0</v>
      </c>
    </row>
    <row r="56">
      <c r="A56" s="188">
        <f>IFERROR(__xludf.DUMMYFUNCTION("""COMPUTED_VALUE"""),85.0)</f>
        <v>85</v>
      </c>
      <c r="B56" s="188" t="str">
        <f>IFERROR(__xludf.DUMMYFUNCTION("""COMPUTED_VALUE"""),"예산편성 관련 사전절차는 어떤게 있으며 이행여부 조회할 수 있는 방법은?")</f>
        <v>예산편성 관련 사전절차는 어떤게 있으며 이행여부 조회할 수 있는 방법은?</v>
      </c>
      <c r="D56" s="187">
        <v>106.0</v>
      </c>
    </row>
    <row r="57">
      <c r="A57" s="188">
        <f>IFERROR(__xludf.DUMMYFUNCTION("""COMPUTED_VALUE"""),90.0)</f>
        <v>90</v>
      </c>
      <c r="B57" s="188" t="str">
        <f>IFERROR(__xludf.DUMMYFUNCTION("""COMPUTED_VALUE"""),"사업예산 편성 시 총사업비와 국비사업비의 금액에 따라 거쳐야 될 사전절차에는 어떤 것이 있나요?")</f>
        <v>사업예산 편성 시 총사업비와 국비사업비의 금액에 따라 거쳐야 될 사전절차에는 어떤 것이 있나요?</v>
      </c>
      <c r="D57" s="187">
        <v>108.0</v>
      </c>
    </row>
    <row r="58">
      <c r="A58" s="188">
        <f>IFERROR(__xludf.DUMMYFUNCTION("""COMPUTED_VALUE"""),95.0)</f>
        <v>95</v>
      </c>
      <c r="B58" s="188" t="str">
        <f>IFERROR(__xludf.DUMMYFUNCTION("""COMPUTED_VALUE"""),"부산시 업무협약 체결할때, 의회 사전동의 유무, 협약서 검토 등 구체적인 절차를 알려줘~")</f>
        <v>부산시 업무협약 체결할때, 의회 사전동의 유무, 협약서 검토 등 구체적인 절차를 알려줘~</v>
      </c>
      <c r="D58" s="187">
        <v>114.0</v>
      </c>
    </row>
    <row r="59">
      <c r="A59" s="188">
        <f>IFERROR(__xludf.DUMMYFUNCTION("""COMPUTED_VALUE"""),97.0)</f>
        <v>97</v>
      </c>
      <c r="B59" s="188" t="str">
        <f>IFERROR(__xludf.DUMMYFUNCTION("""COMPUTED_VALUE"""),"시차출퇴근제 신청 한 날 반가를 쓰면 퇴근을 지정해야하는지? 유연근무제 복무 유의사항은 무엇이 있을까?")</f>
        <v>시차출퇴근제 신청 한 날 반가를 쓰면 퇴근을 지정해야하는지? 유연근무제 복무 유의사항은 무엇이 있을까?</v>
      </c>
      <c r="D59" s="187">
        <v>117.0</v>
      </c>
    </row>
    <row r="60">
      <c r="A60" s="188">
        <f>IFERROR(__xludf.DUMMYFUNCTION("""COMPUTED_VALUE"""),99.0)</f>
        <v>99</v>
      </c>
      <c r="B60" s="188" t="str">
        <f>IFERROR(__xludf.DUMMYFUNCTION("""COMPUTED_VALUE"""),"탄력근무제 관련해서 자세한 매뉴얼이 있나요")</f>
        <v>탄력근무제 관련해서 자세한 매뉴얼이 있나요</v>
      </c>
      <c r="D60" s="187">
        <v>120.0</v>
      </c>
    </row>
    <row r="61">
      <c r="A61" s="188">
        <f>IFERROR(__xludf.DUMMYFUNCTION("""COMPUTED_VALUE"""),100.0)</f>
        <v>100</v>
      </c>
      <c r="B61" s="188" t="str">
        <f>IFERROR(__xludf.DUMMYFUNCTION("""COMPUTED_VALUE"""),"DRM, 네트워크 인증 등 신규직원이 컴퓨터 사용에 알아야할 것들에 대해 정리해주세요.")</f>
        <v>DRM, 네트워크 인증 등 신규직원이 컴퓨터 사용에 알아야할 것들에 대해 정리해주세요.</v>
      </c>
      <c r="D61" s="187">
        <v>121.0</v>
      </c>
    </row>
    <row r="62">
      <c r="A62" s="188">
        <f>IFERROR(__xludf.DUMMYFUNCTION("""COMPUTED_VALUE"""),101.0)</f>
        <v>101</v>
      </c>
      <c r="B62" s="188" t="str">
        <f>IFERROR(__xludf.DUMMYFUNCTION("""COMPUTED_VALUE"""),"부서에서 회계과로 계약요청을 하기 위한 절차는 어떻게 되나요")</f>
        <v>부서에서 회계과로 계약요청을 하기 위한 절차는 어떻게 되나요</v>
      </c>
      <c r="D62" s="187">
        <v>123.0</v>
      </c>
    </row>
    <row r="63">
      <c r="A63" s="188">
        <f>IFERROR(__xludf.DUMMYFUNCTION("""COMPUTED_VALUE"""),102.0)</f>
        <v>102</v>
      </c>
      <c r="B63" s="188" t="str">
        <f>IFERROR(__xludf.DUMMYFUNCTION("""COMPUTED_VALUE"""),"인사상담은 쪽지로 담당자한테 연락하는 방법 외에는 없나요")</f>
        <v>인사상담은 쪽지로 담당자한테 연락하는 방법 외에는 없나요</v>
      </c>
      <c r="D63" s="187">
        <v>124.0</v>
      </c>
    </row>
    <row r="64">
      <c r="A64" s="188">
        <f>IFERROR(__xludf.DUMMYFUNCTION("""COMPUTED_VALUE"""),103.0)</f>
        <v>103</v>
      </c>
      <c r="B64" s="188" t="str">
        <f>IFERROR(__xludf.DUMMYFUNCTION("""COMPUTED_VALUE"""),"전화기 통화 녹음 하는 방법 및 매뉴얼 알려주세요")</f>
        <v>전화기 통화 녹음 하는 방법 및 매뉴얼 알려주세요</v>
      </c>
      <c r="D64" s="187">
        <v>125.0</v>
      </c>
    </row>
    <row r="65">
      <c r="A65" s="188">
        <f>IFERROR(__xludf.DUMMYFUNCTION("""COMPUTED_VALUE"""),105.0)</f>
        <v>105</v>
      </c>
      <c r="B65" s="188" t="str">
        <f>IFERROR(__xludf.DUMMYFUNCTION("""COMPUTED_VALUE"""),"악성민원 응대 및 대응관련 매뉴얼 알려주세요.")</f>
        <v>악성민원 응대 및 대응관련 매뉴얼 알려주세요.</v>
      </c>
      <c r="D65" s="187">
        <v>127.0</v>
      </c>
    </row>
    <row r="66">
      <c r="A66" s="188">
        <f>IFERROR(__xludf.DUMMYFUNCTION("""COMPUTED_VALUE"""),106.0)</f>
        <v>106</v>
      </c>
      <c r="B66" s="188" t="str">
        <f>IFERROR(__xludf.DUMMYFUNCTION("""COMPUTED_VALUE"""),"근무시간 중 개인사정으로 연가(외출)사용 후 돌아와서 시간외근무를 하면 시간외근무가 인정이 되는지 여부가 궁금해요.")</f>
        <v>근무시간 중 개인사정으로 연가(외출)사용 후 돌아와서 시간외근무를 하면 시간외근무가 인정이 되는지 여부가 궁금해요.</v>
      </c>
      <c r="D66" s="187">
        <v>128.0</v>
      </c>
    </row>
    <row r="67">
      <c r="A67" s="188">
        <f>IFERROR(__xludf.DUMMYFUNCTION("""COMPUTED_VALUE"""),108.0)</f>
        <v>108</v>
      </c>
      <c r="B67" s="188" t="str">
        <f>IFERROR(__xludf.DUMMYFUNCTION("""COMPUTED_VALUE"""),"인사랑 접속이 안될 때 해결방안은?")</f>
        <v>인사랑 접속이 안될 때 해결방안은?</v>
      </c>
      <c r="D67" s="187">
        <v>129.0</v>
      </c>
    </row>
    <row r="68">
      <c r="A68" s="188">
        <f>IFERROR(__xludf.DUMMYFUNCTION("""COMPUTED_VALUE"""),109.0)</f>
        <v>109</v>
      </c>
      <c r="B68" s="188" t="str">
        <f>IFERROR(__xludf.DUMMYFUNCTION("""COMPUTED_VALUE"""),"긴급출퇴근 링크는?")</f>
        <v>긴급출퇴근 링크는?</v>
      </c>
      <c r="D68" s="187">
        <v>135.0</v>
      </c>
    </row>
    <row r="69">
      <c r="A69" s="188">
        <f>IFERROR(__xludf.DUMMYFUNCTION("""COMPUTED_VALUE"""),114.0)</f>
        <v>114</v>
      </c>
      <c r="B69" s="188" t="str">
        <f>IFERROR(__xludf.DUMMYFUNCTION("""COMPUTED_VALUE"""),"용역 계약 절차가 어떻게 되나요")</f>
        <v>용역 계약 절차가 어떻게 되나요</v>
      </c>
      <c r="D69" s="187">
        <v>138.0</v>
      </c>
    </row>
    <row r="70">
      <c r="A70" s="188">
        <f>IFERROR(__xludf.DUMMYFUNCTION("""COMPUTED_VALUE"""),117.0)</f>
        <v>117</v>
      </c>
      <c r="B70" s="188" t="str">
        <f>IFERROR(__xludf.DUMMYFUNCTION("""COMPUTED_VALUE"""),"시 청사 내 편의시설 정보 상세히 안내해주세요")</f>
        <v>시 청사 내 편의시설 정보 상세히 안내해주세요</v>
      </c>
      <c r="E70" s="187">
        <v>143.0</v>
      </c>
      <c r="F70" s="187" t="s">
        <v>2541</v>
      </c>
    </row>
    <row r="71">
      <c r="A71" s="188">
        <f>IFERROR(__xludf.DUMMYFUNCTION("""COMPUTED_VALUE"""),118.0)</f>
        <v>118</v>
      </c>
      <c r="B71" s="188" t="str">
        <f>IFERROR(__xludf.DUMMYFUNCTION("""COMPUTED_VALUE"""),"근무성적평정의 평정 순서는 어떻게 되나요?")</f>
        <v>근무성적평정의 평정 순서는 어떻게 되나요?</v>
      </c>
      <c r="D71" s="187">
        <v>144.0</v>
      </c>
    </row>
    <row r="72">
      <c r="A72" s="188">
        <f>IFERROR(__xludf.DUMMYFUNCTION("""COMPUTED_VALUE"""),120.0)</f>
        <v>120</v>
      </c>
      <c r="B72" s="188" t="str">
        <f>IFERROR(__xludf.DUMMYFUNCTION("""COMPUTED_VALUE"""),"시 본청 당직시 주의사항에 대해서 알려줘")</f>
        <v>시 본청 당직시 주의사항에 대해서 알려줘</v>
      </c>
      <c r="D72" s="187">
        <v>145.0</v>
      </c>
    </row>
    <row r="73">
      <c r="A73" s="188">
        <f>IFERROR(__xludf.DUMMYFUNCTION("""COMPUTED_VALUE"""),121.0)</f>
        <v>121</v>
      </c>
      <c r="B73" s="188" t="str">
        <f>IFERROR(__xludf.DUMMYFUNCTION("""COMPUTED_VALUE"""),"시 본청 주차장 승용차 요일제에 대해서 알려줘")</f>
        <v>시 본청 주차장 승용차 요일제에 대해서 알려줘</v>
      </c>
      <c r="D73" s="187">
        <v>147.0</v>
      </c>
    </row>
    <row r="74">
      <c r="A74" s="188">
        <f>IFERROR(__xludf.DUMMYFUNCTION("""COMPUTED_VALUE"""),123.0)</f>
        <v>123</v>
      </c>
      <c r="B74" s="188" t="str">
        <f>IFERROR(__xludf.DUMMYFUNCTION("""COMPUTED_VALUE"""),"사무관리비로 선풍기를 구입할 수 있나요?")</f>
        <v>사무관리비로 선풍기를 구입할 수 있나요?</v>
      </c>
      <c r="D74" s="187">
        <v>148.0</v>
      </c>
    </row>
    <row r="75">
      <c r="A75" s="188">
        <f>IFERROR(__xludf.DUMMYFUNCTION("""COMPUTED_VALUE"""),124.0)</f>
        <v>124</v>
      </c>
      <c r="B75" s="188" t="str">
        <f>IFERROR(__xludf.DUMMYFUNCTION("""COMPUTED_VALUE"""),"보도자료가 배포되는 과정에 대해서 알고싶어요")</f>
        <v>보도자료가 배포되는 과정에 대해서 알고싶어요</v>
      </c>
      <c r="D75" s="187">
        <v>150.0</v>
      </c>
    </row>
    <row r="76">
      <c r="A76" s="188">
        <f>IFERROR(__xludf.DUMMYFUNCTION("""COMPUTED_VALUE"""),125.0)</f>
        <v>125</v>
      </c>
      <c r="B76" s="188" t="str">
        <f>IFERROR(__xludf.DUMMYFUNCTION("""COMPUTED_VALUE"""),"현재 비어있는 시청 내 회의실은 어디가 있나요?")</f>
        <v>현재 비어있는 시청 내 회의실은 어디가 있나요?</v>
      </c>
      <c r="D76" s="187">
        <v>151.0</v>
      </c>
    </row>
    <row r="77">
      <c r="A77" s="188">
        <f>IFERROR(__xludf.DUMMYFUNCTION("""COMPUTED_VALUE"""),127.0)</f>
        <v>127</v>
      </c>
      <c r="B77" s="188" t="str">
        <f>IFERROR(__xludf.DUMMYFUNCTION("""COMPUTED_VALUE"""),"2024년과 2025년에 변경되는 주요 복지정책은 무엇이 있나요")</f>
        <v>2024년과 2025년에 변경되는 주요 복지정책은 무엇이 있나요</v>
      </c>
      <c r="D77" s="187">
        <v>152.0</v>
      </c>
    </row>
    <row r="78">
      <c r="A78" s="188">
        <f>IFERROR(__xludf.DUMMYFUNCTION("""COMPUTED_VALUE"""),128.0)</f>
        <v>128</v>
      </c>
      <c r="B78" s="188" t="str">
        <f>IFERROR(__xludf.DUMMYFUNCTION("""COMPUTED_VALUE"""),"장기재직휴가 기준 및 사용방법")</f>
        <v>장기재직휴가 기준 및 사용방법</v>
      </c>
      <c r="D78" s="187">
        <v>154.0</v>
      </c>
    </row>
    <row r="79">
      <c r="A79" s="188">
        <f>IFERROR(__xludf.DUMMYFUNCTION("""COMPUTED_VALUE"""),129.0)</f>
        <v>129</v>
      </c>
      <c r="B79" s="188" t="str">
        <f>IFERROR(__xludf.DUMMYFUNCTION("""COMPUTED_VALUE"""),"DRM 암호 초기화 방법")</f>
        <v>DRM 암호 초기화 방법</v>
      </c>
      <c r="D79" s="187">
        <v>156.0</v>
      </c>
    </row>
    <row r="80">
      <c r="A80" s="188">
        <f>IFERROR(__xludf.DUMMYFUNCTION("""COMPUTED_VALUE"""),130.0)</f>
        <v>130</v>
      </c>
      <c r="B80" s="188" t="str">
        <f>IFERROR(__xludf.DUMMYFUNCTION("""COMPUTED_VALUE"""),"인사고충 신청 방법")</f>
        <v>인사고충 신청 방법</v>
      </c>
      <c r="D80" s="187">
        <v>157.0</v>
      </c>
    </row>
    <row r="81">
      <c r="A81" s="188">
        <f>IFERROR(__xludf.DUMMYFUNCTION("""COMPUTED_VALUE"""),135.0)</f>
        <v>135</v>
      </c>
      <c r="B81" s="188" t="str">
        <f>IFERROR(__xludf.DUMMYFUNCTION("""COMPUTED_VALUE"""),"행정정보공동이용 권한 신청 방법")</f>
        <v>행정정보공동이용 권한 신청 방법</v>
      </c>
      <c r="E81" s="187">
        <v>160.0</v>
      </c>
      <c r="F81" s="187" t="s">
        <v>2541</v>
      </c>
    </row>
    <row r="82">
      <c r="A82" s="188">
        <f>IFERROR(__xludf.DUMMYFUNCTION("""COMPUTED_VALUE"""),138.0)</f>
        <v>138</v>
      </c>
      <c r="B82" s="188" t="str">
        <f>IFERROR(__xludf.DUMMYFUNCTION("""COMPUTED_VALUE"""),"급여 작업시 장기교육자 등에 대한 복리후생비, 수당 등 지급 계산식이 어떻게 되나요?")</f>
        <v>급여 작업시 장기교육자 등에 대한 복리후생비, 수당 등 지급 계산식이 어떻게 되나요?</v>
      </c>
      <c r="D82" s="187">
        <v>162.0</v>
      </c>
    </row>
    <row r="83">
      <c r="A83" s="188">
        <f>IFERROR(__xludf.DUMMYFUNCTION("""COMPUTED_VALUE"""),143.0)</f>
        <v>143</v>
      </c>
      <c r="B83" s="188" t="str">
        <f>IFERROR(__xludf.DUMMYFUNCTION("""COMPUTED_VALUE"""),"온톡 메신저에 부서원 순서를 바꾸고 싶어요")</f>
        <v>온톡 메신저에 부서원 순서를 바꾸고 싶어요</v>
      </c>
      <c r="D83" s="187">
        <v>165.0</v>
      </c>
    </row>
    <row r="84">
      <c r="A84" s="188">
        <f>IFERROR(__xludf.DUMMYFUNCTION("""COMPUTED_VALUE"""),144.0)</f>
        <v>144</v>
      </c>
      <c r="B84" s="188" t="str">
        <f>IFERROR(__xludf.DUMMYFUNCTION("""COMPUTED_VALUE"""),"1인당 1년치 급식비(매식비) 계산은 어떻게 하나요")</f>
        <v>1인당 1년치 급식비(매식비) 계산은 어떻게 하나요</v>
      </c>
      <c r="D84" s="187">
        <v>168.0</v>
      </c>
    </row>
    <row r="85">
      <c r="A85" s="188">
        <f>IFERROR(__xludf.DUMMYFUNCTION("""COMPUTED_VALUE"""),145.0)</f>
        <v>145</v>
      </c>
      <c r="B85" s="188" t="str">
        <f>IFERROR(__xludf.DUMMYFUNCTION("""COMPUTED_VALUE"""),"온톡 메신저에 담당업무 입력은 어떻게 하나요")</f>
        <v>온톡 메신저에 담당업무 입력은 어떻게 하나요</v>
      </c>
      <c r="D85" s="187">
        <v>170.0</v>
      </c>
    </row>
    <row r="86">
      <c r="A86" s="188">
        <f>IFERROR(__xludf.DUMMYFUNCTION("""COMPUTED_VALUE"""),147.0)</f>
        <v>147</v>
      </c>
      <c r="B86" s="188" t="str">
        <f>IFERROR(__xludf.DUMMYFUNCTION("""COMPUTED_VALUE"""),"보조금 교부를 위한 보탬이, 이나라도움 사용법은?")</f>
        <v>보조금 교부를 위한 보탬이, 이나라도움 사용법은?</v>
      </c>
      <c r="D86" s="187">
        <v>174.0</v>
      </c>
    </row>
    <row r="87">
      <c r="A87" s="188">
        <f>IFERROR(__xludf.DUMMYFUNCTION("""COMPUTED_VALUE"""),148.0)</f>
        <v>148</v>
      </c>
      <c r="B87" s="188" t="str">
        <f>IFERROR(__xludf.DUMMYFUNCTION("""COMPUTED_VALUE"""),"온나라 시스템을 통해 공문을 생산하였는데, 기안 당시에는 비공개 사유가 있었으나, 현재에는 해당 비공개 사유가 소멸했습니다. 이에 따라, 공개문서로 전환하고 싶은데, 방법이 어떻게 되나요?")</f>
        <v>온나라 시스템을 통해 공문을 생산하였는데, 기안 당시에는 비공개 사유가 있었으나, 현재에는 해당 비공개 사유가 소멸했습니다. 이에 따라, 공개문서로 전환하고 싶은데, 방법이 어떻게 되나요?</v>
      </c>
      <c r="D87" s="187">
        <v>175.0</v>
      </c>
    </row>
    <row r="88">
      <c r="A88" s="188">
        <f>IFERROR(__xludf.DUMMYFUNCTION("""COMPUTED_VALUE"""),150.0)</f>
        <v>150</v>
      </c>
      <c r="B88" s="188" t="str">
        <f>IFERROR(__xludf.DUMMYFUNCTION("""COMPUTED_VALUE"""),"다음달에 시청 1층 대강당을 예약하고 싶은데, 방법을 알고싶어요.")</f>
        <v>다음달에 시청 1층 대강당을 예약하고 싶은데, 방법을 알고싶어요.</v>
      </c>
      <c r="D88" s="187">
        <v>178.0</v>
      </c>
    </row>
    <row r="89">
      <c r="A89" s="188">
        <f>IFERROR(__xludf.DUMMYFUNCTION("""COMPUTED_VALUE"""),151.0)</f>
        <v>151</v>
      </c>
      <c r="B89" s="188" t="str">
        <f>IFERROR(__xludf.DUMMYFUNCTION("""COMPUTED_VALUE"""),"담당업무 관련으로 시청 직원의 설문조사가 필요한데, 어디에 게시해야 많은 사람들이 참여할 수 있을까요")</f>
        <v>담당업무 관련으로 시청 직원의 설문조사가 필요한데, 어디에 게시해야 많은 사람들이 참여할 수 있을까요</v>
      </c>
      <c r="D89" s="187">
        <v>179.0</v>
      </c>
    </row>
    <row r="90">
      <c r="A90" s="188">
        <f>IFERROR(__xludf.DUMMYFUNCTION("""COMPUTED_VALUE"""),152.0)</f>
        <v>152</v>
      </c>
      <c r="B90" s="188" t="str">
        <f>IFERROR(__xludf.DUMMYFUNCTION("""COMPUTED_VALUE"""),"시 공식 SNS에 담당업무를 홍보하고자 게시했으면 하는데, 의뢰 절차가 어떻게 되나요?")</f>
        <v>시 공식 SNS에 담당업무를 홍보하고자 게시했으면 하는데, 의뢰 절차가 어떻게 되나요?</v>
      </c>
      <c r="D90" s="187">
        <v>181.0</v>
      </c>
    </row>
    <row r="91">
      <c r="A91" s="188">
        <f>IFERROR(__xludf.DUMMYFUNCTION("""COMPUTED_VALUE"""),154.0)</f>
        <v>154</v>
      </c>
      <c r="B91" s="188" t="str">
        <f>IFERROR(__xludf.DUMMYFUNCTION("""COMPUTED_VALUE"""),"일반지출의 절차를 알고싶은데, 매뉴얼이나 교육자료를 어디에서 찾을 수 있나요?")</f>
        <v>일반지출의 절차를 알고싶은데, 매뉴얼이나 교육자료를 어디에서 찾을 수 있나요?</v>
      </c>
      <c r="D91" s="187">
        <v>184.0</v>
      </c>
    </row>
    <row r="92">
      <c r="A92" s="188">
        <f>IFERROR(__xludf.DUMMYFUNCTION("""COMPUTED_VALUE"""),155.0)</f>
        <v>155</v>
      </c>
      <c r="B92" s="188" t="str">
        <f>IFERROR(__xludf.DUMMYFUNCTION("""COMPUTED_VALUE"""),"한달동안만 유연근무제를 실시하고 싶은데, 일정기간만 유연근무제 신청할 수 있나요? 할 수 있다면 신청방법이 어떻게 되나요?")</f>
        <v>한달동안만 유연근무제를 실시하고 싶은데, 일정기간만 유연근무제 신청할 수 있나요? 할 수 있다면 신청방법이 어떻게 되나요?</v>
      </c>
      <c r="D92" s="187">
        <v>185.0</v>
      </c>
    </row>
    <row r="93">
      <c r="A93" s="188">
        <f>IFERROR(__xludf.DUMMYFUNCTION("""COMPUTED_VALUE"""),156.0)</f>
        <v>156</v>
      </c>
      <c r="B93" s="188" t="str">
        <f>IFERROR(__xludf.DUMMYFUNCTION("""COMPUTED_VALUE"""),"장기재직휴가는 재직기간 몇 년차부터 생기나요? 그리고 근속년수별로 정확한 휴가 부여 일수를 알고싶어요. ")</f>
        <v>장기재직휴가는 재직기간 몇 년차부터 생기나요? 그리고 근속년수별로 정확한 휴가 부여 일수를 알고싶어요. </v>
      </c>
      <c r="D93" s="187">
        <v>186.0</v>
      </c>
    </row>
    <row r="94">
      <c r="A94" s="188">
        <f>IFERROR(__xludf.DUMMYFUNCTION("""COMPUTED_VALUE"""),157.0)</f>
        <v>157</v>
      </c>
      <c r="B94" s="188" t="str">
        <f>IFERROR(__xludf.DUMMYFUNCTION("""COMPUTED_VALUE"""),"공무원의 연차별로 연가일수가 다른 거 같던데, 재직기간별로 연가가 며칠씩 부여되나요?")</f>
        <v>공무원의 연차별로 연가일수가 다른 거 같던데, 재직기간별로 연가가 며칠씩 부여되나요?</v>
      </c>
      <c r="D94" s="187">
        <v>190.0</v>
      </c>
    </row>
    <row r="95">
      <c r="A95" s="188">
        <f>IFERROR(__xludf.DUMMYFUNCTION("""COMPUTED_VALUE"""),159.0)</f>
        <v>159</v>
      </c>
      <c r="B95" s="188" t="str">
        <f>IFERROR(__xludf.DUMMYFUNCTION("""COMPUTED_VALUE"""),"DRM, PC Client 아이디 및 비밀번호를 잊어버렸을 때 절차 알려주세요")</f>
        <v>DRM, PC Client 아이디 및 비밀번호를 잊어버렸을 때 절차 알려주세요</v>
      </c>
      <c r="D95" s="187">
        <v>191.0</v>
      </c>
    </row>
    <row r="96">
      <c r="A96" s="188">
        <f>IFERROR(__xludf.DUMMYFUNCTION("""COMPUTED_VALUE"""),160.0)</f>
        <v>160</v>
      </c>
      <c r="B96" s="188" t="str">
        <f>IFERROR(__xludf.DUMMYFUNCTION("""COMPUTED_VALUE"""),"온나라 문서 과제카드를 잘못 지정하였습니다. 변경 가능할까요?")</f>
        <v>온나라 문서 과제카드를 잘못 지정하였습니다. 변경 가능할까요?</v>
      </c>
      <c r="D96" s="187">
        <v>196.0</v>
      </c>
    </row>
    <row r="97">
      <c r="A97" s="188">
        <f>IFERROR(__xludf.DUMMYFUNCTION("""COMPUTED_VALUE"""),162.0)</f>
        <v>162</v>
      </c>
      <c r="B97" s="188" t="str">
        <f>IFERROR(__xludf.DUMMYFUNCTION("""COMPUTED_VALUE"""),"장기재직휴가 기준과 사용 방법을 알려주세요. 장기재직휴가 사용 요건이 되면 인사랑에 자동 반영될까요?")</f>
        <v>장기재직휴가 기준과 사용 방법을 알려주세요. 장기재직휴가 사용 요건이 되면 인사랑에 자동 반영될까요?</v>
      </c>
      <c r="D97" s="187">
        <v>198.0</v>
      </c>
    </row>
    <row r="98">
      <c r="A98" s="188">
        <f>IFERROR(__xludf.DUMMYFUNCTION("""COMPUTED_VALUE"""),163.0)</f>
        <v>163</v>
      </c>
      <c r="B98" s="188" t="str">
        <f>IFERROR(__xludf.DUMMYFUNCTION("""COMPUTED_VALUE"""),"공무원 및 공무직 직원복지지원시스템 사용 방법을 알려주세요.")</f>
        <v>공무원 및 공무직 직원복지지원시스템 사용 방법을 알려주세요.</v>
      </c>
      <c r="D98" s="187">
        <v>200.0</v>
      </c>
    </row>
    <row r="99">
      <c r="A99" s="188">
        <f>IFERROR(__xludf.DUMMYFUNCTION("""COMPUTED_VALUE"""),165.0)</f>
        <v>165</v>
      </c>
      <c r="B99" s="188" t="str">
        <f>IFERROR(__xludf.DUMMYFUNCTION("""COMPUTED_VALUE"""),"국민신문고 민원 처리 과정 알려주세요")</f>
        <v>국민신문고 민원 처리 과정 알려주세요</v>
      </c>
      <c r="D99" s="187">
        <v>201.0</v>
      </c>
    </row>
    <row r="100">
      <c r="A100" s="188">
        <f>IFERROR(__xludf.DUMMYFUNCTION("""COMPUTED_VALUE"""),168.0)</f>
        <v>168</v>
      </c>
      <c r="B100" s="188" t="str">
        <f>IFERROR(__xludf.DUMMYFUNCTION("""COMPUTED_VALUE"""),"공무원증 신청 방법 알려줘")</f>
        <v>공무원증 신청 방법 알려줘</v>
      </c>
      <c r="D100" s="187">
        <v>204.0</v>
      </c>
    </row>
    <row r="101">
      <c r="A101" s="188">
        <f>IFERROR(__xludf.DUMMYFUNCTION("""COMPUTED_VALUE"""),170.0)</f>
        <v>170</v>
      </c>
      <c r="B101" s="188" t="str">
        <f>IFERROR(__xludf.DUMMYFUNCTION("""COMPUTED_VALUE"""),"온나라에서 부재자 설정 및 기간은 어떻게 하나요?")</f>
        <v>온나라에서 부재자 설정 및 기간은 어떻게 하나요?</v>
      </c>
      <c r="D101" s="187">
        <v>205.0</v>
      </c>
    </row>
    <row r="102">
      <c r="A102" s="188">
        <f>IFERROR(__xludf.DUMMYFUNCTION("""COMPUTED_VALUE"""),174.0)</f>
        <v>174</v>
      </c>
      <c r="B102" s="188" t="str">
        <f>IFERROR(__xludf.DUMMYFUNCTION("""COMPUTED_VALUE"""),"DRM, PC Client 아이디 및 비밀번호를 잊어버렸을 때 해결 방법은?")</f>
        <v>DRM, PC Client 아이디 및 비밀번호를 잊어버렸을 때 해결 방법은?</v>
      </c>
      <c r="D102" s="187">
        <v>207.0</v>
      </c>
    </row>
    <row r="103">
      <c r="A103" s="188">
        <f>IFERROR(__xludf.DUMMYFUNCTION("""COMPUTED_VALUE"""),175.0)</f>
        <v>175</v>
      </c>
      <c r="B103" s="188" t="str">
        <f>IFERROR(__xludf.DUMMYFUNCTION("""COMPUTED_VALUE"""),"업무추진비 집행을 위해서 확인해야할 규정은 무엇인가요? 그리고 업추비별 특성 및 사용가능내역 알려주세요.")</f>
        <v>업무추진비 집행을 위해서 확인해야할 규정은 무엇인가요? 그리고 업추비별 특성 및 사용가능내역 알려주세요.</v>
      </c>
      <c r="D103" s="187">
        <v>209.0</v>
      </c>
    </row>
    <row r="104">
      <c r="A104" s="188">
        <f>IFERROR(__xludf.DUMMYFUNCTION("""COMPUTED_VALUE"""),178.0)</f>
        <v>178</v>
      </c>
      <c r="B104" s="188" t="str">
        <f>IFERROR(__xludf.DUMMYFUNCTION("""COMPUTED_VALUE"""),"온나라에서 부재자 설정은 어떻게 하나요?")</f>
        <v>온나라에서 부재자 설정은 어떻게 하나요?</v>
      </c>
      <c r="D104" s="187">
        <v>213.0</v>
      </c>
    </row>
    <row r="105">
      <c r="A105" s="188">
        <f>IFERROR(__xludf.DUMMYFUNCTION("""COMPUTED_VALUE"""),179.0)</f>
        <v>179</v>
      </c>
      <c r="B105" s="188" t="str">
        <f>IFERROR(__xludf.DUMMYFUNCTION("""COMPUTED_VALUE"""),"시 홈페이지 고시공고 등록하는 방법이 어떻게 되나요?")</f>
        <v>시 홈페이지 고시공고 등록하는 방법이 어떻게 되나요?</v>
      </c>
      <c r="D105" s="187">
        <v>215.0</v>
      </c>
    </row>
    <row r="106">
      <c r="A106" s="188">
        <f>IFERROR(__xludf.DUMMYFUNCTION("""COMPUTED_VALUE"""),181.0)</f>
        <v>181</v>
      </c>
      <c r="B106" s="188" t="str">
        <f>IFERROR(__xludf.DUMMYFUNCTION("""COMPUTED_VALUE"""),"단체보장보험 세부 보장내용 및 청구방법은 무엇인가요?")</f>
        <v>단체보장보험 세부 보장내용 및 청구방법은 무엇인가요?</v>
      </c>
      <c r="D106" s="187">
        <v>216.0</v>
      </c>
    </row>
    <row r="107">
      <c r="A107" s="188">
        <f>IFERROR(__xludf.DUMMYFUNCTION("""COMPUTED_VALUE"""),184.0)</f>
        <v>184</v>
      </c>
      <c r="B107" s="188" t="str">
        <f>IFERROR(__xludf.DUMMYFUNCTION("""COMPUTED_VALUE"""),"행정정보 공동이용 권한 신청은 어떻게 하는것인가요?")</f>
        <v>행정정보 공동이용 권한 신청은 어떻게 하는것인가요?</v>
      </c>
      <c r="D107" s="187">
        <v>217.0</v>
      </c>
    </row>
    <row r="108">
      <c r="A108" s="188">
        <f>IFERROR(__xludf.DUMMYFUNCTION("""COMPUTED_VALUE"""),185.0)</f>
        <v>185</v>
      </c>
      <c r="B108" s="188" t="str">
        <f>IFERROR(__xludf.DUMMYFUNCTION("""COMPUTED_VALUE"""),"GPKI 재발급 및 인사이동시 이동은 어떻게 하는 것인가요?")</f>
        <v>GPKI 재발급 및 인사이동시 이동은 어떻게 하는 것인가요?</v>
      </c>
      <c r="D108" s="187">
        <v>220.0</v>
      </c>
    </row>
    <row r="109">
      <c r="A109" s="188">
        <f>IFERROR(__xludf.DUMMYFUNCTION("""COMPUTED_VALUE"""),186.0)</f>
        <v>186</v>
      </c>
      <c r="B109" s="188" t="str">
        <f>IFERROR(__xludf.DUMMYFUNCTION("""COMPUTED_VALUE"""),"장기재직 휴가 등록 및 사용 방법이 어떻게 되나요?")</f>
        <v>장기재직 휴가 등록 및 사용 방법이 어떻게 되나요?</v>
      </c>
      <c r="D109" s="187">
        <v>221.0</v>
      </c>
    </row>
    <row r="110">
      <c r="A110" s="188">
        <f>IFERROR(__xludf.DUMMYFUNCTION("""COMPUTED_VALUE"""),188.0)</f>
        <v>188</v>
      </c>
      <c r="B110" s="188" t="str">
        <f>IFERROR(__xludf.DUMMYFUNCTION("""COMPUTED_VALUE"""),"온나라 문서배부가 잘못되엇습니다 어떻게 수정하나요?")</f>
        <v>온나라 문서배부가 잘못되엇습니다 어떻게 수정하나요?</v>
      </c>
      <c r="D110" s="187">
        <v>222.0</v>
      </c>
    </row>
    <row r="111">
      <c r="A111" s="188">
        <f>IFERROR(__xludf.DUMMYFUNCTION("""COMPUTED_VALUE"""),189.0)</f>
        <v>189</v>
      </c>
      <c r="B111" s="188" t="str">
        <f>IFERROR(__xludf.DUMMYFUNCTION("""COMPUTED_VALUE"""),"온나라 팀장님 지정 및 부재시 부재설정은 어떻게 하나요?")</f>
        <v>온나라 팀장님 지정 및 부재시 부재설정은 어떻게 하나요?</v>
      </c>
      <c r="D111" s="187">
        <v>229.0</v>
      </c>
    </row>
    <row r="112">
      <c r="A112" s="188">
        <f>IFERROR(__xludf.DUMMYFUNCTION("""COMPUTED_VALUE"""),190.0)</f>
        <v>190</v>
      </c>
      <c r="B112" s="188" t="str">
        <f>IFERROR(__xludf.DUMMYFUNCTION("""COMPUTED_VALUE"""),"업무추진비 사용할 수 있는 항목이 구체적으로 어떻게 되나요?")</f>
        <v>업무추진비 사용할 수 있는 항목이 구체적으로 어떻게 되나요?</v>
      </c>
      <c r="D112" s="187">
        <v>230.0</v>
      </c>
    </row>
    <row r="113">
      <c r="A113" s="188">
        <f>IFERROR(__xludf.DUMMYFUNCTION("""COMPUTED_VALUE"""),191.0)</f>
        <v>191</v>
      </c>
      <c r="B113" s="188" t="str">
        <f>IFERROR(__xludf.DUMMYFUNCTION("""COMPUTED_VALUE"""),"DRM 비밀번호 초기화는 어떻게 하나요?")</f>
        <v>DRM 비밀번호 초기화는 어떻게 하나요?</v>
      </c>
      <c r="D113" s="187">
        <v>231.0</v>
      </c>
    </row>
    <row r="114">
      <c r="A114" s="188">
        <f>IFERROR(__xludf.DUMMYFUNCTION("""COMPUTED_VALUE"""),196.0)</f>
        <v>196</v>
      </c>
      <c r="B114" s="188" t="str">
        <f>IFERROR(__xludf.DUMMYFUNCTION("""COMPUTED_VALUE"""),"온나라시스템 부재 설정 방법은 어떻게 되나요?")</f>
        <v>온나라시스템 부재 설정 방법은 어떻게 되나요?</v>
      </c>
      <c r="D114" s="187">
        <v>236.0</v>
      </c>
    </row>
    <row r="115">
      <c r="A115" s="188">
        <f>IFERROR(__xludf.DUMMYFUNCTION("""COMPUTED_VALUE"""),198.0)</f>
        <v>198</v>
      </c>
      <c r="B115" s="188" t="str">
        <f>IFERROR(__xludf.DUMMYFUNCTION("""COMPUTED_VALUE"""),"일상경비 지출 절차는 어떻게 되나요?")</f>
        <v>일상경비 지출 절차는 어떻게 되나요?</v>
      </c>
      <c r="D115" s="187">
        <v>238.0</v>
      </c>
    </row>
    <row r="116">
      <c r="A116" s="188">
        <f>IFERROR(__xludf.DUMMYFUNCTION("""COMPUTED_VALUE"""),200.0)</f>
        <v>200</v>
      </c>
      <c r="B116" s="188" t="str">
        <f>IFERROR(__xludf.DUMMYFUNCTION("""COMPUTED_VALUE"""),"행정전자서명 가입 절차는 어떻게 되나요?")</f>
        <v>행정전자서명 가입 절차는 어떻게 되나요?</v>
      </c>
      <c r="D116" s="187">
        <v>239.0</v>
      </c>
    </row>
    <row r="117">
      <c r="A117" s="188">
        <f>IFERROR(__xludf.DUMMYFUNCTION("""COMPUTED_VALUE"""),201.0)</f>
        <v>201</v>
      </c>
      <c r="B117" s="188" t="str">
        <f>IFERROR(__xludf.DUMMYFUNCTION("""COMPUTED_VALUE"""),"온나라시스템 과제카드 설정은 어떻게 되나요?")</f>
        <v>온나라시스템 과제카드 설정은 어떻게 되나요?</v>
      </c>
      <c r="D117" s="187">
        <v>241.0</v>
      </c>
    </row>
    <row r="118">
      <c r="A118" s="188">
        <f>IFERROR(__xludf.DUMMYFUNCTION("""COMPUTED_VALUE"""),204.0)</f>
        <v>204</v>
      </c>
      <c r="B118" s="188" t="str">
        <f>IFERROR(__xludf.DUMMYFUNCTION("""COMPUTED_VALUE"""),"DRM, PC Client 아이디 및 비밀번호를 잊어버렸을 때 해결 방법은?")</f>
        <v>DRM, PC Client 아이디 및 비밀번호를 잊어버렸을 때 해결 방법은?</v>
      </c>
      <c r="D118" s="187">
        <v>245.0</v>
      </c>
    </row>
    <row r="119">
      <c r="A119" s="188">
        <f>IFERROR(__xludf.DUMMYFUNCTION("""COMPUTED_VALUE"""),205.0)</f>
        <v>205</v>
      </c>
      <c r="B119" s="188" t="str">
        <f>IFERROR(__xludf.DUMMYFUNCTION("""COMPUTED_VALUE"""),"온나라 문서 과제카드를 잘못 지정하였습니다. 어떻게 수정하나요?")</f>
        <v>온나라 문서 과제카드를 잘못 지정하였습니다. 어떻게 수정하나요?</v>
      </c>
      <c r="D119" s="187">
        <v>247.0</v>
      </c>
    </row>
    <row r="120">
      <c r="A120" s="188">
        <f>IFERROR(__xludf.DUMMYFUNCTION("""COMPUTED_VALUE"""),207.0)</f>
        <v>207</v>
      </c>
      <c r="B120" s="188" t="str">
        <f>IFERROR(__xludf.DUMMYFUNCTION("""COMPUTED_VALUE"""),"장기재직휴가 기준과 사용 방법을 알려주세요. 장기재직휴가 사용 요건이 되면 인사랑에 자동 반영되나요?")</f>
        <v>장기재직휴가 기준과 사용 방법을 알려주세요. 장기재직휴가 사용 요건이 되면 인사랑에 자동 반영되나요?</v>
      </c>
      <c r="D120" s="187">
        <v>250.0</v>
      </c>
    </row>
    <row r="121">
      <c r="A121" s="188">
        <f>IFERROR(__xludf.DUMMYFUNCTION("""COMPUTED_VALUE"""),208.0)</f>
        <v>208</v>
      </c>
      <c r="B121" s="188" t="str">
        <f>IFERROR(__xludf.DUMMYFUNCTION("""COMPUTED_VALUE"""),"직원복지지원시스템 사용 방법을 알려주세요. 행정포털 아이디가 없을 경우엔 어떻게 하나요?")</f>
        <v>직원복지지원시스템 사용 방법을 알려주세요. 행정포털 아이디가 없을 경우엔 어떻게 하나요?</v>
      </c>
      <c r="D121" s="187">
        <v>251.0</v>
      </c>
    </row>
    <row r="122">
      <c r="A122" s="188">
        <f>IFERROR(__xludf.DUMMYFUNCTION("""COMPUTED_VALUE"""),209.0)</f>
        <v>209</v>
      </c>
      <c r="B122" s="188" t="str">
        <f>IFERROR(__xludf.DUMMYFUNCTION("""COMPUTED_VALUE"""),"업무추진비 집행을 위해서 확인해야할 규정을 정리해주세요. 직원당 쓸 수 있는 단가도 상세히 알려주세요
(예시: 정원가산업무추진비 격려금 지급 상한금액 등)")</f>
        <v>업무추진비 집행을 위해서 확인해야할 규정을 정리해주세요. 직원당 쓸 수 있는 단가도 상세히 알려주세요
(예시: 정원가산업무추진비 격려금 지급 상한금액 등)</v>
      </c>
      <c r="D122" s="187">
        <v>252.0</v>
      </c>
    </row>
    <row r="123">
      <c r="A123" s="188">
        <f>IFERROR(__xludf.DUMMYFUNCTION("""COMPUTED_VALUE"""),213.0)</f>
        <v>213</v>
      </c>
      <c r="B123" s="188" t="str">
        <f>IFERROR(__xludf.DUMMYFUNCTION("""COMPUTED_VALUE"""),"온나라에서 부재자 설정은 어떻게 하나요?")</f>
        <v>온나라에서 부재자 설정은 어떻게 하나요?</v>
      </c>
      <c r="D123" s="187">
        <v>253.0</v>
      </c>
    </row>
    <row r="124">
      <c r="A124" s="188">
        <f>IFERROR(__xludf.DUMMYFUNCTION("""COMPUTED_VALUE"""),215.0)</f>
        <v>215</v>
      </c>
      <c r="B124" s="188" t="str">
        <f>IFERROR(__xludf.DUMMYFUNCTION("""COMPUTED_VALUE"""),"조례제정시 의회제출 전 법무담당관 협의 등 거쳐야 하는 내부 절차 및 기한에 대해 알려주세요")</f>
        <v>조례제정시 의회제출 전 법무담당관 협의 등 거쳐야 하는 내부 절차 및 기한에 대해 알려주세요</v>
      </c>
      <c r="D124" s="187">
        <v>254.0</v>
      </c>
    </row>
    <row r="125">
      <c r="A125" s="188">
        <f>IFERROR(__xludf.DUMMYFUNCTION("""COMPUTED_VALUE"""),216.0)</f>
        <v>216</v>
      </c>
      <c r="B125" s="188" t="str">
        <f>IFERROR(__xludf.DUMMYFUNCTION("""COMPUTED_VALUE"""),"휴일 출장시 대체휴무 사용이 가능한가요?")</f>
        <v>휴일 출장시 대체휴무 사용이 가능한가요?</v>
      </c>
      <c r="D125" s="187">
        <v>255.0</v>
      </c>
    </row>
    <row r="126">
      <c r="A126" s="188">
        <f>IFERROR(__xludf.DUMMYFUNCTION("""COMPUTED_VALUE"""),217.0)</f>
        <v>217</v>
      </c>
      <c r="B126" s="188" t="str">
        <f>IFERROR(__xludf.DUMMYFUNCTION("""COMPUTED_VALUE"""),"사후초과 익일결재를 못받은 경우 구제방법이 있나요?")</f>
        <v>사후초과 익일결재를 못받은 경우 구제방법이 있나요?</v>
      </c>
      <c r="D126" s="187">
        <v>256.0</v>
      </c>
    </row>
    <row r="127">
      <c r="A127" s="188">
        <f>IFERROR(__xludf.DUMMYFUNCTION("""COMPUTED_VALUE"""),220.0)</f>
        <v>220</v>
      </c>
      <c r="B127" s="188" t="str">
        <f>IFERROR(__xludf.DUMMYFUNCTION("""COMPUTED_VALUE"""),"회의실 신청 어떻게 하나요?")</f>
        <v>회의실 신청 어떻게 하나요?</v>
      </c>
      <c r="D127" s="187">
        <v>259.0</v>
      </c>
    </row>
    <row r="128">
      <c r="A128" s="188">
        <f>IFERROR(__xludf.DUMMYFUNCTION("""COMPUTED_VALUE"""),221.0)</f>
        <v>221</v>
      </c>
      <c r="B128" s="188" t="str">
        <f>IFERROR(__xludf.DUMMYFUNCTION("""COMPUTED_VALUE"""),"국외출장시 며칠 전까지 허가신청 공문 보내야 하나요?")</f>
        <v>국외출장시 며칠 전까지 허가신청 공문 보내야 하나요?</v>
      </c>
      <c r="D128" s="187">
        <v>260.0</v>
      </c>
    </row>
    <row r="129">
      <c r="A129" s="188">
        <f>IFERROR(__xludf.DUMMYFUNCTION("""COMPUTED_VALUE"""),222.0)</f>
        <v>222</v>
      </c>
      <c r="B129" s="188" t="str">
        <f>IFERROR(__xludf.DUMMYFUNCTION("""COMPUTED_VALUE"""),"보존기간 만료 기록물 자체 폐기 가능한가요?")</f>
        <v>보존기간 만료 기록물 자체 폐기 가능한가요?</v>
      </c>
      <c r="D129" s="187">
        <v>262.0</v>
      </c>
    </row>
    <row r="130">
      <c r="A130" s="188">
        <f>IFERROR(__xludf.DUMMYFUNCTION("""COMPUTED_VALUE"""),226.0)</f>
        <v>226</v>
      </c>
      <c r="B130" s="188" t="str">
        <f>IFERROR(__xludf.DUMMYFUNCTION("""COMPUTED_VALUE"""),"긴급출퇴근제를 사용하기 위한 사전절차는 무엇인가요?")</f>
        <v>긴급출퇴근제를 사용하기 위한 사전절차는 무엇인가요?</v>
      </c>
      <c r="D130" s="187">
        <v>263.0</v>
      </c>
    </row>
    <row r="131">
      <c r="A131" s="188">
        <f>IFERROR(__xludf.DUMMYFUNCTION("""COMPUTED_VALUE"""),229.0)</f>
        <v>229</v>
      </c>
      <c r="B131" s="188" t="str">
        <f>IFERROR(__xludf.DUMMYFUNCTION("""COMPUTED_VALUE"""),"보안usb 매체점검은 어디서 하나요?")</f>
        <v>보안usb 매체점검은 어디서 하나요?</v>
      </c>
      <c r="D131" s="187">
        <v>264.0</v>
      </c>
    </row>
    <row r="132">
      <c r="A132" s="188">
        <f>IFERROR(__xludf.DUMMYFUNCTION("""COMPUTED_VALUE"""),230.0)</f>
        <v>230</v>
      </c>
      <c r="B132" s="188" t="str">
        <f>IFERROR(__xludf.DUMMYFUNCTION("""COMPUTED_VALUE"""),"신규 임용시 원활한 업무진행을 위해 행정포털, 행정전자서명 발급등 처리해야 할 사항 및 절차는 어떻게 되나요?")</f>
        <v>신규 임용시 원활한 업무진행을 위해 행정포털, 행정전자서명 발급등 처리해야 할 사항 및 절차는 어떻게 되나요?</v>
      </c>
      <c r="D132" s="187">
        <v>265.0</v>
      </c>
    </row>
    <row r="133">
      <c r="A133" s="188">
        <f>IFERROR(__xludf.DUMMYFUNCTION("""COMPUTED_VALUE"""),231.0)</f>
        <v>231</v>
      </c>
      <c r="B133" s="188" t="str">
        <f>IFERROR(__xludf.DUMMYFUNCTION("""COMPUTED_VALUE"""),"직원차량 등록 절차는 어떻게 되나요?")</f>
        <v>직원차량 등록 절차는 어떻게 되나요?</v>
      </c>
      <c r="D133" s="187">
        <v>266.0</v>
      </c>
    </row>
    <row r="134">
      <c r="A134" s="188">
        <f>IFERROR(__xludf.DUMMYFUNCTION("""COMPUTED_VALUE"""),236.0)</f>
        <v>236</v>
      </c>
      <c r="B134" s="188" t="str">
        <f>IFERROR(__xludf.DUMMYFUNCTION("""COMPUTED_VALUE"""),"보통예금계좌 점검 주기 및 방법을 알려줘")</f>
        <v>보통예금계좌 점검 주기 및 방법을 알려줘</v>
      </c>
      <c r="D134" s="187">
        <v>267.0</v>
      </c>
    </row>
    <row r="135">
      <c r="A135" s="188">
        <f>IFERROR(__xludf.DUMMYFUNCTION("""COMPUTED_VALUE"""),238.0)</f>
        <v>238</v>
      </c>
      <c r="B135" s="188" t="str">
        <f>IFERROR(__xludf.DUMMYFUNCTION("""COMPUTED_VALUE"""),"장기재직휴가 기준 및 사용 방법을 알려줘")</f>
        <v>장기재직휴가 기준 및 사용 방법을 알려줘</v>
      </c>
      <c r="D135" s="187">
        <v>270.0</v>
      </c>
    </row>
    <row r="136">
      <c r="A136" s="188">
        <f>IFERROR(__xludf.DUMMYFUNCTION("""COMPUTED_VALUE"""),239.0)</f>
        <v>239</v>
      </c>
      <c r="B136" s="188" t="str">
        <f>IFERROR(__xludf.DUMMYFUNCTION("""COMPUTED_VALUE"""),"공무원증 신청 및 승인처리 방법을 알려줘")</f>
        <v>공무원증 신청 및 승인처리 방법을 알려줘</v>
      </c>
      <c r="D136" s="187">
        <v>272.0</v>
      </c>
    </row>
    <row r="137">
      <c r="A137" s="188">
        <f>IFERROR(__xludf.DUMMYFUNCTION("""COMPUTED_VALUE"""),240.0)</f>
        <v>240</v>
      </c>
      <c r="B137" s="188" t="str">
        <f>IFERROR(__xludf.DUMMYFUNCTION("""COMPUTED_VALUE"""),"직원후생복지지원시스템 사용 방법을 알려줘")</f>
        <v>직원후생복지지원시스템 사용 방법을 알려줘</v>
      </c>
      <c r="D137" s="187">
        <v>276.0</v>
      </c>
    </row>
    <row r="138">
      <c r="A138" s="188">
        <f>IFERROR(__xludf.DUMMYFUNCTION("""COMPUTED_VALUE"""),241.0)</f>
        <v>241</v>
      </c>
      <c r="B138" s="188" t="str">
        <f>IFERROR(__xludf.DUMMYFUNCTION("""COMPUTED_VALUE"""),"비밀문서 접수 시 처리 절차를 알려줘")</f>
        <v>비밀문서 접수 시 처리 절차를 알려줘</v>
      </c>
      <c r="D138" s="187">
        <v>279.0</v>
      </c>
    </row>
    <row r="139">
      <c r="A139" s="188">
        <f>IFERROR(__xludf.DUMMYFUNCTION("""COMPUTED_VALUE"""),244.0)</f>
        <v>244</v>
      </c>
      <c r="B139" s="188" t="str">
        <f>IFERROR(__xludf.DUMMYFUNCTION("""COMPUTED_VALUE"""),"정보공개 접수시 처리하는 절차는 어떻게 되나요?")</f>
        <v>정보공개 접수시 처리하는 절차는 어떻게 되나요?</v>
      </c>
      <c r="D139" s="187">
        <v>286.0</v>
      </c>
    </row>
    <row r="140">
      <c r="A140" s="188">
        <f>IFERROR(__xludf.DUMMYFUNCTION("""COMPUTED_VALUE"""),245.0)</f>
        <v>245</v>
      </c>
      <c r="B140" s="188" t="str">
        <f>IFERROR(__xludf.DUMMYFUNCTION("""COMPUTED_VALUE"""),"미등록기록물 등록 방법은 어떻게 되나요?")</f>
        <v>미등록기록물 등록 방법은 어떻게 되나요?</v>
      </c>
      <c r="D140" s="187">
        <v>287.0</v>
      </c>
    </row>
    <row r="141">
      <c r="A141" s="188">
        <f>IFERROR(__xludf.DUMMYFUNCTION("""COMPUTED_VALUE"""),247.0)</f>
        <v>247</v>
      </c>
      <c r="B141" s="188" t="str">
        <f>IFERROR(__xludf.DUMMYFUNCTION("""COMPUTED_VALUE"""),"예산 편성 절차와 관련하여 사업비별 사전 이행절차는 무엇인가요?")</f>
        <v>예산 편성 절차와 관련하여 사업비별 사전 이행절차는 무엇인가요?</v>
      </c>
      <c r="D141" s="187">
        <v>299.0</v>
      </c>
    </row>
    <row r="142">
      <c r="A142" s="188">
        <f>IFERROR(__xludf.DUMMYFUNCTION("""COMPUTED_VALUE"""),250.0)</f>
        <v>250</v>
      </c>
      <c r="B142" s="188" t="str">
        <f>IFERROR(__xludf.DUMMYFUNCTION("""COMPUTED_VALUE"""),"입찰시 지역제한이 불가할 때 이행해야할 절차와 검토항목에는 무엇이 있나요?")</f>
        <v>입찰시 지역제한이 불가할 때 이행해야할 절차와 검토항목에는 무엇이 있나요?</v>
      </c>
      <c r="D142" s="187">
        <v>303.0</v>
      </c>
    </row>
    <row r="143">
      <c r="A143" s="188">
        <f>IFERROR(__xludf.DUMMYFUNCTION("""COMPUTED_VALUE"""),251.0)</f>
        <v>251</v>
      </c>
      <c r="B143" s="188" t="str">
        <f>IFERROR(__xludf.DUMMYFUNCTION("""COMPUTED_VALUE"""),"반복특이(악성) 민원 응대 매뉴얼 및 민원처리 담당자의 보호지원에는 어떤 것이 있나요?")</f>
        <v>반복특이(악성) 민원 응대 매뉴얼 및 민원처리 담당자의 보호지원에는 어떤 것이 있나요?</v>
      </c>
      <c r="D143" s="187">
        <v>304.0</v>
      </c>
    </row>
    <row r="144">
      <c r="A144" s="188">
        <f>IFERROR(__xludf.DUMMYFUNCTION("""COMPUTED_VALUE"""),252.0)</f>
        <v>252</v>
      </c>
      <c r="B144" s="188" t="str">
        <f>IFERROR(__xludf.DUMMYFUNCTION("""COMPUTED_VALUE"""),"업무 관련 소송에 발생하게 되면 부산시에서 법률 지원을 받을 수 있는 방법 및 절차가 어떻게 되나요?")</f>
        <v>업무 관련 소송에 발생하게 되면 부산시에서 법률 지원을 받을 수 있는 방법 및 절차가 어떻게 되나요?</v>
      </c>
      <c r="D144" s="187">
        <v>306.0</v>
      </c>
    </row>
    <row r="145">
      <c r="A145" s="188">
        <f>IFERROR(__xludf.DUMMYFUNCTION("""COMPUTED_VALUE"""),253.0)</f>
        <v>253</v>
      </c>
      <c r="B145" s="188" t="str">
        <f>IFERROR(__xludf.DUMMYFUNCTION("""COMPUTED_VALUE"""),"DRM 암호 초기화는 어떻게 하나요?")</f>
        <v>DRM 암호 초기화는 어떻게 하나요?</v>
      </c>
      <c r="D145" s="187">
        <v>307.0</v>
      </c>
    </row>
    <row r="146">
      <c r="A146" s="188">
        <f>IFERROR(__xludf.DUMMYFUNCTION("""COMPUTED_VALUE"""),254.0)</f>
        <v>254</v>
      </c>
      <c r="B146" s="188" t="str">
        <f>IFERROR(__xludf.DUMMYFUNCTION("""COMPUTED_VALUE"""),"시청사 직원차량 주차등록은 어떻게 하나요?")</f>
        <v>시청사 직원차량 주차등록은 어떻게 하나요?</v>
      </c>
      <c r="D146" s="187">
        <v>308.0</v>
      </c>
    </row>
    <row r="147">
      <c r="A147" s="188">
        <f>IFERROR(__xludf.DUMMYFUNCTION("""COMPUTED_VALUE"""),255.0)</f>
        <v>255</v>
      </c>
      <c r="B147" s="188" t="str">
        <f>IFERROR(__xludf.DUMMYFUNCTION("""COMPUTED_VALUE"""),"자차로 관외출장 나갔을 시 여비 지급은 어떻게 하나요?")</f>
        <v>자차로 관외출장 나갔을 시 여비 지급은 어떻게 하나요?</v>
      </c>
      <c r="D147" s="187">
        <v>309.0</v>
      </c>
    </row>
    <row r="148">
      <c r="A148" s="188">
        <f>IFERROR(__xludf.DUMMYFUNCTION("""COMPUTED_VALUE"""),256.0)</f>
        <v>256</v>
      </c>
      <c r="B148" s="188" t="str">
        <f>IFERROR(__xludf.DUMMYFUNCTION("""COMPUTED_VALUE"""),"휴직 신청 절차 및 행정처리 방법은?")</f>
        <v>휴직 신청 절차 및 행정처리 방법은?</v>
      </c>
      <c r="D148" s="187">
        <v>310.0</v>
      </c>
    </row>
    <row r="149">
      <c r="A149" s="188">
        <f>IFERROR(__xludf.DUMMYFUNCTION("""COMPUTED_VALUE"""),259.0)</f>
        <v>259</v>
      </c>
      <c r="B149" s="188" t="str">
        <f>IFERROR(__xludf.DUMMYFUNCTION("""COMPUTED_VALUE"""),"비전자기록물 편철·정리 방법은?")</f>
        <v>비전자기록물 편철·정리 방법은?</v>
      </c>
      <c r="D149" s="187">
        <v>311.0</v>
      </c>
    </row>
    <row r="150">
      <c r="A150" s="188">
        <f>IFERROR(__xludf.DUMMYFUNCTION("""COMPUTED_VALUE"""),260.0)</f>
        <v>260</v>
      </c>
      <c r="B150" s="188" t="str">
        <f>IFERROR(__xludf.DUMMYFUNCTION("""COMPUTED_VALUE"""),"차량배차 협조 요청 절차 및 처리 방법은?")</f>
        <v>차량배차 협조 요청 절차 및 처리 방법은?</v>
      </c>
      <c r="D150" s="187">
        <v>312.0</v>
      </c>
    </row>
    <row r="151">
      <c r="A151" s="188">
        <f>IFERROR(__xludf.DUMMYFUNCTION("""COMPUTED_VALUE"""),262.0)</f>
        <v>262</v>
      </c>
      <c r="B151" s="188" t="str">
        <f>IFERROR(__xludf.DUMMYFUNCTION("""COMPUTED_VALUE"""),"PC교체로 인한 행정전자서명 이동 방법은?")</f>
        <v>PC교체로 인한 행정전자서명 이동 방법은?</v>
      </c>
      <c r="D151" s="187">
        <v>313.0</v>
      </c>
    </row>
    <row r="152">
      <c r="A152" s="188">
        <f>IFERROR(__xludf.DUMMYFUNCTION("""COMPUTED_VALUE"""),263.0)</f>
        <v>263</v>
      </c>
      <c r="B152" s="188" t="str">
        <f>IFERROR(__xludf.DUMMYFUNCTION("""COMPUTED_VALUE"""),"문서 암호화 해제는 어떻게 하나요?")</f>
        <v>문서 암호화 해제는 어떻게 하나요?</v>
      </c>
      <c r="D152" s="187">
        <v>314.0</v>
      </c>
    </row>
    <row r="153">
      <c r="A153" s="188">
        <f>IFERROR(__xludf.DUMMYFUNCTION("""COMPUTED_VALUE"""),264.0)</f>
        <v>264</v>
      </c>
      <c r="B153" s="188" t="str">
        <f>IFERROR(__xludf.DUMMYFUNCTION("""COMPUTED_VALUE"""),"관내출장 여비 지급기준은 어떻게 되나요?")</f>
        <v>관내출장 여비 지급기준은 어떻게 되나요?</v>
      </c>
      <c r="D153" s="187">
        <v>315.0</v>
      </c>
    </row>
    <row r="154">
      <c r="A154" s="188">
        <f>IFERROR(__xludf.DUMMYFUNCTION("""COMPUTED_VALUE"""),265.0)</f>
        <v>265</v>
      </c>
      <c r="B154" s="188" t="str">
        <f>IFERROR(__xludf.DUMMYFUNCTION("""COMPUTED_VALUE"""),"실물/모바일 공무원증은 어떻게 발급받나요?")</f>
        <v>실물/모바일 공무원증은 어떻게 발급받나요?</v>
      </c>
      <c r="D154" s="187">
        <v>316.0</v>
      </c>
    </row>
    <row r="155">
      <c r="A155" s="188">
        <f>IFERROR(__xludf.DUMMYFUNCTION("""COMPUTED_VALUE"""),266.0)</f>
        <v>266</v>
      </c>
      <c r="B155" s="188" t="str">
        <f>IFERROR(__xludf.DUMMYFUNCTION("""COMPUTED_VALUE"""),"모바일 공무원증은 어떻게 활용할 수 있나요? ")</f>
        <v>모바일 공무원증은 어떻게 활용할 수 있나요? </v>
      </c>
      <c r="D155" s="187">
        <v>318.0</v>
      </c>
    </row>
    <row r="156">
      <c r="A156" s="188">
        <f>IFERROR(__xludf.DUMMYFUNCTION("""COMPUTED_VALUE"""),267.0)</f>
        <v>267</v>
      </c>
      <c r="B156" s="188" t="str">
        <f>IFERROR(__xludf.DUMMYFUNCTION("""COMPUTED_VALUE"""),"장기재직휴가는 어떻게 신청하나요?")</f>
        <v>장기재직휴가는 어떻게 신청하나요?</v>
      </c>
      <c r="D156" s="187">
        <v>320.0</v>
      </c>
    </row>
    <row r="157">
      <c r="A157" s="188">
        <f>IFERROR(__xludf.DUMMYFUNCTION("""COMPUTED_VALUE"""),269.0)</f>
        <v>269</v>
      </c>
      <c r="B157" s="188" t="str">
        <f>IFERROR(__xludf.DUMMYFUNCTION("""COMPUTED_VALUE"""),"기록물은 어떻게 정리하나요? ")</f>
        <v>기록물은 어떻게 정리하나요? </v>
      </c>
      <c r="D157" s="187">
        <v>321.0</v>
      </c>
    </row>
    <row r="158">
      <c r="A158" s="188">
        <f>IFERROR(__xludf.DUMMYFUNCTION("""COMPUTED_VALUE"""),270.0)</f>
        <v>270</v>
      </c>
      <c r="B158" s="188" t="str">
        <f>IFERROR(__xludf.DUMMYFUNCTION("""COMPUTED_VALUE"""),"기록물의 보존기간을 업무별로 알려주세요 ")</f>
        <v>기록물의 보존기간을 업무별로 알려주세요 </v>
      </c>
      <c r="D158" s="187">
        <v>322.0</v>
      </c>
    </row>
    <row r="159">
      <c r="A159" s="188">
        <f>IFERROR(__xludf.DUMMYFUNCTION("""COMPUTED_VALUE"""),272.0)</f>
        <v>272</v>
      </c>
      <c r="B159" s="188" t="str">
        <f>IFERROR(__xludf.DUMMYFUNCTION("""COMPUTED_VALUE"""),"부산시청 내 회의장의 수용가능인원을 알려주세요")</f>
        <v>부산시청 내 회의장의 수용가능인원을 알려주세요</v>
      </c>
      <c r="D159" s="187">
        <v>328.0</v>
      </c>
    </row>
    <row r="160">
      <c r="A160" s="188">
        <f>IFERROR(__xludf.DUMMYFUNCTION("""COMPUTED_VALUE"""),276.0)</f>
        <v>276</v>
      </c>
      <c r="B160" s="188" t="str">
        <f>IFERROR(__xludf.DUMMYFUNCTION("""COMPUTED_VALUE"""),"업무추진비 집행 시 사용 가능한 항목과 제한 사항은 무엇이며, 지출 시 필요한 증빙 서류는 무엇인가요?")</f>
        <v>업무추진비 집행 시 사용 가능한 항목과 제한 사항은 무엇이며, 지출 시 필요한 증빙 서류는 무엇인가요?</v>
      </c>
      <c r="D160" s="187">
        <v>330.0</v>
      </c>
    </row>
    <row r="161">
      <c r="A161" s="188">
        <f>IFERROR(__xludf.DUMMYFUNCTION("""COMPUTED_VALUE"""),279.0)</f>
        <v>279</v>
      </c>
      <c r="B161" s="188" t="str">
        <f>IFERROR(__xludf.DUMMYFUNCTION("""COMPUTED_VALUE"""),"정보공개법에 따른 정보공개 청구 처리 기한은 며칠인가요?")</f>
        <v>정보공개법에 따른 정보공개 청구 처리 기한은 며칠인가요?</v>
      </c>
      <c r="D161" s="187">
        <v>331.0</v>
      </c>
    </row>
    <row r="162">
      <c r="A162" s="188">
        <f>IFERROR(__xludf.DUMMYFUNCTION("""COMPUTED_VALUE"""),282.0)</f>
        <v>282</v>
      </c>
      <c r="B162" s="188" t="str">
        <f>IFERROR(__xludf.DUMMYFUNCTION("""COMPUTED_VALUE"""),"지방공무원법 및 내부 규정에 따라 겸직이나 외부강의 시 사전 신고가 필요한 경우는 어떤 때이며, 절차는 어떻게 되나요?")</f>
        <v>지방공무원법 및 내부 규정에 따라 겸직이나 외부강의 시 사전 신고가 필요한 경우는 어떤 때이며, 절차는 어떻게 되나요?</v>
      </c>
      <c r="D162" s="187">
        <v>333.0</v>
      </c>
    </row>
    <row r="163">
      <c r="A163" s="188">
        <f>IFERROR(__xludf.DUMMYFUNCTION("""COMPUTED_VALUE"""),285.0)</f>
        <v>285</v>
      </c>
      <c r="B163" s="188" t="str">
        <f>IFERROR(__xludf.DUMMYFUNCTION("""COMPUTED_VALUE"""),"시에서 주관하는 행사 등 추진 시 홍보 광고물 설치 절차는 어떻게 되나요?")</f>
        <v>시에서 주관하는 행사 등 추진 시 홍보 광고물 설치 절차는 어떻게 되나요?</v>
      </c>
      <c r="D163" s="187">
        <v>334.0</v>
      </c>
    </row>
    <row r="164">
      <c r="A164" s="188">
        <f>IFERROR(__xludf.DUMMYFUNCTION("""COMPUTED_VALUE"""),286.0)</f>
        <v>286</v>
      </c>
      <c r="B164" s="188" t="str">
        <f>IFERROR(__xludf.DUMMYFUNCTION("""COMPUTED_VALUE"""),"공사, 용역, 물품 등 구입시 조달청을 통한 계약 절차는 어떻게 되나요?")</f>
        <v>공사, 용역, 물품 등 구입시 조달청을 통한 계약 절차는 어떻게 되나요?</v>
      </c>
      <c r="D164" s="187">
        <v>336.0</v>
      </c>
    </row>
    <row r="165">
      <c r="A165" s="188">
        <f>IFERROR(__xludf.DUMMYFUNCTION("""COMPUTED_VALUE"""),287.0)</f>
        <v>287</v>
      </c>
      <c r="B165" s="188" t="str">
        <f>IFERROR(__xludf.DUMMYFUNCTION("""COMPUTED_VALUE"""),"예산편성을 위한 신규사업 사전이행절차 안내(사업종류, 사업금액별)")</f>
        <v>예산편성을 위한 신규사업 사전이행절차 안내(사업종류, 사업금액별)</v>
      </c>
      <c r="D165" s="187">
        <v>338.0</v>
      </c>
    </row>
    <row r="166">
      <c r="A166" s="188">
        <f>IFERROR(__xludf.DUMMYFUNCTION("""COMPUTED_VALUE"""),292.0)</f>
        <v>292</v>
      </c>
      <c r="B166" s="188" t="str">
        <f>IFERROR(__xludf.DUMMYFUNCTION("""COMPUTED_VALUE"""),"빅데이터과 보유데이터 중 부서활용가능한 데이터 종류")</f>
        <v>빅데이터과 보유데이터 중 부서활용가능한 데이터 종류</v>
      </c>
      <c r="D166" s="187">
        <v>340.0</v>
      </c>
    </row>
    <row r="167">
      <c r="A167" s="188">
        <f>IFERROR(__xludf.DUMMYFUNCTION("""COMPUTED_VALUE"""),297.0)</f>
        <v>297</v>
      </c>
      <c r="B167" s="188" t="str">
        <f>IFERROR(__xludf.DUMMYFUNCTION("""COMPUTED_VALUE"""),"일반 usb, 보안 usb 사용방법을 알려주세요")</f>
        <v>일반 usb, 보안 usb 사용방법을 알려주세요</v>
      </c>
      <c r="D167" s="187">
        <v>342.0</v>
      </c>
    </row>
    <row r="168">
      <c r="A168" s="188">
        <f>IFERROR(__xludf.DUMMYFUNCTION("""COMPUTED_VALUE"""),299.0)</f>
        <v>299</v>
      </c>
      <c r="B168" s="188" t="str">
        <f>IFERROR(__xludf.DUMMYFUNCTION("""COMPUTED_VALUE"""),"gpki 비밀번호 잃어버렸을 떄 조치방법을 알려주세요")</f>
        <v>gpki 비밀번호 잃어버렸을 떄 조치방법을 알려주세요</v>
      </c>
      <c r="D168" s="187">
        <v>346.0</v>
      </c>
    </row>
    <row r="169">
      <c r="A169" s="188">
        <f>IFERROR(__xludf.DUMMYFUNCTION("""COMPUTED_VALUE"""),303.0)</f>
        <v>303</v>
      </c>
      <c r="B169" s="188" t="str">
        <f>IFERROR(__xludf.DUMMYFUNCTION("""COMPUTED_VALUE"""),"수시인사교류의 절차는 어떻게 되나요")</f>
        <v>수시인사교류의 절차는 어떻게 되나요</v>
      </c>
      <c r="D169" s="187">
        <v>348.0</v>
      </c>
    </row>
    <row r="170">
      <c r="A170" s="188">
        <f>IFERROR(__xludf.DUMMYFUNCTION("""COMPUTED_VALUE"""),304.0)</f>
        <v>304</v>
      </c>
      <c r="B170" s="188" t="str">
        <f>IFERROR(__xludf.DUMMYFUNCTION("""COMPUTED_VALUE"""),"전문직위 지정 및 전문관 임용은 어떻게 신청하면 되나요? ")</f>
        <v>전문직위 지정 및 전문관 임용은 어떻게 신청하면 되나요? </v>
      </c>
      <c r="D170" s="187">
        <v>352.0</v>
      </c>
    </row>
    <row r="171">
      <c r="A171" s="188">
        <f>IFERROR(__xludf.DUMMYFUNCTION("""COMPUTED_VALUE"""),305.0)</f>
        <v>305</v>
      </c>
      <c r="B171" s="188" t="str">
        <f>IFERROR(__xludf.DUMMYFUNCTION("""COMPUTED_VALUE"""),"성과상여금 및 연봉결정에 대한 이의신청 방법은?")</f>
        <v>성과상여금 및 연봉결정에 대한 이의신청 방법은?</v>
      </c>
      <c r="D171" s="187">
        <v>353.0</v>
      </c>
    </row>
    <row r="172">
      <c r="A172" s="188">
        <f>IFERROR(__xludf.DUMMYFUNCTION("""COMPUTED_VALUE"""),306.0)</f>
        <v>306</v>
      </c>
      <c r="B172" s="188" t="str">
        <f>IFERROR(__xludf.DUMMYFUNCTION("""COMPUTED_VALUE"""),"공무원증 신청방법? 발급되는데 얼마나 걸리나요?")</f>
        <v>공무원증 신청방법? 발급되는데 얼마나 걸리나요?</v>
      </c>
      <c r="E172" s="187">
        <v>362.0</v>
      </c>
      <c r="F172" s="187" t="s">
        <v>2541</v>
      </c>
    </row>
    <row r="173">
      <c r="A173" s="188">
        <f>IFERROR(__xludf.DUMMYFUNCTION("""COMPUTED_VALUE"""),307.0)</f>
        <v>307</v>
      </c>
      <c r="B173" s="188" t="str">
        <f>IFERROR(__xludf.DUMMYFUNCTION("""COMPUTED_VALUE"""),"당직 등으로 인한 대체휴무 사용기간은 언제까지인가요?")</f>
        <v>당직 등으로 인한 대체휴무 사용기간은 언제까지인가요?</v>
      </c>
      <c r="D173" s="187">
        <v>369.0</v>
      </c>
    </row>
    <row r="174">
      <c r="A174" s="188">
        <f>IFERROR(__xludf.DUMMYFUNCTION("""COMPUTED_VALUE"""),308.0)</f>
        <v>308</v>
      </c>
      <c r="B174" s="188" t="str">
        <f>IFERROR(__xludf.DUMMYFUNCTION("""COMPUTED_VALUE"""),"휴가 마지막 날 18시 이후 초과근무가 가능한지 ?")</f>
        <v>휴가 마지막 날 18시 이후 초과근무가 가능한지 ?</v>
      </c>
      <c r="D174" s="187">
        <v>370.0</v>
      </c>
    </row>
    <row r="175">
      <c r="A175" s="188">
        <f>IFERROR(__xludf.DUMMYFUNCTION("""COMPUTED_VALUE"""),309.0)</f>
        <v>309</v>
      </c>
      <c r="B175" s="188" t="str">
        <f>IFERROR(__xludf.DUMMYFUNCTION("""COMPUTED_VALUE"""),"육아휴직수당의 지급 금액은 얼마인가요?")</f>
        <v>육아휴직수당의 지급 금액은 얼마인가요?</v>
      </c>
      <c r="D175" s="187">
        <v>375.0</v>
      </c>
    </row>
    <row r="176">
      <c r="A176" s="188">
        <f>IFERROR(__xludf.DUMMYFUNCTION("""COMPUTED_VALUE"""),310.0)</f>
        <v>310</v>
      </c>
      <c r="B176" s="188" t="str">
        <f>IFERROR(__xludf.DUMMYFUNCTION("""COMPUTED_VALUE"""),"가족수당의 지급 금액은 어떻게 되나요?")</f>
        <v>가족수당의 지급 금액은 어떻게 되나요?</v>
      </c>
      <c r="D176" s="187">
        <v>377.0</v>
      </c>
    </row>
    <row r="177">
      <c r="A177" s="188">
        <f>IFERROR(__xludf.DUMMYFUNCTION("""COMPUTED_VALUE"""),311.0)</f>
        <v>311</v>
      </c>
      <c r="B177" s="188" t="str">
        <f>IFERROR(__xludf.DUMMYFUNCTION("""COMPUTED_VALUE"""),"복지포인트 영수증 승인 건에 대한 처리(환급 포함) 시기는?")</f>
        <v>복지포인트 영수증 승인 건에 대한 처리(환급 포함) 시기는?</v>
      </c>
    </row>
    <row r="178">
      <c r="A178" s="188">
        <f>IFERROR(__xludf.DUMMYFUNCTION("""COMPUTED_VALUE"""),312.0)</f>
        <v>312</v>
      </c>
      <c r="B178" s="188" t="str">
        <f>IFERROR(__xludf.DUMMYFUNCTION("""COMPUTED_VALUE"""),"공무직 직원이 휴직하였는데, 기간제 승인을 받을 수 있나요?")</f>
        <v>공무직 직원이 휴직하였는데, 기간제 승인을 받을 수 있나요?</v>
      </c>
    </row>
    <row r="179">
      <c r="A179" s="188">
        <f>IFERROR(__xludf.DUMMYFUNCTION("""COMPUTED_VALUE"""),313.0)</f>
        <v>313</v>
      </c>
      <c r="B179" s="188" t="str">
        <f>IFERROR(__xludf.DUMMYFUNCTION("""COMPUTED_VALUE"""),"예산 통계목별 꼭 거쳐야 하는 예산 사전절차는 어떤것들이 있으며, 그 사전절차 과정은 어떻게 되나요?")</f>
        <v>예산 통계목별 꼭 거쳐야 하는 예산 사전절차는 어떤것들이 있으며, 그 사전절차 과정은 어떻게 되나요?</v>
      </c>
    </row>
    <row r="180">
      <c r="A180" s="188">
        <f>IFERROR(__xludf.DUMMYFUNCTION("""COMPUTED_VALUE"""),314.0)</f>
        <v>314</v>
      </c>
      <c r="B180" s="188" t="str">
        <f>IFERROR(__xludf.DUMMYFUNCTION("""COMPUTED_VALUE"""),"일상경비 감사에서 가장 많이 지적되는 사항은 어떤것들이 있으며, 해당 케이스는 어떻게 처리해야 원칙적으로 처리되는 것인가요?")</f>
        <v>일상경비 감사에서 가장 많이 지적되는 사항은 어떤것들이 있으며, 해당 케이스는 어떻게 처리해야 원칙적으로 처리되는 것인가요?</v>
      </c>
    </row>
    <row r="181">
      <c r="A181" s="188">
        <f>IFERROR(__xludf.DUMMYFUNCTION("""COMPUTED_VALUE"""),315.0)</f>
        <v>315</v>
      </c>
      <c r="B181" s="188" t="str">
        <f>IFERROR(__xludf.DUMMYFUNCTION("""COMPUTED_VALUE"""),"조달청에서 물품을 구입하려면 어떤 절차를 거쳐야 하며, e호조는 어떤식으로 진행되어야 하나요?")</f>
        <v>조달청에서 물품을 구입하려면 어떤 절차를 거쳐야 하며, e호조는 어떤식으로 진행되어야 하나요?</v>
      </c>
    </row>
    <row r="182">
      <c r="A182" s="188">
        <f>IFERROR(__xludf.DUMMYFUNCTION("""COMPUTED_VALUE"""),316.0)</f>
        <v>316</v>
      </c>
      <c r="B182" s="188" t="str">
        <f>IFERROR(__xludf.DUMMYFUNCTION("""COMPUTED_VALUE"""),"일상경비로 계약을 하는 경우, 필요한 서류는 어떤것들이 있으며, e호조는 어떻게 진행해야 하나요?")</f>
        <v>일상경비로 계약을 하는 경우, 필요한 서류는 어떤것들이 있으며, e호조는 어떻게 진행해야 하나요?</v>
      </c>
    </row>
    <row r="183">
      <c r="A183" s="188">
        <f>IFERROR(__xludf.DUMMYFUNCTION("""COMPUTED_VALUE"""),318.0)</f>
        <v>318</v>
      </c>
      <c r="B183" s="188" t="str">
        <f>IFERROR(__xludf.DUMMYFUNCTION("""COMPUTED_VALUE"""),"부산시 캐릭터 부기를 사용한 홍보를 하고 싶은데 부기 캐릭터 사용 절차는 어떻게 되나요?")</f>
        <v>부산시 캐릭터 부기를 사용한 홍보를 하고 싶은데 부기 캐릭터 사용 절차는 어떻게 되나요?</v>
      </c>
    </row>
    <row r="184">
      <c r="A184" s="188">
        <f>IFERROR(__xludf.DUMMYFUNCTION("""COMPUTED_VALUE"""),320.0)</f>
        <v>320</v>
      </c>
      <c r="B184" s="188" t="str">
        <f>IFERROR(__xludf.DUMMYFUNCTION("""COMPUTED_VALUE"""),"검사조서가 꼭 필요한 항목은 어떤것들이 있나요?")</f>
        <v>검사조서가 꼭 필요한 항목은 어떤것들이 있나요?</v>
      </c>
    </row>
    <row r="185">
      <c r="A185" s="188">
        <f>IFERROR(__xludf.DUMMYFUNCTION("""COMPUTED_VALUE"""),321.0)</f>
        <v>321</v>
      </c>
      <c r="B185" s="188" t="str">
        <f>IFERROR(__xludf.DUMMYFUNCTION("""COMPUTED_VALUE"""),"관내출장을 갔다가 관외출장을 가는경우, 출장비는 어떻게 지급되어야 하나요?")</f>
        <v>관내출장을 갔다가 관외출장을 가는경우, 출장비는 어떻게 지급되어야 하나요?</v>
      </c>
    </row>
    <row r="186">
      <c r="A186" s="188">
        <f>IFERROR(__xludf.DUMMYFUNCTION("""COMPUTED_VALUE"""),322.0)</f>
        <v>322</v>
      </c>
      <c r="B186" s="188" t="str">
        <f>IFERROR(__xludf.DUMMYFUNCTION("""COMPUTED_VALUE"""),"주말에 관외출장을 가는경우 초과근무나 대체휴무 지급이 가능한가요?")</f>
        <v>주말에 관외출장을 가는경우 초과근무나 대체휴무 지급이 가능한가요?</v>
      </c>
    </row>
    <row r="187">
      <c r="A187" s="188">
        <f>IFERROR(__xludf.DUMMYFUNCTION("""COMPUTED_VALUE"""),324.0)</f>
        <v>324</v>
      </c>
      <c r="B187" s="188" t="str">
        <f>IFERROR(__xludf.DUMMYFUNCTION("""COMPUTED_VALUE"""),"위원회를 만들때 어떤 프로세스를 거쳐서 해야하나요?")</f>
        <v>위원회를 만들때 어떤 프로세스를 거쳐서 해야하나요?</v>
      </c>
    </row>
    <row r="188">
      <c r="A188" s="188">
        <f>IFERROR(__xludf.DUMMYFUNCTION("""COMPUTED_VALUE"""),325.0)</f>
        <v>325</v>
      </c>
      <c r="B188" s="188" t="str">
        <f>IFERROR(__xludf.DUMMYFUNCTION("""COMPUTED_VALUE"""),"민간위탁을 하려고 할때 어떤 조건을 만족시키고 어떤과정을 거쳐야 민간위탁이 가능하나요?")</f>
        <v>민간위탁을 하려고 할때 어떤 조건을 만족시키고 어떤과정을 거쳐야 민간위탁이 가능하나요?</v>
      </c>
    </row>
    <row r="189">
      <c r="A189" s="188">
        <f>IFERROR(__xludf.DUMMYFUNCTION("""COMPUTED_VALUE"""),328.0)</f>
        <v>328</v>
      </c>
      <c r="B189" s="188" t="str">
        <f>IFERROR(__xludf.DUMMYFUNCTION("""COMPUTED_VALUE"""),"각종 홍보자료를 시청 홈페이지, 엘리베이터 화면, 기타 홍보게시판 등 게시하려면 어떻게 해야하나요?")</f>
        <v>각종 홍보자료를 시청 홈페이지, 엘리베이터 화면, 기타 홍보게시판 등 게시하려면 어떻게 해야하나요?</v>
      </c>
    </row>
    <row r="190">
      <c r="A190" s="188">
        <f>IFERROR(__xludf.DUMMYFUNCTION("""COMPUTED_VALUE"""),329.0)</f>
        <v>329</v>
      </c>
      <c r="B190" s="188" t="str">
        <f>IFERROR(__xludf.DUMMYFUNCTION("""COMPUTED_VALUE"""),"단체보장보험 세부 보장내용 및 청구방법은 무엇인가요?")</f>
        <v>단체보장보험 세부 보장내용 및 청구방법은 무엇인가요?</v>
      </c>
    </row>
    <row r="191">
      <c r="A191" s="188">
        <f>IFERROR(__xludf.DUMMYFUNCTION("""COMPUTED_VALUE"""),330.0)</f>
        <v>330</v>
      </c>
      <c r="B191" s="188" t="str">
        <f>IFERROR(__xludf.DUMMYFUNCTION("""COMPUTED_VALUE"""),"계약시 종류별 절차 및 구비서류는 무엇인가요?")</f>
        <v>계약시 종류별 절차 및 구비서류는 무엇인가요?</v>
      </c>
    </row>
    <row r="192">
      <c r="A192" s="188">
        <f>IFERROR(__xludf.DUMMYFUNCTION("""COMPUTED_VALUE"""),331.0)</f>
        <v>331</v>
      </c>
      <c r="B192" s="188" t="str">
        <f>IFERROR(__xludf.DUMMYFUNCTION("""COMPUTED_VALUE"""),"공무국외출장 절차는 무엇인가요?")</f>
        <v>공무국외출장 절차는 무엇인가요?</v>
      </c>
    </row>
    <row r="193">
      <c r="A193" s="188">
        <f>IFERROR(__xludf.DUMMYFUNCTION("""COMPUTED_VALUE"""),332.0)</f>
        <v>332</v>
      </c>
      <c r="B193" s="188" t="str">
        <f>IFERROR(__xludf.DUMMYFUNCTION("""COMPUTED_VALUE"""),"nac 로그인이 안돼요(아이디, 초기비밀번호 등)")</f>
        <v>nac 로그인이 안돼요(아이디, 초기비밀번호 등)</v>
      </c>
    </row>
    <row r="194">
      <c r="A194" s="188">
        <f>IFERROR(__xludf.DUMMYFUNCTION("""COMPUTED_VALUE"""),333.0)</f>
        <v>333</v>
      </c>
      <c r="B194" s="188" t="str">
        <f>IFERROR(__xludf.DUMMYFUNCTION("""COMPUTED_VALUE"""),"공무원증 분실시 청사 출입 방법과 재발급 방법은 무엇인가요?")</f>
        <v>공무원증 분실시 청사 출입 방법과 재발급 방법은 무엇인가요?</v>
      </c>
    </row>
    <row r="195">
      <c r="A195" s="188">
        <f>IFERROR(__xludf.DUMMYFUNCTION("""COMPUTED_VALUE"""),334.0)</f>
        <v>334</v>
      </c>
      <c r="B195" s="188" t="str">
        <f>IFERROR(__xludf.DUMMYFUNCTION("""COMPUTED_VALUE"""),"시청 청사 내 주차 등록 방법은 무엇인가요?")</f>
        <v>시청 청사 내 주차 등록 방법은 무엇인가요?</v>
      </c>
    </row>
    <row r="196">
      <c r="A196" s="188">
        <f>IFERROR(__xludf.DUMMYFUNCTION("""COMPUTED_VALUE"""),336.0)</f>
        <v>336</v>
      </c>
      <c r="B196" s="188" t="str">
        <f>IFERROR(__xludf.DUMMYFUNCTION("""COMPUTED_VALUE"""),"공유재산 관리계획 수립 시 절차는 어떻게 되나요?")</f>
        <v>공유재산 관리계획 수립 시 절차는 어떻게 되나요?</v>
      </c>
    </row>
    <row r="197">
      <c r="A197" s="188">
        <f>IFERROR(__xludf.DUMMYFUNCTION("""COMPUTED_VALUE"""),338.0)</f>
        <v>338</v>
      </c>
      <c r="B197" s="188" t="str">
        <f>IFERROR(__xludf.DUMMYFUNCTION("""COMPUTED_VALUE"""),"행정전자서명(GPKI) 재발급 방법을 알려주세요")</f>
        <v>행정전자서명(GPKI) 재발급 방법을 알려주세요</v>
      </c>
    </row>
    <row r="198">
      <c r="A198" s="188">
        <f>IFERROR(__xludf.DUMMYFUNCTION("""COMPUTED_VALUE"""),340.0)</f>
        <v>340</v>
      </c>
      <c r="B198" s="188" t="str">
        <f>IFERROR(__xludf.DUMMYFUNCTION("""COMPUTED_VALUE"""),"정산검사 결과 보고서에서 포함돼야 할 내용에 어떤 것들이 있나요?")</f>
        <v>정산검사 결과 보고서에서 포함돼야 할 내용에 어떤 것들이 있나요?</v>
      </c>
    </row>
    <row r="199">
      <c r="A199" s="188">
        <f>IFERROR(__xludf.DUMMYFUNCTION("""COMPUTED_VALUE"""),341.0)</f>
        <v>341</v>
      </c>
      <c r="B199" s="188" t="str">
        <f>IFERROR(__xludf.DUMMYFUNCTION("""COMPUTED_VALUE"""),"추가경정예산안에 포함돼야 할 내용에 어떤 것들이 있나요?")</f>
        <v>추가경정예산안에 포함돼야 할 내용에 어떤 것들이 있나요?</v>
      </c>
    </row>
    <row r="200">
      <c r="A200" s="188">
        <f>IFERROR(__xludf.DUMMYFUNCTION("""COMPUTED_VALUE"""),342.0)</f>
        <v>342</v>
      </c>
      <c r="B200" s="188" t="str">
        <f>IFERROR(__xludf.DUMMYFUNCTION("""COMPUTED_VALUE"""),"고충민원이 들어왔을 때 처리절차를 알려주세요")</f>
        <v>고충민원이 들어왔을 때 처리절차를 알려주세요</v>
      </c>
    </row>
    <row r="201">
      <c r="A201" s="188">
        <f>IFERROR(__xludf.DUMMYFUNCTION("""COMPUTED_VALUE"""),346.0)</f>
        <v>346</v>
      </c>
      <c r="B201" s="188" t="str">
        <f>IFERROR(__xludf.DUMMYFUNCTION("""COMPUTED_VALUE"""),"예산변경의 절차에 대해서 알려주세요")</f>
        <v>예산변경의 절차에 대해서 알려주세요</v>
      </c>
    </row>
    <row r="202">
      <c r="A202" s="188">
        <f>IFERROR(__xludf.DUMMYFUNCTION("""COMPUTED_VALUE"""),348.0)</f>
        <v>348</v>
      </c>
      <c r="B202" s="188" t="str">
        <f>IFERROR(__xludf.DUMMYFUNCTION("""COMPUTED_VALUE"""),"법률자문은 어떻게 진행되나요?")</f>
        <v>법률자문은 어떻게 진행되나요?</v>
      </c>
    </row>
    <row r="203">
      <c r="A203" s="188">
        <f>IFERROR(__xludf.DUMMYFUNCTION("""COMPUTED_VALUE"""),351.0)</f>
        <v>351</v>
      </c>
      <c r="B203" s="188" t="str">
        <f>IFERROR(__xludf.DUMMYFUNCTION("""COMPUTED_VALUE"""),"일반지출이 아닌 계약으로 진행해야 하는 기준과 필요 서류들이 무엇이 있는지?")</f>
        <v>일반지출이 아닌 계약으로 진행해야 하는 기준과 필요 서류들이 무엇이 있는지?</v>
      </c>
    </row>
    <row r="204">
      <c r="A204" s="188">
        <f>IFERROR(__xludf.DUMMYFUNCTION("""COMPUTED_VALUE"""),352.0)</f>
        <v>352</v>
      </c>
      <c r="B204" s="188" t="str">
        <f>IFERROR(__xludf.DUMMYFUNCTION("""COMPUTED_VALUE"""),"조례를 제정,개정하기 위한 행정절차 가이드라인을 알려줄 수 있는지?")</f>
        <v>조례를 제정,개정하기 위한 행정절차 가이드라인을 알려줄 수 있는지?</v>
      </c>
    </row>
    <row r="205">
      <c r="A205" s="188">
        <f>IFERROR(__xludf.DUMMYFUNCTION("""COMPUTED_VALUE"""),353.0)</f>
        <v>353</v>
      </c>
      <c r="B205" s="188" t="str">
        <f>IFERROR(__xludf.DUMMYFUNCTION("""COMPUTED_VALUE"""),"PC를 새로 교체했을 때 해야하는 보안절차가 있는지?")</f>
        <v>PC를 새로 교체했을 때 해야하는 보안절차가 있는지?</v>
      </c>
    </row>
    <row r="206">
      <c r="A206" s="188">
        <f>IFERROR(__xludf.DUMMYFUNCTION("""COMPUTED_VALUE"""),358.0)</f>
        <v>358</v>
      </c>
      <c r="B206" s="188" t="str">
        <f>IFERROR(__xludf.DUMMYFUNCTION("""COMPUTED_VALUE"""),"국민신문고, 정보공개 처리 기준 및 답변 예시들을 볼 수 있는지?")</f>
        <v>국민신문고, 정보공개 처리 기준 및 답변 예시들을 볼 수 있는지?</v>
      </c>
    </row>
    <row r="207">
      <c r="A207" s="188">
        <f>IFERROR(__xludf.DUMMYFUNCTION("""COMPUTED_VALUE"""),359.0)</f>
        <v>359</v>
      </c>
      <c r="B207" s="188" t="str">
        <f>IFERROR(__xludf.DUMMYFUNCTION("""COMPUTED_VALUE"""),"수의계약이 아닌 입찰로 진행할 때 선행해야할 절차들과 서류들을 정리해 줄 수 있는지?")</f>
        <v>수의계약이 아닌 입찰로 진행할 때 선행해야할 절차들과 서류들을 정리해 줄 수 있는지?</v>
      </c>
    </row>
    <row r="208">
      <c r="A208" s="188">
        <f>IFERROR(__xludf.DUMMYFUNCTION("""COMPUTED_VALUE"""),361.0)</f>
        <v>361</v>
      </c>
      <c r="B208" s="188" t="str">
        <f>IFERROR(__xludf.DUMMYFUNCTION("""COMPUTED_VALUE"""),"DRM, PC Client 아이디 및 비밀번호를 잊어버렸을 때 절차 알려주세요")</f>
        <v>DRM, PC Client 아이디 및 비밀번호를 잊어버렸을 때 절차 알려주세요</v>
      </c>
    </row>
    <row r="209">
      <c r="A209" s="188">
        <f>IFERROR(__xludf.DUMMYFUNCTION("""COMPUTED_VALUE"""),362.0)</f>
        <v>362</v>
      </c>
      <c r="B209" s="188" t="str">
        <f>IFERROR(__xludf.DUMMYFUNCTION("""COMPUTED_VALUE"""),"온나라 문서 과제카드를 잘못 지정하였습니다. 변경 가능할까요?")</f>
        <v>온나라 문서 과제카드를 잘못 지정하였습니다. 변경 가능할까요?</v>
      </c>
    </row>
    <row r="210">
      <c r="A210" s="188">
        <f>IFERROR(__xludf.DUMMYFUNCTION("""COMPUTED_VALUE"""),365.0)</f>
        <v>365</v>
      </c>
      <c r="B210" s="188" t="str">
        <f>IFERROR(__xludf.DUMMYFUNCTION("""COMPUTED_VALUE"""),"공무원 및 공무직 직원복지지원시스템 사용 방법을 알려주세요.")</f>
        <v>공무원 및 공무직 직원복지지원시스템 사용 방법을 알려주세요.</v>
      </c>
    </row>
    <row r="211">
      <c r="A211" s="188">
        <f>IFERROR(__xludf.DUMMYFUNCTION("""COMPUTED_VALUE"""),369.0)</f>
        <v>369</v>
      </c>
      <c r="B211" s="188" t="str">
        <f>IFERROR(__xludf.DUMMYFUNCTION("""COMPUTED_VALUE"""),"엑셀, 한글 등 SW프로그램을 새로 다운받는 방법을 알려주세요")</f>
        <v>엑셀, 한글 등 SW프로그램을 새로 다운받는 방법을 알려주세요</v>
      </c>
    </row>
    <row r="212">
      <c r="A212" s="188">
        <f>IFERROR(__xludf.DUMMYFUNCTION("""COMPUTED_VALUE"""),370.0)</f>
        <v>370</v>
      </c>
      <c r="B212" s="188" t="str">
        <f>IFERROR(__xludf.DUMMYFUNCTION("""COMPUTED_VALUE"""),"공무원증 신청 방법 알려줘")</f>
        <v>공무원증 신청 방법 알려줘</v>
      </c>
    </row>
    <row r="213">
      <c r="A213" s="188">
        <f>IFERROR(__xludf.DUMMYFUNCTION("""COMPUTED_VALUE"""),375.0)</f>
        <v>375</v>
      </c>
      <c r="B213" s="188" t="str">
        <f>IFERROR(__xludf.DUMMYFUNCTION("""COMPUTED_VALUE"""),"관내출장 시 18:00 이후 복귀하여도 출장 시간 인정이 되는지 궁금합니다.")</f>
        <v>관내출장 시 18:00 이후 복귀하여도 출장 시간 인정이 되는지 궁금합니다.</v>
      </c>
    </row>
    <row r="214">
      <c r="A214" s="188">
        <f>IFERROR(__xludf.DUMMYFUNCTION("""COMPUTED_VALUE"""),377.0)</f>
        <v>377</v>
      </c>
      <c r="B214" s="188" t="str">
        <f>IFERROR(__xludf.DUMMYFUNCTION("""COMPUTED_VALUE"""),"예산 수시 배정 절차가 궁금합니다.")</f>
        <v>예산 수시 배정 절차가 궁금합니다.</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pageSetUpPr/>
  </sheetPr>
  <sheetViews>
    <sheetView workbookViewId="0">
      <pane ySplit="3.0" topLeftCell="A4" activePane="bottomLeft" state="frozen"/>
      <selection activeCell="B5" sqref="B5" pane="bottomLeft"/>
    </sheetView>
  </sheetViews>
  <sheetFormatPr customHeight="1" defaultColWidth="14.43" defaultRowHeight="15.0"/>
  <cols>
    <col customWidth="1" min="1" max="1" width="7.71"/>
    <col customWidth="1" min="2" max="2" width="16.29"/>
    <col customWidth="1" min="3" max="3" width="33.43"/>
    <col customWidth="1" min="4" max="4" width="70.71"/>
    <col customWidth="1" min="5" max="5" width="20.86"/>
    <col customWidth="1" min="6" max="6" width="13.86"/>
    <col customWidth="1" min="7" max="7" width="70.86"/>
    <col customWidth="1" min="8" max="10" width="11.43"/>
    <col customWidth="1" min="11" max="11" width="10.86"/>
    <col customWidth="1" min="12" max="12" width="50.86"/>
    <col customWidth="1" min="13" max="13" width="40.86"/>
    <col customWidth="1" min="14" max="27" width="8.71"/>
  </cols>
  <sheetData>
    <row r="1" ht="15.0" customHeight="1">
      <c r="A1" s="1" t="s">
        <v>2542</v>
      </c>
      <c r="H1" s="189" t="s">
        <v>2543</v>
      </c>
      <c r="I1" s="190"/>
      <c r="J1" s="189" t="s">
        <v>2544</v>
      </c>
      <c r="K1" s="191" t="s">
        <v>2545</v>
      </c>
      <c r="L1" s="13"/>
      <c r="M1" s="13"/>
      <c r="N1" s="13"/>
      <c r="O1" s="13"/>
      <c r="P1" s="13"/>
      <c r="Q1" s="13"/>
      <c r="R1" s="13"/>
      <c r="S1" s="13"/>
      <c r="T1" s="13"/>
      <c r="U1" s="13"/>
      <c r="V1" s="13"/>
      <c r="W1" s="13"/>
      <c r="X1" s="13"/>
      <c r="Y1" s="13"/>
      <c r="Z1" s="13"/>
      <c r="AA1" s="13"/>
    </row>
    <row r="2" ht="24.75" customHeight="1">
      <c r="H2" s="192">
        <f>COUNTIF(H4:H381,TRUE)</f>
        <v>33</v>
      </c>
      <c r="J2" s="193">
        <f>COUNTIF(J4:J381,"반영")</f>
        <v>216</v>
      </c>
      <c r="K2" s="194">
        <f>COUNTIF(K4:K381,TRUE)</f>
        <v>0</v>
      </c>
      <c r="L2" s="195" t="s">
        <v>10</v>
      </c>
      <c r="M2" s="17"/>
      <c r="N2" s="13"/>
      <c r="O2" s="13"/>
      <c r="P2" s="13"/>
      <c r="Q2" s="13"/>
      <c r="R2" s="13"/>
      <c r="S2" s="13"/>
      <c r="T2" s="13"/>
      <c r="U2" s="13"/>
      <c r="V2" s="13"/>
      <c r="W2" s="13"/>
      <c r="X2" s="13"/>
      <c r="Y2" s="13"/>
      <c r="Z2" s="13"/>
      <c r="AA2" s="13"/>
    </row>
    <row r="3" ht="30.0" customHeight="1">
      <c r="A3" s="196" t="s">
        <v>12</v>
      </c>
      <c r="B3" s="196" t="s">
        <v>2546</v>
      </c>
      <c r="C3" s="196" t="s">
        <v>13</v>
      </c>
      <c r="D3" s="196" t="s">
        <v>2547</v>
      </c>
      <c r="E3" s="196" t="s">
        <v>2548</v>
      </c>
      <c r="F3" s="197" t="s">
        <v>2549</v>
      </c>
      <c r="G3" s="196" t="s">
        <v>2550</v>
      </c>
      <c r="H3" s="198" t="s">
        <v>2551</v>
      </c>
      <c r="I3" s="199" t="s">
        <v>2552</v>
      </c>
      <c r="J3" s="200" t="s">
        <v>2553</v>
      </c>
      <c r="K3" s="201" t="s">
        <v>24</v>
      </c>
      <c r="L3" s="202" t="s">
        <v>25</v>
      </c>
      <c r="M3" s="202" t="s">
        <v>26</v>
      </c>
      <c r="N3" s="13"/>
      <c r="O3" s="13"/>
      <c r="P3" s="13"/>
      <c r="Q3" s="13"/>
      <c r="R3" s="13"/>
      <c r="S3" s="13"/>
      <c r="T3" s="13"/>
      <c r="U3" s="13"/>
      <c r="V3" s="13"/>
      <c r="W3" s="13"/>
      <c r="X3" s="13"/>
      <c r="Y3" s="13"/>
      <c r="Z3" s="13"/>
      <c r="AA3" s="13"/>
    </row>
    <row r="4" ht="233.25" customHeight="1">
      <c r="A4" s="203">
        <v>1.0</v>
      </c>
      <c r="B4" s="204" t="s">
        <v>2554</v>
      </c>
      <c r="C4" s="205" t="s">
        <v>2428</v>
      </c>
      <c r="D4" s="206" t="s">
        <v>2429</v>
      </c>
      <c r="E4" s="64" t="s">
        <v>121</v>
      </c>
      <c r="F4" s="82" t="s">
        <v>122</v>
      </c>
      <c r="G4" s="35" t="s">
        <v>2430</v>
      </c>
      <c r="H4" s="207" t="b">
        <v>1</v>
      </c>
      <c r="I4" s="208">
        <v>45985.0</v>
      </c>
      <c r="J4" s="208" t="s">
        <v>2555</v>
      </c>
      <c r="K4" s="209" t="b">
        <v>0</v>
      </c>
      <c r="L4" s="35"/>
      <c r="M4" s="35"/>
      <c r="N4" s="13"/>
      <c r="O4" s="13"/>
      <c r="P4" s="13"/>
      <c r="Q4" s="13"/>
      <c r="R4" s="13"/>
      <c r="S4" s="13"/>
      <c r="T4" s="13"/>
      <c r="U4" s="13"/>
      <c r="V4" s="13"/>
      <c r="W4" s="13"/>
      <c r="X4" s="13"/>
      <c r="Y4" s="13"/>
      <c r="Z4" s="13"/>
      <c r="AA4" s="13"/>
    </row>
    <row r="5" ht="274.5" hidden="1" customHeight="1">
      <c r="A5" s="210">
        <v>2.0</v>
      </c>
      <c r="B5" s="204" t="s">
        <v>2554</v>
      </c>
      <c r="C5" s="205" t="s">
        <v>2556</v>
      </c>
      <c r="D5" s="206" t="s">
        <v>2557</v>
      </c>
      <c r="E5" s="206" t="s">
        <v>2558</v>
      </c>
      <c r="F5" s="206" t="s">
        <v>2559</v>
      </c>
      <c r="G5" s="206" t="s">
        <v>2560</v>
      </c>
      <c r="H5" s="208"/>
      <c r="I5" s="208">
        <v>45985.0</v>
      </c>
      <c r="J5" s="208" t="s">
        <v>2561</v>
      </c>
      <c r="K5" s="211" t="b">
        <v>0</v>
      </c>
      <c r="L5" s="35"/>
      <c r="M5" s="35"/>
      <c r="N5" s="13"/>
      <c r="O5" s="13"/>
      <c r="P5" s="13"/>
      <c r="Q5" s="13"/>
      <c r="R5" s="13"/>
      <c r="S5" s="13"/>
      <c r="T5" s="13"/>
      <c r="U5" s="13"/>
      <c r="V5" s="13"/>
      <c r="W5" s="13"/>
      <c r="X5" s="13"/>
      <c r="Y5" s="13"/>
      <c r="Z5" s="13"/>
      <c r="AA5" s="13"/>
    </row>
    <row r="6" ht="16.5" customHeight="1">
      <c r="A6" s="203">
        <v>3.0</v>
      </c>
      <c r="B6" s="204" t="s">
        <v>2562</v>
      </c>
      <c r="C6" s="205" t="s">
        <v>2431</v>
      </c>
      <c r="D6" s="206" t="s">
        <v>2432</v>
      </c>
      <c r="E6" s="212" t="s">
        <v>2433</v>
      </c>
      <c r="F6" s="213" t="s">
        <v>2434</v>
      </c>
      <c r="G6" s="206" t="s">
        <v>2435</v>
      </c>
      <c r="H6" s="207" t="b">
        <v>1</v>
      </c>
      <c r="I6" s="208">
        <v>45985.0</v>
      </c>
      <c r="J6" s="208" t="s">
        <v>2555</v>
      </c>
      <c r="K6" s="209" t="b">
        <v>0</v>
      </c>
      <c r="L6" s="35"/>
      <c r="M6" s="35"/>
      <c r="N6" s="13"/>
      <c r="O6" s="13"/>
      <c r="P6" s="13"/>
      <c r="Q6" s="13"/>
      <c r="R6" s="13"/>
      <c r="S6" s="13"/>
      <c r="T6" s="13"/>
      <c r="U6" s="13"/>
      <c r="V6" s="13"/>
      <c r="W6" s="13"/>
      <c r="X6" s="13"/>
      <c r="Y6" s="13"/>
      <c r="Z6" s="13"/>
      <c r="AA6" s="13"/>
    </row>
    <row r="7" ht="16.5" customHeight="1">
      <c r="A7" s="203">
        <v>4.0</v>
      </c>
      <c r="B7" s="204" t="s">
        <v>2562</v>
      </c>
      <c r="C7" s="205" t="s">
        <v>2436</v>
      </c>
      <c r="D7" s="206" t="s">
        <v>2437</v>
      </c>
      <c r="E7" s="212" t="s">
        <v>2433</v>
      </c>
      <c r="F7" s="213" t="s">
        <v>2438</v>
      </c>
      <c r="G7" s="206" t="s">
        <v>2439</v>
      </c>
      <c r="H7" s="207" t="b">
        <v>1</v>
      </c>
      <c r="I7" s="208">
        <v>45985.0</v>
      </c>
      <c r="J7" s="208" t="s">
        <v>2555</v>
      </c>
      <c r="K7" s="209" t="b">
        <v>0</v>
      </c>
      <c r="L7" s="35"/>
      <c r="M7" s="35"/>
      <c r="N7" s="13"/>
      <c r="O7" s="13"/>
      <c r="P7" s="13"/>
      <c r="Q7" s="13"/>
      <c r="R7" s="13"/>
      <c r="S7" s="13"/>
      <c r="T7" s="13"/>
      <c r="U7" s="13"/>
      <c r="V7" s="13"/>
      <c r="W7" s="13"/>
      <c r="X7" s="13"/>
      <c r="Y7" s="13"/>
      <c r="Z7" s="13"/>
      <c r="AA7" s="13"/>
    </row>
    <row r="8" ht="173.25" customHeight="1">
      <c r="A8" s="203">
        <v>5.0</v>
      </c>
      <c r="B8" s="204" t="s">
        <v>2562</v>
      </c>
      <c r="C8" s="205" t="s">
        <v>2440</v>
      </c>
      <c r="D8" s="206" t="s">
        <v>2441</v>
      </c>
      <c r="E8" s="214" t="s">
        <v>2442</v>
      </c>
      <c r="F8" s="215" t="s">
        <v>2443</v>
      </c>
      <c r="G8" s="206" t="s">
        <v>2444</v>
      </c>
      <c r="H8" s="207" t="b">
        <v>1</v>
      </c>
      <c r="I8" s="208">
        <v>45985.0</v>
      </c>
      <c r="J8" s="208" t="s">
        <v>2555</v>
      </c>
      <c r="K8" s="209" t="b">
        <v>0</v>
      </c>
      <c r="L8" s="35"/>
      <c r="M8" s="35"/>
      <c r="N8" s="13"/>
      <c r="O8" s="13"/>
      <c r="P8" s="13"/>
      <c r="Q8" s="13"/>
      <c r="R8" s="13"/>
      <c r="S8" s="13"/>
      <c r="T8" s="13"/>
      <c r="U8" s="13"/>
      <c r="V8" s="13"/>
      <c r="W8" s="13"/>
      <c r="X8" s="13"/>
      <c r="Y8" s="13"/>
      <c r="Z8" s="13"/>
      <c r="AA8" s="13"/>
    </row>
    <row r="9" ht="16.5" customHeight="1">
      <c r="A9" s="203">
        <v>6.0</v>
      </c>
      <c r="B9" s="204" t="s">
        <v>2554</v>
      </c>
      <c r="C9" s="205" t="s">
        <v>2445</v>
      </c>
      <c r="D9" s="206" t="s">
        <v>2446</v>
      </c>
      <c r="E9" s="212" t="s">
        <v>121</v>
      </c>
      <c r="F9" s="213" t="s">
        <v>2563</v>
      </c>
      <c r="G9" s="206" t="s">
        <v>2448</v>
      </c>
      <c r="H9" s="207" t="b">
        <v>1</v>
      </c>
      <c r="I9" s="208">
        <v>45985.0</v>
      </c>
      <c r="J9" s="208" t="s">
        <v>2555</v>
      </c>
      <c r="K9" s="209" t="b">
        <v>0</v>
      </c>
      <c r="L9" s="35"/>
      <c r="M9" s="35"/>
      <c r="N9" s="13"/>
      <c r="O9" s="13"/>
      <c r="P9" s="13"/>
      <c r="Q9" s="13"/>
      <c r="R9" s="13"/>
      <c r="S9" s="13"/>
      <c r="T9" s="13"/>
      <c r="U9" s="13"/>
      <c r="V9" s="13"/>
      <c r="W9" s="13"/>
      <c r="X9" s="13"/>
      <c r="Y9" s="13"/>
      <c r="Z9" s="13"/>
      <c r="AA9" s="13"/>
    </row>
    <row r="10" ht="16.5" hidden="1" customHeight="1">
      <c r="A10" s="203">
        <v>7.0</v>
      </c>
      <c r="B10" s="204" t="s">
        <v>2562</v>
      </c>
      <c r="C10" s="205" t="s">
        <v>2564</v>
      </c>
      <c r="D10" s="216" t="s">
        <v>2565</v>
      </c>
      <c r="E10" s="212" t="s">
        <v>2433</v>
      </c>
      <c r="F10" s="213" t="s">
        <v>2566</v>
      </c>
      <c r="G10" s="206" t="s">
        <v>2567</v>
      </c>
      <c r="H10" s="207" t="b">
        <v>0</v>
      </c>
      <c r="I10" s="208">
        <v>45985.0</v>
      </c>
      <c r="J10" s="208" t="s">
        <v>2555</v>
      </c>
      <c r="K10" s="209" t="b">
        <v>0</v>
      </c>
      <c r="L10" s="35"/>
      <c r="M10" s="35"/>
      <c r="N10" s="13"/>
      <c r="O10" s="13"/>
      <c r="P10" s="13"/>
      <c r="Q10" s="13"/>
      <c r="R10" s="13"/>
      <c r="S10" s="13"/>
      <c r="T10" s="13"/>
      <c r="U10" s="13"/>
      <c r="V10" s="13"/>
      <c r="W10" s="13"/>
      <c r="X10" s="13"/>
      <c r="Y10" s="13"/>
      <c r="Z10" s="13"/>
      <c r="AA10" s="13"/>
    </row>
    <row r="11" ht="16.5" hidden="1" customHeight="1">
      <c r="A11" s="203">
        <v>8.0</v>
      </c>
      <c r="B11" s="204" t="s">
        <v>2568</v>
      </c>
      <c r="C11" s="205" t="s">
        <v>2569</v>
      </c>
      <c r="D11" s="206" t="s">
        <v>2570</v>
      </c>
      <c r="E11" s="217" t="s">
        <v>2571</v>
      </c>
      <c r="F11" s="215" t="s">
        <v>933</v>
      </c>
      <c r="G11" s="206" t="s">
        <v>2572</v>
      </c>
      <c r="H11" s="218" t="b">
        <v>0</v>
      </c>
      <c r="I11" s="208">
        <v>45985.0</v>
      </c>
      <c r="J11" s="208" t="s">
        <v>2555</v>
      </c>
      <c r="K11" s="209" t="b">
        <v>0</v>
      </c>
      <c r="L11" s="35"/>
      <c r="M11" s="35"/>
      <c r="N11" s="13"/>
      <c r="O11" s="13"/>
      <c r="P11" s="13"/>
      <c r="Q11" s="13"/>
      <c r="R11" s="13"/>
      <c r="S11" s="13"/>
      <c r="T11" s="13"/>
      <c r="U11" s="13"/>
      <c r="V11" s="13"/>
      <c r="W11" s="13"/>
      <c r="X11" s="13"/>
      <c r="Y11" s="13"/>
      <c r="Z11" s="13"/>
      <c r="AA11" s="13"/>
    </row>
    <row r="12" ht="190.5" hidden="1" customHeight="1">
      <c r="A12" s="203">
        <v>9.0</v>
      </c>
      <c r="B12" s="204" t="s">
        <v>2568</v>
      </c>
      <c r="C12" s="205" t="s">
        <v>2573</v>
      </c>
      <c r="D12" s="206" t="s">
        <v>2574</v>
      </c>
      <c r="E12" s="219" t="s">
        <v>2575</v>
      </c>
      <c r="F12" s="215"/>
      <c r="G12" s="206" t="s">
        <v>2572</v>
      </c>
      <c r="H12" s="218" t="b">
        <v>0</v>
      </c>
      <c r="I12" s="208">
        <v>45985.0</v>
      </c>
      <c r="J12" s="208" t="s">
        <v>2555</v>
      </c>
      <c r="K12" s="209" t="b">
        <v>0</v>
      </c>
      <c r="L12" s="35"/>
      <c r="M12" s="35"/>
      <c r="N12" s="13"/>
      <c r="O12" s="13"/>
      <c r="P12" s="13"/>
      <c r="Q12" s="13"/>
      <c r="R12" s="13"/>
      <c r="S12" s="13"/>
      <c r="T12" s="13"/>
      <c r="U12" s="13"/>
      <c r="V12" s="13"/>
      <c r="W12" s="13"/>
      <c r="X12" s="13"/>
      <c r="Y12" s="13"/>
      <c r="Z12" s="13"/>
      <c r="AA12" s="13"/>
    </row>
    <row r="13" ht="16.5" hidden="1" customHeight="1">
      <c r="A13" s="203">
        <v>10.0</v>
      </c>
      <c r="B13" s="204" t="s">
        <v>2562</v>
      </c>
      <c r="C13" s="205" t="s">
        <v>2576</v>
      </c>
      <c r="D13" s="206" t="s">
        <v>2577</v>
      </c>
      <c r="E13" s="217" t="s">
        <v>2578</v>
      </c>
      <c r="F13" s="215" t="s">
        <v>173</v>
      </c>
      <c r="G13" s="220" t="s">
        <v>2579</v>
      </c>
      <c r="H13" s="218" t="b">
        <v>0</v>
      </c>
      <c r="I13" s="208">
        <v>45985.0</v>
      </c>
      <c r="J13" s="208" t="s">
        <v>2555</v>
      </c>
      <c r="K13" s="209" t="b">
        <v>0</v>
      </c>
      <c r="L13" s="35"/>
      <c r="M13" s="35"/>
      <c r="N13" s="13"/>
      <c r="O13" s="13"/>
      <c r="P13" s="13"/>
      <c r="Q13" s="13"/>
      <c r="R13" s="13"/>
      <c r="S13" s="13"/>
      <c r="T13" s="13"/>
      <c r="U13" s="13"/>
      <c r="V13" s="13"/>
      <c r="W13" s="13"/>
      <c r="X13" s="13"/>
      <c r="Y13" s="13"/>
      <c r="Z13" s="13"/>
      <c r="AA13" s="13"/>
    </row>
    <row r="14" ht="16.5" hidden="1" customHeight="1">
      <c r="A14" s="203">
        <v>11.0</v>
      </c>
      <c r="B14" s="204" t="s">
        <v>2562</v>
      </c>
      <c r="C14" s="205" t="s">
        <v>2580</v>
      </c>
      <c r="D14" s="206" t="s">
        <v>2581</v>
      </c>
      <c r="E14" s="217" t="s">
        <v>2582</v>
      </c>
      <c r="F14" s="215" t="s">
        <v>2583</v>
      </c>
      <c r="G14" s="206" t="s">
        <v>2581</v>
      </c>
      <c r="H14" s="218" t="b">
        <v>0</v>
      </c>
      <c r="I14" s="208">
        <v>45985.0</v>
      </c>
      <c r="J14" s="208" t="s">
        <v>2555</v>
      </c>
      <c r="K14" s="209" t="b">
        <v>0</v>
      </c>
      <c r="L14" s="35"/>
      <c r="M14" s="35"/>
      <c r="N14" s="13"/>
      <c r="O14" s="13"/>
      <c r="P14" s="13"/>
      <c r="Q14" s="13"/>
      <c r="R14" s="13"/>
      <c r="S14" s="13"/>
      <c r="T14" s="13"/>
      <c r="U14" s="13"/>
      <c r="V14" s="13"/>
      <c r="W14" s="13"/>
      <c r="X14" s="13"/>
      <c r="Y14" s="13"/>
      <c r="Z14" s="13"/>
      <c r="AA14" s="13"/>
    </row>
    <row r="15" ht="16.5" hidden="1" customHeight="1">
      <c r="A15" s="203">
        <v>12.0</v>
      </c>
      <c r="B15" s="204" t="s">
        <v>2562</v>
      </c>
      <c r="C15" s="205" t="s">
        <v>2584</v>
      </c>
      <c r="D15" s="206" t="s">
        <v>2585</v>
      </c>
      <c r="E15" s="217" t="s">
        <v>2582</v>
      </c>
      <c r="F15" s="215" t="s">
        <v>2582</v>
      </c>
      <c r="G15" s="206" t="s">
        <v>2585</v>
      </c>
      <c r="H15" s="218" t="b">
        <v>0</v>
      </c>
      <c r="I15" s="208">
        <v>45985.0</v>
      </c>
      <c r="J15" s="208" t="s">
        <v>2555</v>
      </c>
      <c r="K15" s="209" t="b">
        <v>0</v>
      </c>
      <c r="L15" s="35"/>
      <c r="M15" s="35"/>
      <c r="N15" s="13"/>
      <c r="O15" s="13"/>
      <c r="P15" s="13"/>
      <c r="Q15" s="13"/>
      <c r="R15" s="13"/>
      <c r="S15" s="13"/>
      <c r="T15" s="13"/>
      <c r="U15" s="13"/>
      <c r="V15" s="13"/>
      <c r="W15" s="13"/>
      <c r="X15" s="13"/>
      <c r="Y15" s="13"/>
      <c r="Z15" s="13"/>
      <c r="AA15" s="13"/>
    </row>
    <row r="16" ht="16.5" customHeight="1">
      <c r="A16" s="203">
        <v>13.0</v>
      </c>
      <c r="B16" s="204" t="s">
        <v>2562</v>
      </c>
      <c r="C16" s="205" t="s">
        <v>2449</v>
      </c>
      <c r="D16" s="206" t="s">
        <v>2450</v>
      </c>
      <c r="E16" s="214" t="s">
        <v>2451</v>
      </c>
      <c r="F16" s="213" t="s">
        <v>173</v>
      </c>
      <c r="G16" s="206" t="s">
        <v>2586</v>
      </c>
      <c r="H16" s="207" t="b">
        <v>1</v>
      </c>
      <c r="I16" s="208">
        <v>45985.0</v>
      </c>
      <c r="J16" s="208" t="s">
        <v>2555</v>
      </c>
      <c r="K16" s="209" t="b">
        <v>0</v>
      </c>
      <c r="L16" s="35"/>
      <c r="M16" s="35"/>
      <c r="N16" s="13"/>
      <c r="O16" s="13"/>
      <c r="P16" s="13"/>
      <c r="Q16" s="13"/>
      <c r="R16" s="13"/>
      <c r="S16" s="13"/>
      <c r="T16" s="13"/>
      <c r="U16" s="13"/>
      <c r="V16" s="13"/>
      <c r="W16" s="13"/>
      <c r="X16" s="13"/>
      <c r="Y16" s="13"/>
      <c r="Z16" s="13"/>
      <c r="AA16" s="13"/>
    </row>
    <row r="17" ht="16.5" hidden="1" customHeight="1">
      <c r="A17" s="203">
        <v>14.0</v>
      </c>
      <c r="B17" s="204" t="s">
        <v>2562</v>
      </c>
      <c r="C17" s="205" t="s">
        <v>2587</v>
      </c>
      <c r="D17" s="206" t="s">
        <v>2588</v>
      </c>
      <c r="E17" s="217" t="s">
        <v>2582</v>
      </c>
      <c r="F17" s="215" t="s">
        <v>2582</v>
      </c>
      <c r="G17" s="206" t="s">
        <v>2588</v>
      </c>
      <c r="H17" s="218" t="b">
        <v>0</v>
      </c>
      <c r="I17" s="208">
        <v>45985.0</v>
      </c>
      <c r="J17" s="208" t="s">
        <v>2555</v>
      </c>
      <c r="K17" s="209" t="b">
        <v>0</v>
      </c>
      <c r="L17" s="35"/>
      <c r="M17" s="35"/>
      <c r="N17" s="13"/>
      <c r="O17" s="13"/>
      <c r="P17" s="13"/>
      <c r="Q17" s="13"/>
      <c r="R17" s="13"/>
      <c r="S17" s="13"/>
      <c r="T17" s="13"/>
      <c r="U17" s="13"/>
      <c r="V17" s="13"/>
      <c r="W17" s="13"/>
      <c r="X17" s="13"/>
      <c r="Y17" s="13"/>
      <c r="Z17" s="13"/>
      <c r="AA17" s="13"/>
    </row>
    <row r="18" ht="16.5" customHeight="1">
      <c r="A18" s="203">
        <v>15.0</v>
      </c>
      <c r="B18" s="204" t="s">
        <v>2562</v>
      </c>
      <c r="C18" s="205" t="s">
        <v>2453</v>
      </c>
      <c r="D18" s="206" t="s">
        <v>2454</v>
      </c>
      <c r="E18" s="212" t="s">
        <v>2433</v>
      </c>
      <c r="F18" s="213" t="s">
        <v>2455</v>
      </c>
      <c r="G18" s="206" t="s">
        <v>2456</v>
      </c>
      <c r="H18" s="207" t="b">
        <v>1</v>
      </c>
      <c r="I18" s="208">
        <v>45985.0</v>
      </c>
      <c r="J18" s="208" t="s">
        <v>2555</v>
      </c>
      <c r="K18" s="209" t="b">
        <v>0</v>
      </c>
      <c r="L18" s="35"/>
      <c r="M18" s="35"/>
      <c r="N18" s="13"/>
      <c r="O18" s="13"/>
      <c r="P18" s="13"/>
      <c r="Q18" s="13"/>
      <c r="R18" s="13"/>
      <c r="S18" s="13"/>
      <c r="T18" s="13"/>
      <c r="U18" s="13"/>
      <c r="V18" s="13"/>
      <c r="W18" s="13"/>
      <c r="X18" s="13"/>
      <c r="Y18" s="13"/>
      <c r="Z18" s="13"/>
      <c r="AA18" s="13"/>
    </row>
    <row r="19" ht="16.5" customHeight="1">
      <c r="A19" s="203">
        <v>16.0</v>
      </c>
      <c r="B19" s="204" t="s">
        <v>2589</v>
      </c>
      <c r="C19" s="205" t="s">
        <v>2457</v>
      </c>
      <c r="D19" s="206" t="s">
        <v>2458</v>
      </c>
      <c r="E19" s="214" t="s">
        <v>2459</v>
      </c>
      <c r="F19" s="213" t="s">
        <v>2590</v>
      </c>
      <c r="G19" s="206" t="s">
        <v>2461</v>
      </c>
      <c r="H19" s="207" t="b">
        <v>1</v>
      </c>
      <c r="I19" s="208">
        <v>45986.0</v>
      </c>
      <c r="J19" s="208" t="s">
        <v>2555</v>
      </c>
      <c r="K19" s="209" t="b">
        <v>0</v>
      </c>
      <c r="L19" s="35"/>
      <c r="M19" s="35"/>
      <c r="N19" s="13"/>
      <c r="O19" s="13"/>
      <c r="P19" s="13"/>
      <c r="Q19" s="13"/>
      <c r="R19" s="13"/>
      <c r="S19" s="13"/>
      <c r="T19" s="13"/>
      <c r="U19" s="13"/>
      <c r="V19" s="13"/>
      <c r="W19" s="13"/>
      <c r="X19" s="13"/>
      <c r="Y19" s="13"/>
      <c r="Z19" s="13"/>
      <c r="AA19" s="13"/>
    </row>
    <row r="20" ht="16.5" hidden="1" customHeight="1">
      <c r="A20" s="203">
        <v>17.0</v>
      </c>
      <c r="B20" s="204" t="s">
        <v>2589</v>
      </c>
      <c r="C20" s="205" t="s">
        <v>2591</v>
      </c>
      <c r="D20" s="216" t="s">
        <v>2592</v>
      </c>
      <c r="E20" s="214" t="s">
        <v>2459</v>
      </c>
      <c r="F20" s="215" t="s">
        <v>2593</v>
      </c>
      <c r="G20" s="206" t="s">
        <v>2594</v>
      </c>
      <c r="H20" s="207" t="b">
        <v>0</v>
      </c>
      <c r="I20" s="208">
        <v>45986.0</v>
      </c>
      <c r="J20" s="208" t="s">
        <v>2555</v>
      </c>
      <c r="K20" s="209" t="b">
        <v>0</v>
      </c>
      <c r="L20" s="35"/>
      <c r="M20" s="35"/>
      <c r="N20" s="13"/>
      <c r="O20" s="13"/>
      <c r="P20" s="13"/>
      <c r="Q20" s="13"/>
      <c r="R20" s="13"/>
      <c r="S20" s="13"/>
      <c r="T20" s="13"/>
      <c r="U20" s="13"/>
      <c r="V20" s="13"/>
      <c r="W20" s="13"/>
      <c r="X20" s="13"/>
      <c r="Y20" s="13"/>
      <c r="Z20" s="13"/>
      <c r="AA20" s="13"/>
    </row>
    <row r="21" ht="16.5" customHeight="1">
      <c r="A21" s="203">
        <v>18.0</v>
      </c>
      <c r="B21" s="204" t="s">
        <v>2589</v>
      </c>
      <c r="C21" s="205" t="s">
        <v>2462</v>
      </c>
      <c r="D21" s="206" t="s">
        <v>2463</v>
      </c>
      <c r="E21" s="214" t="s">
        <v>2459</v>
      </c>
      <c r="F21" s="213" t="s">
        <v>2595</v>
      </c>
      <c r="G21" s="206" t="s">
        <v>2465</v>
      </c>
      <c r="H21" s="207" t="b">
        <v>1</v>
      </c>
      <c r="I21" s="208">
        <v>45986.0</v>
      </c>
      <c r="J21" s="208" t="s">
        <v>2555</v>
      </c>
      <c r="K21" s="209" t="b">
        <v>0</v>
      </c>
      <c r="L21" s="35"/>
      <c r="M21" s="35"/>
      <c r="N21" s="13"/>
      <c r="O21" s="13"/>
      <c r="P21" s="13"/>
      <c r="Q21" s="13"/>
      <c r="R21" s="13"/>
      <c r="S21" s="13"/>
      <c r="T21" s="13"/>
      <c r="U21" s="13"/>
      <c r="V21" s="13"/>
      <c r="W21" s="13"/>
      <c r="X21" s="13"/>
      <c r="Y21" s="13"/>
      <c r="Z21" s="13"/>
      <c r="AA21" s="13"/>
    </row>
    <row r="22" ht="16.5" hidden="1" customHeight="1">
      <c r="A22" s="203">
        <v>19.0</v>
      </c>
      <c r="B22" s="204" t="s">
        <v>2589</v>
      </c>
      <c r="C22" s="205" t="s">
        <v>2596</v>
      </c>
      <c r="D22" s="221" t="s">
        <v>2597</v>
      </c>
      <c r="E22" s="221" t="s">
        <v>2598</v>
      </c>
      <c r="F22" s="222" t="s">
        <v>2599</v>
      </c>
      <c r="G22" s="206" t="s">
        <v>2600</v>
      </c>
      <c r="H22" s="218" t="b">
        <v>0</v>
      </c>
      <c r="I22" s="208">
        <v>45986.0</v>
      </c>
      <c r="J22" s="208" t="s">
        <v>2555</v>
      </c>
      <c r="K22" s="209" t="b">
        <v>0</v>
      </c>
      <c r="L22" s="35"/>
      <c r="M22" s="35"/>
      <c r="N22" s="13"/>
      <c r="O22" s="13"/>
      <c r="P22" s="13"/>
      <c r="Q22" s="13"/>
      <c r="R22" s="13"/>
      <c r="S22" s="13"/>
      <c r="T22" s="13"/>
      <c r="U22" s="13"/>
      <c r="V22" s="13"/>
      <c r="W22" s="13"/>
      <c r="X22" s="13"/>
      <c r="Y22" s="13"/>
      <c r="Z22" s="13"/>
      <c r="AA22" s="13"/>
    </row>
    <row r="23" ht="16.5" customHeight="1">
      <c r="A23" s="203">
        <v>20.0</v>
      </c>
      <c r="B23" s="204" t="s">
        <v>2601</v>
      </c>
      <c r="C23" s="205" t="s">
        <v>2466</v>
      </c>
      <c r="D23" s="206" t="s">
        <v>2602</v>
      </c>
      <c r="E23" s="214" t="s">
        <v>2468</v>
      </c>
      <c r="F23" s="215" t="s">
        <v>721</v>
      </c>
      <c r="G23" s="206" t="s">
        <v>2469</v>
      </c>
      <c r="H23" s="207" t="b">
        <v>1</v>
      </c>
      <c r="I23" s="208">
        <v>45986.0</v>
      </c>
      <c r="J23" s="208" t="s">
        <v>2555</v>
      </c>
      <c r="K23" s="209" t="b">
        <v>0</v>
      </c>
      <c r="L23" s="35"/>
      <c r="M23" s="35"/>
      <c r="N23" s="13"/>
      <c r="O23" s="13"/>
      <c r="P23" s="13"/>
      <c r="Q23" s="13"/>
      <c r="R23" s="13"/>
      <c r="S23" s="13"/>
      <c r="T23" s="13"/>
      <c r="U23" s="13"/>
      <c r="V23" s="13"/>
      <c r="W23" s="13"/>
      <c r="X23" s="13"/>
      <c r="Y23" s="13"/>
      <c r="Z23" s="13"/>
      <c r="AA23" s="13"/>
    </row>
    <row r="24" ht="16.5" customHeight="1">
      <c r="A24" s="203">
        <v>21.0</v>
      </c>
      <c r="B24" s="204" t="s">
        <v>2601</v>
      </c>
      <c r="C24" s="205" t="s">
        <v>2470</v>
      </c>
      <c r="D24" s="206" t="s">
        <v>2471</v>
      </c>
      <c r="E24" s="214" t="s">
        <v>2468</v>
      </c>
      <c r="F24" s="215" t="s">
        <v>2472</v>
      </c>
      <c r="G24" s="206" t="s">
        <v>2469</v>
      </c>
      <c r="H24" s="207" t="b">
        <v>1</v>
      </c>
      <c r="I24" s="208">
        <v>45986.0</v>
      </c>
      <c r="J24" s="208" t="s">
        <v>2555</v>
      </c>
      <c r="K24" s="209" t="b">
        <v>0</v>
      </c>
      <c r="L24" s="35"/>
      <c r="M24" s="35"/>
      <c r="N24" s="13"/>
      <c r="O24" s="13"/>
      <c r="P24" s="13"/>
      <c r="Q24" s="13"/>
      <c r="R24" s="13"/>
      <c r="S24" s="13"/>
      <c r="T24" s="13"/>
      <c r="U24" s="13"/>
      <c r="V24" s="13"/>
      <c r="W24" s="13"/>
      <c r="X24" s="13"/>
      <c r="Y24" s="13"/>
      <c r="Z24" s="13"/>
      <c r="AA24" s="13"/>
    </row>
    <row r="25" ht="16.5" customHeight="1">
      <c r="A25" s="203">
        <v>22.0</v>
      </c>
      <c r="B25" s="204" t="s">
        <v>2601</v>
      </c>
      <c r="C25" s="205" t="s">
        <v>2473</v>
      </c>
      <c r="D25" s="206" t="s">
        <v>2474</v>
      </c>
      <c r="E25" s="214" t="s">
        <v>2468</v>
      </c>
      <c r="F25" s="215" t="s">
        <v>290</v>
      </c>
      <c r="G25" s="206" t="s">
        <v>2469</v>
      </c>
      <c r="H25" s="207" t="b">
        <v>1</v>
      </c>
      <c r="I25" s="208">
        <v>45986.0</v>
      </c>
      <c r="J25" s="208" t="s">
        <v>2555</v>
      </c>
      <c r="K25" s="209" t="b">
        <v>0</v>
      </c>
      <c r="L25" s="35"/>
      <c r="M25" s="35"/>
      <c r="N25" s="13"/>
      <c r="O25" s="13"/>
      <c r="P25" s="13"/>
      <c r="Q25" s="13"/>
      <c r="R25" s="13"/>
      <c r="S25" s="13"/>
      <c r="T25" s="13"/>
      <c r="U25" s="13"/>
      <c r="V25" s="13"/>
      <c r="W25" s="13"/>
      <c r="X25" s="13"/>
      <c r="Y25" s="13"/>
      <c r="Z25" s="13"/>
      <c r="AA25" s="13"/>
    </row>
    <row r="26" ht="16.5" customHeight="1">
      <c r="A26" s="203">
        <v>23.0</v>
      </c>
      <c r="B26" s="204" t="s">
        <v>2601</v>
      </c>
      <c r="C26" s="205" t="s">
        <v>2475</v>
      </c>
      <c r="D26" s="206" t="s">
        <v>2476</v>
      </c>
      <c r="E26" s="214" t="s">
        <v>2468</v>
      </c>
      <c r="F26" s="215" t="s">
        <v>290</v>
      </c>
      <c r="G26" s="206" t="s">
        <v>2469</v>
      </c>
      <c r="H26" s="207" t="b">
        <v>1</v>
      </c>
      <c r="I26" s="208">
        <v>45986.0</v>
      </c>
      <c r="J26" s="208" t="s">
        <v>2555</v>
      </c>
      <c r="K26" s="209" t="b">
        <v>0</v>
      </c>
      <c r="L26" s="35"/>
      <c r="M26" s="35"/>
      <c r="N26" s="13"/>
      <c r="O26" s="13"/>
      <c r="P26" s="13"/>
      <c r="Q26" s="13"/>
      <c r="R26" s="13"/>
      <c r="S26" s="13"/>
      <c r="T26" s="13"/>
      <c r="U26" s="13"/>
      <c r="V26" s="13"/>
      <c r="W26" s="13"/>
      <c r="X26" s="13"/>
      <c r="Y26" s="13"/>
      <c r="Z26" s="13"/>
      <c r="AA26" s="13"/>
    </row>
    <row r="27" ht="16.5" customHeight="1">
      <c r="A27" s="203">
        <v>24.0</v>
      </c>
      <c r="B27" s="204" t="s">
        <v>2601</v>
      </c>
      <c r="C27" s="205" t="s">
        <v>2477</v>
      </c>
      <c r="D27" s="223" t="s">
        <v>2478</v>
      </c>
      <c r="E27" s="214" t="s">
        <v>2468</v>
      </c>
      <c r="F27" s="215" t="s">
        <v>1126</v>
      </c>
      <c r="G27" s="206" t="s">
        <v>2469</v>
      </c>
      <c r="H27" s="207" t="b">
        <v>1</v>
      </c>
      <c r="I27" s="208">
        <v>45986.0</v>
      </c>
      <c r="J27" s="208" t="s">
        <v>2555</v>
      </c>
      <c r="K27" s="209" t="b">
        <v>0</v>
      </c>
      <c r="L27" s="35"/>
      <c r="M27" s="35"/>
      <c r="N27" s="13"/>
      <c r="O27" s="13"/>
      <c r="P27" s="13"/>
      <c r="Q27" s="13"/>
      <c r="R27" s="13"/>
      <c r="S27" s="13"/>
      <c r="T27" s="13"/>
      <c r="U27" s="13"/>
      <c r="V27" s="13"/>
      <c r="W27" s="13"/>
      <c r="X27" s="13"/>
      <c r="Y27" s="13"/>
      <c r="Z27" s="13"/>
      <c r="AA27" s="13"/>
    </row>
    <row r="28" ht="16.5" customHeight="1">
      <c r="A28" s="203">
        <v>25.0</v>
      </c>
      <c r="B28" s="204" t="s">
        <v>2601</v>
      </c>
      <c r="C28" s="205" t="s">
        <v>2479</v>
      </c>
      <c r="D28" s="223" t="s">
        <v>2480</v>
      </c>
      <c r="E28" s="214" t="s">
        <v>2468</v>
      </c>
      <c r="F28" s="215" t="s">
        <v>1126</v>
      </c>
      <c r="G28" s="206" t="s">
        <v>2469</v>
      </c>
      <c r="H28" s="207" t="b">
        <v>1</v>
      </c>
      <c r="I28" s="208">
        <v>45986.0</v>
      </c>
      <c r="J28" s="208" t="s">
        <v>2555</v>
      </c>
      <c r="K28" s="209" t="b">
        <v>0</v>
      </c>
      <c r="L28" s="35"/>
      <c r="M28" s="35"/>
      <c r="N28" s="13"/>
      <c r="O28" s="13"/>
      <c r="P28" s="13"/>
      <c r="Q28" s="13"/>
      <c r="R28" s="13"/>
      <c r="S28" s="13"/>
      <c r="T28" s="13"/>
      <c r="U28" s="13"/>
      <c r="V28" s="13"/>
      <c r="W28" s="13"/>
      <c r="X28" s="13"/>
      <c r="Y28" s="13"/>
      <c r="Z28" s="13"/>
      <c r="AA28" s="13"/>
    </row>
    <row r="29" ht="16.5" hidden="1" customHeight="1">
      <c r="A29" s="210">
        <v>26.0</v>
      </c>
      <c r="B29" s="210" t="s">
        <v>2554</v>
      </c>
      <c r="C29" s="205" t="s">
        <v>2603</v>
      </c>
      <c r="D29" s="206" t="s">
        <v>2604</v>
      </c>
      <c r="E29" s="206" t="s">
        <v>2605</v>
      </c>
      <c r="F29" s="206"/>
      <c r="G29" s="206" t="s">
        <v>2605</v>
      </c>
      <c r="H29" s="208"/>
      <c r="I29" s="208">
        <v>45986.0</v>
      </c>
      <c r="J29" s="208" t="s">
        <v>2561</v>
      </c>
      <c r="K29" s="211" t="b">
        <v>0</v>
      </c>
      <c r="L29" s="35"/>
      <c r="M29" s="35"/>
      <c r="N29" s="13"/>
      <c r="O29" s="13"/>
      <c r="P29" s="13"/>
      <c r="Q29" s="13"/>
      <c r="R29" s="13"/>
      <c r="S29" s="13"/>
      <c r="T29" s="13"/>
      <c r="U29" s="13"/>
      <c r="V29" s="13"/>
      <c r="W29" s="13"/>
      <c r="X29" s="13"/>
      <c r="Y29" s="13"/>
      <c r="Z29" s="13"/>
      <c r="AA29" s="13"/>
    </row>
    <row r="30" ht="16.5" customHeight="1">
      <c r="A30" s="203">
        <v>27.0</v>
      </c>
      <c r="B30" s="204" t="s">
        <v>2568</v>
      </c>
      <c r="C30" s="205" t="s">
        <v>2481</v>
      </c>
      <c r="D30" s="206" t="s">
        <v>2482</v>
      </c>
      <c r="E30" s="214" t="s">
        <v>2483</v>
      </c>
      <c r="F30" s="213" t="s">
        <v>2606</v>
      </c>
      <c r="G30" s="206" t="s">
        <v>2485</v>
      </c>
      <c r="H30" s="207" t="b">
        <v>1</v>
      </c>
      <c r="I30" s="208">
        <v>45986.0</v>
      </c>
      <c r="J30" s="208" t="s">
        <v>2555</v>
      </c>
      <c r="K30" s="209" t="b">
        <v>0</v>
      </c>
      <c r="L30" s="35"/>
      <c r="M30" s="35"/>
      <c r="N30" s="13"/>
      <c r="O30" s="13"/>
      <c r="P30" s="13"/>
      <c r="Q30" s="13"/>
      <c r="R30" s="13"/>
      <c r="S30" s="13"/>
      <c r="T30" s="13"/>
      <c r="U30" s="13"/>
      <c r="V30" s="13"/>
      <c r="W30" s="13"/>
      <c r="X30" s="13"/>
      <c r="Y30" s="13"/>
      <c r="Z30" s="13"/>
      <c r="AA30" s="13"/>
    </row>
    <row r="31" ht="16.5" customHeight="1">
      <c r="A31" s="203">
        <v>28.0</v>
      </c>
      <c r="B31" s="204" t="s">
        <v>2568</v>
      </c>
      <c r="C31" s="205" t="s">
        <v>2486</v>
      </c>
      <c r="D31" s="206" t="s">
        <v>2487</v>
      </c>
      <c r="E31" s="214" t="s">
        <v>2488</v>
      </c>
      <c r="F31" s="215" t="s">
        <v>173</v>
      </c>
      <c r="G31" s="206" t="s">
        <v>2485</v>
      </c>
      <c r="H31" s="207" t="b">
        <v>1</v>
      </c>
      <c r="I31" s="208">
        <v>45986.0</v>
      </c>
      <c r="J31" s="208" t="s">
        <v>2555</v>
      </c>
      <c r="K31" s="209" t="b">
        <v>0</v>
      </c>
      <c r="L31" s="35"/>
      <c r="M31" s="35"/>
      <c r="N31" s="13"/>
      <c r="O31" s="13"/>
      <c r="P31" s="13"/>
      <c r="Q31" s="13"/>
      <c r="R31" s="13"/>
      <c r="S31" s="13"/>
      <c r="T31" s="13"/>
      <c r="U31" s="13"/>
      <c r="V31" s="13"/>
      <c r="W31" s="13"/>
      <c r="X31" s="13"/>
      <c r="Y31" s="13"/>
      <c r="Z31" s="13"/>
      <c r="AA31" s="13"/>
    </row>
    <row r="32" ht="16.5" customHeight="1">
      <c r="A32" s="203">
        <v>29.0</v>
      </c>
      <c r="B32" s="204" t="s">
        <v>2589</v>
      </c>
      <c r="C32" s="205" t="s">
        <v>2489</v>
      </c>
      <c r="D32" s="206" t="s">
        <v>2607</v>
      </c>
      <c r="E32" s="214" t="s">
        <v>2491</v>
      </c>
      <c r="F32" s="215" t="s">
        <v>2109</v>
      </c>
      <c r="G32" s="206" t="s">
        <v>2485</v>
      </c>
      <c r="H32" s="207" t="b">
        <v>1</v>
      </c>
      <c r="I32" s="208">
        <v>45986.0</v>
      </c>
      <c r="J32" s="208" t="s">
        <v>2555</v>
      </c>
      <c r="K32" s="209" t="b">
        <v>0</v>
      </c>
      <c r="L32" s="35"/>
      <c r="M32" s="35"/>
      <c r="N32" s="13"/>
      <c r="O32" s="13"/>
      <c r="P32" s="13"/>
      <c r="Q32" s="13"/>
      <c r="R32" s="13"/>
      <c r="S32" s="13"/>
      <c r="T32" s="13"/>
      <c r="U32" s="13"/>
      <c r="V32" s="13"/>
      <c r="W32" s="13"/>
      <c r="X32" s="13"/>
      <c r="Y32" s="13"/>
      <c r="Z32" s="13"/>
      <c r="AA32" s="13"/>
    </row>
    <row r="33" ht="16.5" customHeight="1">
      <c r="A33" s="203">
        <v>30.0</v>
      </c>
      <c r="B33" s="204" t="s">
        <v>2589</v>
      </c>
      <c r="C33" s="205" t="s">
        <v>2492</v>
      </c>
      <c r="D33" s="206" t="s">
        <v>2493</v>
      </c>
      <c r="E33" s="214" t="s">
        <v>2494</v>
      </c>
      <c r="F33" s="215" t="s">
        <v>2495</v>
      </c>
      <c r="G33" s="206" t="s">
        <v>2485</v>
      </c>
      <c r="H33" s="207" t="b">
        <v>1</v>
      </c>
      <c r="I33" s="208">
        <v>45986.0</v>
      </c>
      <c r="J33" s="208" t="s">
        <v>2555</v>
      </c>
      <c r="K33" s="209" t="b">
        <v>0</v>
      </c>
      <c r="L33" s="35"/>
      <c r="M33" s="35"/>
      <c r="N33" s="13"/>
      <c r="O33" s="13"/>
      <c r="P33" s="13"/>
      <c r="Q33" s="13"/>
      <c r="R33" s="13"/>
      <c r="S33" s="13"/>
      <c r="T33" s="13"/>
      <c r="U33" s="13"/>
      <c r="V33" s="13"/>
      <c r="W33" s="13"/>
      <c r="X33" s="13"/>
      <c r="Y33" s="13"/>
      <c r="Z33" s="13"/>
      <c r="AA33" s="13"/>
    </row>
    <row r="34" ht="16.5" customHeight="1">
      <c r="A34" s="203">
        <v>31.0</v>
      </c>
      <c r="B34" s="204" t="s">
        <v>2554</v>
      </c>
      <c r="C34" s="205" t="s">
        <v>2496</v>
      </c>
      <c r="D34" s="206" t="s">
        <v>2497</v>
      </c>
      <c r="E34" s="214" t="s">
        <v>2498</v>
      </c>
      <c r="F34" s="213" t="s">
        <v>2499</v>
      </c>
      <c r="G34" s="206" t="s">
        <v>2500</v>
      </c>
      <c r="H34" s="207" t="b">
        <v>1</v>
      </c>
      <c r="I34" s="208">
        <v>45986.0</v>
      </c>
      <c r="J34" s="208" t="s">
        <v>2555</v>
      </c>
      <c r="K34" s="209" t="b">
        <v>0</v>
      </c>
      <c r="L34" s="35"/>
      <c r="M34" s="35"/>
      <c r="N34" s="13"/>
      <c r="O34" s="13"/>
      <c r="P34" s="13"/>
      <c r="Q34" s="13"/>
      <c r="R34" s="13"/>
      <c r="S34" s="13"/>
      <c r="T34" s="13"/>
      <c r="U34" s="13"/>
      <c r="V34" s="13"/>
      <c r="W34" s="13"/>
      <c r="X34" s="13"/>
      <c r="Y34" s="13"/>
      <c r="Z34" s="13"/>
      <c r="AA34" s="13"/>
    </row>
    <row r="35" ht="16.5" customHeight="1">
      <c r="A35" s="203">
        <v>32.0</v>
      </c>
      <c r="B35" s="204" t="s">
        <v>2554</v>
      </c>
      <c r="C35" s="205" t="s">
        <v>2501</v>
      </c>
      <c r="D35" s="206" t="s">
        <v>2608</v>
      </c>
      <c r="E35" s="214" t="s">
        <v>2498</v>
      </c>
      <c r="F35" s="213" t="s">
        <v>2503</v>
      </c>
      <c r="G35" s="206" t="s">
        <v>2500</v>
      </c>
      <c r="H35" s="207" t="b">
        <v>1</v>
      </c>
      <c r="I35" s="208">
        <v>45986.0</v>
      </c>
      <c r="J35" s="208" t="s">
        <v>2555</v>
      </c>
      <c r="K35" s="209" t="b">
        <v>0</v>
      </c>
      <c r="L35" s="35"/>
      <c r="M35" s="35"/>
      <c r="N35" s="13"/>
      <c r="O35" s="13"/>
      <c r="P35" s="13"/>
      <c r="Q35" s="13"/>
      <c r="R35" s="13"/>
      <c r="S35" s="13"/>
      <c r="T35" s="13"/>
      <c r="U35" s="13"/>
      <c r="V35" s="13"/>
      <c r="W35" s="13"/>
      <c r="X35" s="13"/>
      <c r="Y35" s="13"/>
      <c r="Z35" s="13"/>
      <c r="AA35" s="13"/>
    </row>
    <row r="36" ht="16.5" hidden="1" customHeight="1">
      <c r="A36" s="203">
        <v>33.0</v>
      </c>
      <c r="B36" s="204" t="s">
        <v>2609</v>
      </c>
      <c r="C36" s="205" t="s">
        <v>2610</v>
      </c>
      <c r="D36" s="206" t="s">
        <v>2611</v>
      </c>
      <c r="E36" s="217" t="s">
        <v>2612</v>
      </c>
      <c r="F36" s="215" t="s">
        <v>2613</v>
      </c>
      <c r="G36" s="206" t="s">
        <v>2614</v>
      </c>
      <c r="H36" s="218" t="b">
        <v>0</v>
      </c>
      <c r="I36" s="208">
        <v>45986.0</v>
      </c>
      <c r="J36" s="208" t="s">
        <v>2555</v>
      </c>
      <c r="K36" s="209" t="b">
        <v>0</v>
      </c>
      <c r="L36" s="35"/>
      <c r="M36" s="35"/>
      <c r="N36" s="13"/>
      <c r="O36" s="13"/>
      <c r="P36" s="13"/>
      <c r="Q36" s="13"/>
      <c r="R36" s="13"/>
      <c r="S36" s="13"/>
      <c r="T36" s="13"/>
      <c r="U36" s="13"/>
      <c r="V36" s="13"/>
      <c r="W36" s="13"/>
      <c r="X36" s="13"/>
      <c r="Y36" s="13"/>
      <c r="Z36" s="13"/>
      <c r="AA36" s="13"/>
    </row>
    <row r="37" ht="16.5" hidden="1" customHeight="1">
      <c r="A37" s="203">
        <v>34.0</v>
      </c>
      <c r="B37" s="204" t="s">
        <v>2609</v>
      </c>
      <c r="C37" s="205" t="s">
        <v>2615</v>
      </c>
      <c r="D37" s="206" t="s">
        <v>2616</v>
      </c>
      <c r="E37" s="217" t="s">
        <v>2617</v>
      </c>
      <c r="F37" s="215" t="s">
        <v>2618</v>
      </c>
      <c r="G37" s="206" t="s">
        <v>2614</v>
      </c>
      <c r="H37" s="218" t="b">
        <v>0</v>
      </c>
      <c r="I37" s="208">
        <v>45986.0</v>
      </c>
      <c r="J37" s="208" t="s">
        <v>2555</v>
      </c>
      <c r="K37" s="209" t="b">
        <v>0</v>
      </c>
      <c r="L37" s="35"/>
      <c r="M37" s="35"/>
      <c r="N37" s="13"/>
      <c r="O37" s="13"/>
      <c r="P37" s="13"/>
      <c r="Q37" s="13"/>
      <c r="R37" s="13"/>
      <c r="S37" s="13"/>
      <c r="T37" s="13"/>
      <c r="U37" s="13"/>
      <c r="V37" s="13"/>
      <c r="W37" s="13"/>
      <c r="X37" s="13"/>
      <c r="Y37" s="13"/>
      <c r="Z37" s="13"/>
      <c r="AA37" s="13"/>
    </row>
    <row r="38" ht="16.5" hidden="1" customHeight="1">
      <c r="A38" s="203">
        <v>35.0</v>
      </c>
      <c r="B38" s="204" t="s">
        <v>2601</v>
      </c>
      <c r="C38" s="205" t="s">
        <v>2619</v>
      </c>
      <c r="D38" s="216" t="s">
        <v>2620</v>
      </c>
      <c r="E38" s="214" t="s">
        <v>2621</v>
      </c>
      <c r="F38" s="213" t="s">
        <v>2622</v>
      </c>
      <c r="G38" s="206" t="s">
        <v>2623</v>
      </c>
      <c r="H38" s="207" t="b">
        <v>0</v>
      </c>
      <c r="I38" s="208">
        <v>45986.0</v>
      </c>
      <c r="J38" s="208" t="s">
        <v>2555</v>
      </c>
      <c r="K38" s="209" t="b">
        <v>0</v>
      </c>
      <c r="L38" s="35"/>
      <c r="M38" s="35"/>
      <c r="N38" s="13"/>
      <c r="O38" s="13"/>
      <c r="P38" s="13"/>
      <c r="Q38" s="13"/>
      <c r="R38" s="13"/>
      <c r="S38" s="13"/>
      <c r="T38" s="13"/>
      <c r="U38" s="13"/>
      <c r="V38" s="13"/>
      <c r="W38" s="13"/>
      <c r="X38" s="13"/>
      <c r="Y38" s="13"/>
      <c r="Z38" s="13"/>
      <c r="AA38" s="13"/>
    </row>
    <row r="39" ht="16.5" hidden="1" customHeight="1">
      <c r="A39" s="203">
        <v>36.0</v>
      </c>
      <c r="B39" s="210" t="s">
        <v>2601</v>
      </c>
      <c r="C39" s="205" t="s">
        <v>2624</v>
      </c>
      <c r="D39" s="216" t="s">
        <v>2625</v>
      </c>
      <c r="E39" s="217" t="s">
        <v>2626</v>
      </c>
      <c r="F39" s="215" t="s">
        <v>2627</v>
      </c>
      <c r="G39" s="206" t="s">
        <v>2628</v>
      </c>
      <c r="H39" s="218" t="b">
        <v>0</v>
      </c>
      <c r="I39" s="208">
        <v>45986.0</v>
      </c>
      <c r="J39" s="208" t="s">
        <v>2555</v>
      </c>
      <c r="K39" s="209" t="b">
        <v>0</v>
      </c>
      <c r="L39" s="35"/>
      <c r="M39" s="35"/>
      <c r="N39" s="13"/>
      <c r="O39" s="13"/>
      <c r="P39" s="13"/>
      <c r="Q39" s="13"/>
      <c r="R39" s="13"/>
      <c r="S39" s="13"/>
      <c r="T39" s="13"/>
      <c r="U39" s="13"/>
      <c r="V39" s="13"/>
      <c r="W39" s="13"/>
      <c r="X39" s="13"/>
      <c r="Y39" s="13"/>
      <c r="Z39" s="13"/>
      <c r="AA39" s="13"/>
    </row>
    <row r="40" ht="16.5" hidden="1" customHeight="1">
      <c r="A40" s="203">
        <v>37.0</v>
      </c>
      <c r="B40" s="210" t="s">
        <v>2589</v>
      </c>
      <c r="C40" s="205" t="s">
        <v>2629</v>
      </c>
      <c r="D40" s="206" t="s">
        <v>2630</v>
      </c>
      <c r="E40" s="214" t="s">
        <v>2631</v>
      </c>
      <c r="F40" s="215" t="s">
        <v>173</v>
      </c>
      <c r="G40" s="206" t="s">
        <v>2632</v>
      </c>
      <c r="H40" s="218" t="b">
        <v>0</v>
      </c>
      <c r="I40" s="208">
        <v>45986.0</v>
      </c>
      <c r="J40" s="208" t="s">
        <v>2555</v>
      </c>
      <c r="K40" s="209" t="b">
        <v>0</v>
      </c>
      <c r="L40" s="35"/>
      <c r="M40" s="35"/>
      <c r="N40" s="13"/>
      <c r="O40" s="13"/>
      <c r="P40" s="13"/>
      <c r="Q40" s="13"/>
      <c r="R40" s="13"/>
      <c r="S40" s="13"/>
      <c r="T40" s="13"/>
      <c r="U40" s="13"/>
      <c r="V40" s="13"/>
      <c r="W40" s="13"/>
      <c r="X40" s="13"/>
      <c r="Y40" s="13"/>
      <c r="Z40" s="13"/>
      <c r="AA40" s="13"/>
    </row>
    <row r="41" ht="16.5" hidden="1" customHeight="1">
      <c r="A41" s="203">
        <v>38.0</v>
      </c>
      <c r="B41" s="210" t="s">
        <v>2633</v>
      </c>
      <c r="C41" s="205" t="s">
        <v>2634</v>
      </c>
      <c r="D41" s="216" t="s">
        <v>2635</v>
      </c>
      <c r="E41" s="217" t="s">
        <v>2636</v>
      </c>
      <c r="F41" s="215" t="s">
        <v>173</v>
      </c>
      <c r="G41" s="206" t="s">
        <v>2637</v>
      </c>
      <c r="H41" s="218" t="b">
        <v>0</v>
      </c>
      <c r="I41" s="208">
        <v>45986.0</v>
      </c>
      <c r="J41" s="208" t="s">
        <v>2555</v>
      </c>
      <c r="K41" s="209" t="b">
        <v>0</v>
      </c>
      <c r="L41" s="35"/>
      <c r="M41" s="35"/>
      <c r="N41" s="13"/>
      <c r="O41" s="13"/>
      <c r="P41" s="13"/>
      <c r="Q41" s="13"/>
      <c r="R41" s="13"/>
      <c r="S41" s="13"/>
      <c r="T41" s="13"/>
      <c r="U41" s="13"/>
      <c r="V41" s="13"/>
      <c r="W41" s="13"/>
      <c r="X41" s="13"/>
      <c r="Y41" s="13"/>
      <c r="Z41" s="13"/>
      <c r="AA41" s="13"/>
    </row>
    <row r="42" ht="16.5" customHeight="1">
      <c r="A42" s="203">
        <v>39.0</v>
      </c>
      <c r="B42" s="210" t="s">
        <v>2609</v>
      </c>
      <c r="C42" s="205" t="s">
        <v>2504</v>
      </c>
      <c r="D42" s="206" t="s">
        <v>2505</v>
      </c>
      <c r="E42" s="212" t="s">
        <v>1880</v>
      </c>
      <c r="F42" s="215" t="s">
        <v>173</v>
      </c>
      <c r="G42" s="206" t="s">
        <v>2506</v>
      </c>
      <c r="H42" s="207" t="b">
        <v>1</v>
      </c>
      <c r="I42" s="208">
        <v>45986.0</v>
      </c>
      <c r="J42" s="208" t="s">
        <v>2555</v>
      </c>
      <c r="K42" s="209" t="b">
        <v>0</v>
      </c>
      <c r="L42" s="35"/>
      <c r="M42" s="35"/>
      <c r="N42" s="13"/>
      <c r="O42" s="13"/>
      <c r="P42" s="13"/>
      <c r="Q42" s="13"/>
      <c r="R42" s="13"/>
      <c r="S42" s="13"/>
      <c r="T42" s="13"/>
      <c r="U42" s="13"/>
      <c r="V42" s="13"/>
      <c r="W42" s="13"/>
      <c r="X42" s="13"/>
      <c r="Y42" s="13"/>
      <c r="Z42" s="13"/>
      <c r="AA42" s="13"/>
    </row>
    <row r="43" ht="16.5" hidden="1" customHeight="1">
      <c r="A43" s="203">
        <v>40.0</v>
      </c>
      <c r="B43" s="210" t="s">
        <v>2562</v>
      </c>
      <c r="C43" s="205" t="s">
        <v>2638</v>
      </c>
      <c r="D43" s="206" t="s">
        <v>2639</v>
      </c>
      <c r="E43" s="217" t="s">
        <v>2640</v>
      </c>
      <c r="F43" s="215" t="s">
        <v>173</v>
      </c>
      <c r="G43" s="206" t="s">
        <v>2641</v>
      </c>
      <c r="H43" s="218" t="b">
        <v>0</v>
      </c>
      <c r="I43" s="208">
        <v>45986.0</v>
      </c>
      <c r="J43" s="208" t="s">
        <v>2555</v>
      </c>
      <c r="K43" s="209" t="b">
        <v>0</v>
      </c>
      <c r="L43" s="35"/>
      <c r="M43" s="35"/>
      <c r="N43" s="13"/>
      <c r="O43" s="13"/>
      <c r="P43" s="13"/>
      <c r="Q43" s="13"/>
      <c r="R43" s="13"/>
      <c r="S43" s="13"/>
      <c r="T43" s="13"/>
      <c r="U43" s="13"/>
      <c r="V43" s="13"/>
      <c r="W43" s="13"/>
      <c r="X43" s="13"/>
      <c r="Y43" s="13"/>
      <c r="Z43" s="13"/>
      <c r="AA43" s="13"/>
    </row>
    <row r="44" ht="16.5" hidden="1" customHeight="1">
      <c r="A44" s="203">
        <v>41.0</v>
      </c>
      <c r="B44" s="210" t="s">
        <v>2562</v>
      </c>
      <c r="C44" s="205" t="s">
        <v>2642</v>
      </c>
      <c r="D44" s="206" t="s">
        <v>2643</v>
      </c>
      <c r="E44" s="217" t="s">
        <v>2644</v>
      </c>
      <c r="F44" s="215" t="s">
        <v>2645</v>
      </c>
      <c r="G44" s="206" t="s">
        <v>2646</v>
      </c>
      <c r="H44" s="218" t="b">
        <v>0</v>
      </c>
      <c r="I44" s="208">
        <v>45986.0</v>
      </c>
      <c r="J44" s="208" t="s">
        <v>2555</v>
      </c>
      <c r="K44" s="209" t="b">
        <v>0</v>
      </c>
      <c r="L44" s="35"/>
      <c r="M44" s="35"/>
      <c r="N44" s="13"/>
      <c r="O44" s="13"/>
      <c r="P44" s="13"/>
      <c r="Q44" s="13"/>
      <c r="R44" s="13"/>
      <c r="S44" s="13"/>
      <c r="T44" s="13"/>
      <c r="U44" s="13"/>
      <c r="V44" s="13"/>
      <c r="W44" s="13"/>
      <c r="X44" s="13"/>
      <c r="Y44" s="13"/>
      <c r="Z44" s="13"/>
      <c r="AA44" s="13"/>
    </row>
    <row r="45" ht="16.5" hidden="1" customHeight="1">
      <c r="A45" s="203">
        <v>42.0</v>
      </c>
      <c r="B45" s="210" t="s">
        <v>2562</v>
      </c>
      <c r="C45" s="205" t="s">
        <v>2647</v>
      </c>
      <c r="D45" s="206" t="s">
        <v>2648</v>
      </c>
      <c r="E45" s="217" t="s">
        <v>2649</v>
      </c>
      <c r="F45" s="215" t="s">
        <v>2650</v>
      </c>
      <c r="G45" s="206" t="s">
        <v>2651</v>
      </c>
      <c r="H45" s="218" t="b">
        <v>0</v>
      </c>
      <c r="I45" s="208">
        <v>45986.0</v>
      </c>
      <c r="J45" s="208" t="s">
        <v>2555</v>
      </c>
      <c r="K45" s="209" t="b">
        <v>0</v>
      </c>
      <c r="L45" s="35"/>
      <c r="M45" s="35"/>
      <c r="N45" s="13"/>
      <c r="O45" s="13"/>
      <c r="P45" s="13"/>
      <c r="Q45" s="13"/>
      <c r="R45" s="13"/>
      <c r="S45" s="13"/>
      <c r="T45" s="13"/>
      <c r="U45" s="13"/>
      <c r="V45" s="13"/>
      <c r="W45" s="13"/>
      <c r="X45" s="13"/>
      <c r="Y45" s="13"/>
      <c r="Z45" s="13"/>
      <c r="AA45" s="13"/>
    </row>
    <row r="46" ht="16.5" hidden="1" customHeight="1">
      <c r="A46" s="203">
        <v>43.0</v>
      </c>
      <c r="B46" s="210" t="s">
        <v>2562</v>
      </c>
      <c r="C46" s="205" t="s">
        <v>2652</v>
      </c>
      <c r="D46" s="206" t="s">
        <v>2653</v>
      </c>
      <c r="E46" s="217" t="s">
        <v>2654</v>
      </c>
      <c r="F46" s="215" t="s">
        <v>173</v>
      </c>
      <c r="G46" s="206" t="s">
        <v>2655</v>
      </c>
      <c r="H46" s="218" t="b">
        <v>0</v>
      </c>
      <c r="I46" s="208">
        <v>45986.0</v>
      </c>
      <c r="J46" s="208" t="s">
        <v>2555</v>
      </c>
      <c r="K46" s="209" t="b">
        <v>0</v>
      </c>
      <c r="L46" s="35"/>
      <c r="M46" s="35"/>
      <c r="N46" s="13"/>
      <c r="O46" s="13"/>
      <c r="P46" s="13"/>
      <c r="Q46" s="13"/>
      <c r="R46" s="13"/>
      <c r="S46" s="13"/>
      <c r="T46" s="13"/>
      <c r="U46" s="13"/>
      <c r="V46" s="13"/>
      <c r="W46" s="13"/>
      <c r="X46" s="13"/>
      <c r="Y46" s="13"/>
      <c r="Z46" s="13"/>
      <c r="AA46" s="13"/>
    </row>
    <row r="47" ht="16.5" hidden="1" customHeight="1">
      <c r="A47" s="203">
        <v>44.0</v>
      </c>
      <c r="B47" s="210" t="s">
        <v>2656</v>
      </c>
      <c r="C47" s="205" t="s">
        <v>2657</v>
      </c>
      <c r="D47" s="206" t="s">
        <v>2658</v>
      </c>
      <c r="E47" s="217" t="s">
        <v>2659</v>
      </c>
      <c r="F47" s="224" t="s">
        <v>2660</v>
      </c>
      <c r="G47" s="206" t="s">
        <v>2661</v>
      </c>
      <c r="H47" s="218" t="b">
        <v>0</v>
      </c>
      <c r="I47" s="208">
        <v>45986.0</v>
      </c>
      <c r="J47" s="208" t="s">
        <v>2555</v>
      </c>
      <c r="K47" s="209" t="b">
        <v>0</v>
      </c>
      <c r="L47" s="35"/>
      <c r="M47" s="35"/>
      <c r="N47" s="13"/>
      <c r="O47" s="13"/>
      <c r="P47" s="13"/>
      <c r="Q47" s="13"/>
      <c r="R47" s="13"/>
      <c r="S47" s="13"/>
      <c r="T47" s="13"/>
      <c r="U47" s="13"/>
      <c r="V47" s="13"/>
      <c r="W47" s="13"/>
      <c r="X47" s="13"/>
      <c r="Y47" s="13"/>
      <c r="Z47" s="13"/>
      <c r="AA47" s="13"/>
    </row>
    <row r="48" ht="16.5" hidden="1" customHeight="1">
      <c r="A48" s="210">
        <v>45.0</v>
      </c>
      <c r="B48" s="210" t="s">
        <v>2554</v>
      </c>
      <c r="C48" s="205" t="s">
        <v>2662</v>
      </c>
      <c r="D48" s="206" t="s">
        <v>2663</v>
      </c>
      <c r="E48" s="206" t="s">
        <v>2664</v>
      </c>
      <c r="F48" s="225" t="s">
        <v>2665</v>
      </c>
      <c r="G48" s="206" t="s">
        <v>2666</v>
      </c>
      <c r="H48" s="208"/>
      <c r="I48" s="208">
        <v>45986.0</v>
      </c>
      <c r="J48" s="208" t="s">
        <v>2561</v>
      </c>
      <c r="K48" s="211" t="b">
        <v>0</v>
      </c>
      <c r="L48" s="35"/>
      <c r="M48" s="35"/>
      <c r="N48" s="13"/>
      <c r="O48" s="13"/>
      <c r="P48" s="13"/>
      <c r="Q48" s="13"/>
      <c r="R48" s="13"/>
      <c r="S48" s="13"/>
      <c r="T48" s="13"/>
      <c r="U48" s="13"/>
      <c r="V48" s="13"/>
      <c r="W48" s="13"/>
      <c r="X48" s="13"/>
      <c r="Y48" s="13"/>
      <c r="Z48" s="13"/>
      <c r="AA48" s="13"/>
    </row>
    <row r="49" ht="16.5" hidden="1" customHeight="1">
      <c r="A49" s="203">
        <v>46.0</v>
      </c>
      <c r="B49" s="210" t="s">
        <v>2609</v>
      </c>
      <c r="C49" s="205" t="s">
        <v>2667</v>
      </c>
      <c r="D49" s="206" t="s">
        <v>2668</v>
      </c>
      <c r="E49" s="217" t="s">
        <v>2669</v>
      </c>
      <c r="F49" s="215" t="s">
        <v>173</v>
      </c>
      <c r="G49" s="206" t="s">
        <v>2670</v>
      </c>
      <c r="H49" s="218" t="b">
        <v>0</v>
      </c>
      <c r="I49" s="208">
        <v>45986.0</v>
      </c>
      <c r="J49" s="208" t="s">
        <v>2555</v>
      </c>
      <c r="K49" s="209" t="b">
        <v>0</v>
      </c>
      <c r="L49" s="35"/>
      <c r="M49" s="35"/>
      <c r="N49" s="13"/>
      <c r="O49" s="13"/>
      <c r="P49" s="13"/>
      <c r="Q49" s="13"/>
      <c r="R49" s="13"/>
      <c r="S49" s="13"/>
      <c r="T49" s="13"/>
      <c r="U49" s="13"/>
      <c r="V49" s="13"/>
      <c r="W49" s="13"/>
      <c r="X49" s="13"/>
      <c r="Y49" s="13"/>
      <c r="Z49" s="13"/>
      <c r="AA49" s="13"/>
    </row>
    <row r="50" ht="16.5" customHeight="1">
      <c r="A50" s="203">
        <v>47.0</v>
      </c>
      <c r="B50" s="210" t="s">
        <v>2671</v>
      </c>
      <c r="C50" s="205" t="s">
        <v>2507</v>
      </c>
      <c r="D50" s="212" t="s">
        <v>2508</v>
      </c>
      <c r="E50" s="212" t="s">
        <v>2509</v>
      </c>
      <c r="F50" s="213" t="s">
        <v>2672</v>
      </c>
      <c r="G50" s="206" t="s">
        <v>2485</v>
      </c>
      <c r="H50" s="207" t="b">
        <v>1</v>
      </c>
      <c r="I50" s="208">
        <v>45986.0</v>
      </c>
      <c r="J50" s="208" t="s">
        <v>2555</v>
      </c>
      <c r="K50" s="209" t="b">
        <v>0</v>
      </c>
      <c r="L50" s="35"/>
      <c r="M50" s="35"/>
      <c r="N50" s="13"/>
      <c r="O50" s="13"/>
      <c r="P50" s="13"/>
      <c r="Q50" s="13"/>
      <c r="R50" s="13"/>
      <c r="S50" s="13"/>
      <c r="T50" s="13"/>
      <c r="U50" s="13"/>
      <c r="V50" s="13"/>
      <c r="W50" s="13"/>
      <c r="X50" s="13"/>
      <c r="Y50" s="13"/>
      <c r="Z50" s="13"/>
      <c r="AA50" s="13"/>
    </row>
    <row r="51" ht="16.5" hidden="1" customHeight="1">
      <c r="A51" s="203">
        <v>48.0</v>
      </c>
      <c r="B51" s="210" t="s">
        <v>2554</v>
      </c>
      <c r="C51" s="205" t="s">
        <v>2673</v>
      </c>
      <c r="D51" s="206" t="s">
        <v>2674</v>
      </c>
      <c r="E51" s="217" t="s">
        <v>2675</v>
      </c>
      <c r="F51" s="215" t="s">
        <v>933</v>
      </c>
      <c r="G51" s="206" t="s">
        <v>2676</v>
      </c>
      <c r="H51" s="218" t="b">
        <v>0</v>
      </c>
      <c r="I51" s="208">
        <v>45986.0</v>
      </c>
      <c r="J51" s="208" t="s">
        <v>2555</v>
      </c>
      <c r="K51" s="209" t="b">
        <v>0</v>
      </c>
      <c r="L51" s="35"/>
      <c r="M51" s="35"/>
      <c r="N51" s="13"/>
      <c r="O51" s="13"/>
      <c r="P51" s="13"/>
      <c r="Q51" s="13"/>
      <c r="R51" s="13"/>
      <c r="S51" s="13"/>
      <c r="T51" s="13"/>
      <c r="U51" s="13"/>
      <c r="V51" s="13"/>
      <c r="W51" s="13"/>
      <c r="X51" s="13"/>
      <c r="Y51" s="13"/>
      <c r="Z51" s="13"/>
      <c r="AA51" s="13"/>
    </row>
    <row r="52" ht="16.5" hidden="1" customHeight="1">
      <c r="A52" s="203">
        <v>49.0</v>
      </c>
      <c r="B52" s="210" t="s">
        <v>2554</v>
      </c>
      <c r="C52" s="205" t="s">
        <v>2677</v>
      </c>
      <c r="D52" s="206" t="s">
        <v>2678</v>
      </c>
      <c r="E52" s="217" t="s">
        <v>2675</v>
      </c>
      <c r="F52" s="215" t="s">
        <v>1150</v>
      </c>
      <c r="G52" s="206" t="s">
        <v>2679</v>
      </c>
      <c r="H52" s="218" t="b">
        <v>0</v>
      </c>
      <c r="I52" s="208">
        <v>45986.0</v>
      </c>
      <c r="J52" s="208" t="s">
        <v>2555</v>
      </c>
      <c r="K52" s="209" t="b">
        <v>0</v>
      </c>
      <c r="L52" s="35"/>
      <c r="M52" s="35"/>
      <c r="N52" s="13"/>
      <c r="O52" s="13"/>
      <c r="P52" s="13"/>
      <c r="Q52" s="13"/>
      <c r="R52" s="13"/>
      <c r="S52" s="13"/>
      <c r="T52" s="13"/>
      <c r="U52" s="13"/>
      <c r="V52" s="13"/>
      <c r="W52" s="13"/>
      <c r="X52" s="13"/>
      <c r="Y52" s="13"/>
      <c r="Z52" s="13"/>
      <c r="AA52" s="13"/>
    </row>
    <row r="53" ht="16.5" hidden="1" customHeight="1">
      <c r="A53" s="210">
        <v>50.0</v>
      </c>
      <c r="B53" s="210" t="s">
        <v>2554</v>
      </c>
      <c r="C53" s="205" t="s">
        <v>2680</v>
      </c>
      <c r="D53" s="206" t="s">
        <v>2681</v>
      </c>
      <c r="E53" s="206" t="s">
        <v>2682</v>
      </c>
      <c r="F53" s="206" t="s">
        <v>2683</v>
      </c>
      <c r="G53" s="206" t="s">
        <v>2684</v>
      </c>
      <c r="H53" s="208"/>
      <c r="I53" s="208">
        <v>45986.0</v>
      </c>
      <c r="J53" s="208" t="s">
        <v>2561</v>
      </c>
      <c r="K53" s="211" t="b">
        <v>0</v>
      </c>
      <c r="L53" s="35"/>
      <c r="M53" s="35"/>
      <c r="N53" s="13"/>
      <c r="O53" s="13"/>
      <c r="P53" s="13"/>
      <c r="Q53" s="13"/>
      <c r="R53" s="13"/>
      <c r="S53" s="13"/>
      <c r="T53" s="13"/>
      <c r="U53" s="13"/>
      <c r="V53" s="13"/>
      <c r="W53" s="13"/>
      <c r="X53" s="13"/>
      <c r="Y53" s="13"/>
      <c r="Z53" s="13"/>
      <c r="AA53" s="13"/>
    </row>
    <row r="54" ht="16.5" hidden="1" customHeight="1">
      <c r="A54" s="203">
        <v>51.0</v>
      </c>
      <c r="B54" s="210" t="s">
        <v>2554</v>
      </c>
      <c r="C54" s="205" t="s">
        <v>2685</v>
      </c>
      <c r="D54" s="226" t="s">
        <v>2686</v>
      </c>
      <c r="E54" s="217" t="s">
        <v>2687</v>
      </c>
      <c r="F54" s="215" t="s">
        <v>2252</v>
      </c>
      <c r="G54" s="206" t="s">
        <v>2688</v>
      </c>
      <c r="H54" s="218" t="b">
        <v>0</v>
      </c>
      <c r="I54" s="208">
        <v>45986.0</v>
      </c>
      <c r="J54" s="208" t="s">
        <v>2555</v>
      </c>
      <c r="K54" s="209" t="b">
        <v>0</v>
      </c>
      <c r="L54" s="35"/>
      <c r="M54" s="35"/>
      <c r="N54" s="13"/>
      <c r="O54" s="13"/>
      <c r="P54" s="13"/>
      <c r="Q54" s="13"/>
      <c r="R54" s="13"/>
      <c r="S54" s="13"/>
      <c r="T54" s="13"/>
      <c r="U54" s="13"/>
      <c r="V54" s="13"/>
      <c r="W54" s="13"/>
      <c r="X54" s="13"/>
      <c r="Y54" s="13"/>
      <c r="Z54" s="13"/>
      <c r="AA54" s="13"/>
    </row>
    <row r="55" ht="16.5" hidden="1" customHeight="1">
      <c r="A55" s="203">
        <v>52.0</v>
      </c>
      <c r="B55" s="210" t="s">
        <v>2554</v>
      </c>
      <c r="C55" s="205" t="s">
        <v>2689</v>
      </c>
      <c r="D55" s="206" t="s">
        <v>2690</v>
      </c>
      <c r="E55" s="217" t="s">
        <v>2687</v>
      </c>
      <c r="F55" s="215" t="s">
        <v>2691</v>
      </c>
      <c r="G55" s="206" t="s">
        <v>2688</v>
      </c>
      <c r="H55" s="218" t="b">
        <v>0</v>
      </c>
      <c r="I55" s="208">
        <v>45986.0</v>
      </c>
      <c r="J55" s="208" t="s">
        <v>2555</v>
      </c>
      <c r="K55" s="209" t="b">
        <v>0</v>
      </c>
      <c r="L55" s="35"/>
      <c r="M55" s="35"/>
      <c r="N55" s="13"/>
      <c r="O55" s="13"/>
      <c r="P55" s="13"/>
      <c r="Q55" s="13"/>
      <c r="R55" s="13"/>
      <c r="S55" s="13"/>
      <c r="T55" s="13"/>
      <c r="U55" s="13"/>
      <c r="V55" s="13"/>
      <c r="W55" s="13"/>
      <c r="X55" s="13"/>
      <c r="Y55" s="13"/>
      <c r="Z55" s="13"/>
      <c r="AA55" s="13"/>
    </row>
    <row r="56" ht="16.5" hidden="1" customHeight="1">
      <c r="A56" s="203">
        <v>53.0</v>
      </c>
      <c r="B56" s="210" t="s">
        <v>2554</v>
      </c>
      <c r="C56" s="205" t="s">
        <v>2692</v>
      </c>
      <c r="D56" s="206" t="s">
        <v>2693</v>
      </c>
      <c r="E56" s="217" t="s">
        <v>2687</v>
      </c>
      <c r="F56" s="215" t="s">
        <v>2694</v>
      </c>
      <c r="G56" s="206" t="s">
        <v>2688</v>
      </c>
      <c r="H56" s="218" t="b">
        <v>0</v>
      </c>
      <c r="I56" s="208">
        <v>45986.0</v>
      </c>
      <c r="J56" s="208" t="s">
        <v>2555</v>
      </c>
      <c r="K56" s="209" t="b">
        <v>0</v>
      </c>
      <c r="L56" s="35"/>
      <c r="M56" s="35"/>
      <c r="N56" s="13"/>
      <c r="O56" s="13"/>
      <c r="P56" s="13"/>
      <c r="Q56" s="13"/>
      <c r="R56" s="13"/>
      <c r="S56" s="13"/>
      <c r="T56" s="13"/>
      <c r="U56" s="13"/>
      <c r="V56" s="13"/>
      <c r="W56" s="13"/>
      <c r="X56" s="13"/>
      <c r="Y56" s="13"/>
      <c r="Z56" s="13"/>
      <c r="AA56" s="13"/>
    </row>
    <row r="57" ht="16.5" hidden="1" customHeight="1">
      <c r="A57" s="210">
        <v>54.0</v>
      </c>
      <c r="B57" s="210" t="s">
        <v>2695</v>
      </c>
      <c r="C57" s="205" t="s">
        <v>2696</v>
      </c>
      <c r="D57" s="206" t="s">
        <v>2697</v>
      </c>
      <c r="E57" s="206" t="s">
        <v>2698</v>
      </c>
      <c r="F57" s="206" t="s">
        <v>2698</v>
      </c>
      <c r="G57" s="227" t="s">
        <v>2699</v>
      </c>
      <c r="H57" s="208"/>
      <c r="I57" s="208">
        <v>45987.0</v>
      </c>
      <c r="J57" s="208" t="s">
        <v>2561</v>
      </c>
      <c r="K57" s="211" t="b">
        <v>0</v>
      </c>
      <c r="L57" s="35"/>
      <c r="M57" s="35"/>
      <c r="N57" s="13"/>
      <c r="O57" s="13"/>
      <c r="P57" s="13"/>
      <c r="Q57" s="13"/>
      <c r="R57" s="13"/>
      <c r="S57" s="13"/>
      <c r="T57" s="13"/>
      <c r="U57" s="13"/>
      <c r="V57" s="13"/>
      <c r="W57" s="13"/>
      <c r="X57" s="13"/>
      <c r="Y57" s="13"/>
      <c r="Z57" s="13"/>
      <c r="AA57" s="13"/>
    </row>
    <row r="58" ht="16.5" customHeight="1">
      <c r="A58" s="203">
        <v>55.0</v>
      </c>
      <c r="B58" s="210" t="s">
        <v>2633</v>
      </c>
      <c r="C58" s="205" t="s">
        <v>2511</v>
      </c>
      <c r="D58" s="206" t="s">
        <v>2512</v>
      </c>
      <c r="E58" s="214" t="s">
        <v>2513</v>
      </c>
      <c r="F58" s="215" t="s">
        <v>1150</v>
      </c>
      <c r="G58" s="206" t="s">
        <v>2514</v>
      </c>
      <c r="H58" s="207" t="b">
        <v>1</v>
      </c>
      <c r="I58" s="208">
        <v>45987.0</v>
      </c>
      <c r="J58" s="208" t="s">
        <v>2555</v>
      </c>
      <c r="K58" s="209" t="b">
        <v>0</v>
      </c>
      <c r="L58" s="35"/>
      <c r="M58" s="35"/>
      <c r="N58" s="13"/>
      <c r="O58" s="13"/>
      <c r="P58" s="13"/>
      <c r="Q58" s="13"/>
      <c r="R58" s="13"/>
      <c r="S58" s="13"/>
      <c r="T58" s="13"/>
      <c r="U58" s="13"/>
      <c r="V58" s="13"/>
      <c r="W58" s="13"/>
      <c r="X58" s="13"/>
      <c r="Y58" s="13"/>
      <c r="Z58" s="13"/>
      <c r="AA58" s="13"/>
    </row>
    <row r="59" ht="16.5" customHeight="1">
      <c r="A59" s="203">
        <v>56.0</v>
      </c>
      <c r="B59" s="210" t="s">
        <v>2633</v>
      </c>
      <c r="C59" s="205" t="s">
        <v>2515</v>
      </c>
      <c r="D59" s="206" t="s">
        <v>2516</v>
      </c>
      <c r="E59" s="214" t="s">
        <v>2513</v>
      </c>
      <c r="F59" s="215" t="s">
        <v>122</v>
      </c>
      <c r="G59" s="206" t="s">
        <v>2514</v>
      </c>
      <c r="H59" s="207" t="b">
        <v>1</v>
      </c>
      <c r="I59" s="208">
        <v>45987.0</v>
      </c>
      <c r="J59" s="208" t="s">
        <v>2555</v>
      </c>
      <c r="K59" s="209" t="b">
        <v>0</v>
      </c>
      <c r="L59" s="35"/>
      <c r="M59" s="35"/>
      <c r="N59" s="13"/>
      <c r="O59" s="13"/>
      <c r="P59" s="13"/>
      <c r="Q59" s="13"/>
      <c r="R59" s="13"/>
      <c r="S59" s="13"/>
      <c r="T59" s="13"/>
      <c r="U59" s="13"/>
      <c r="V59" s="13"/>
      <c r="W59" s="13"/>
      <c r="X59" s="13"/>
      <c r="Y59" s="13"/>
      <c r="Z59" s="13"/>
      <c r="AA59" s="13"/>
    </row>
    <row r="60" ht="16.5" customHeight="1">
      <c r="A60" s="203">
        <v>57.0</v>
      </c>
      <c r="B60" s="210" t="s">
        <v>2700</v>
      </c>
      <c r="C60" s="205" t="s">
        <v>2517</v>
      </c>
      <c r="D60" s="206" t="s">
        <v>2518</v>
      </c>
      <c r="E60" s="214" t="s">
        <v>2513</v>
      </c>
      <c r="F60" s="215" t="s">
        <v>1150</v>
      </c>
      <c r="G60" s="206" t="s">
        <v>2514</v>
      </c>
      <c r="H60" s="207" t="b">
        <v>1</v>
      </c>
      <c r="I60" s="208">
        <v>45987.0</v>
      </c>
      <c r="J60" s="208" t="s">
        <v>2555</v>
      </c>
      <c r="K60" s="209" t="b">
        <v>0</v>
      </c>
      <c r="L60" s="35"/>
      <c r="M60" s="35"/>
      <c r="N60" s="13"/>
      <c r="O60" s="13"/>
      <c r="P60" s="13"/>
      <c r="Q60" s="13"/>
      <c r="R60" s="13"/>
      <c r="S60" s="13"/>
      <c r="T60" s="13"/>
      <c r="U60" s="13"/>
      <c r="V60" s="13"/>
      <c r="W60" s="13"/>
      <c r="X60" s="13"/>
      <c r="Y60" s="13"/>
      <c r="Z60" s="13"/>
      <c r="AA60" s="13"/>
    </row>
    <row r="61" ht="16.5" customHeight="1">
      <c r="A61" s="203">
        <v>58.0</v>
      </c>
      <c r="B61" s="210" t="s">
        <v>2700</v>
      </c>
      <c r="C61" s="205" t="s">
        <v>2519</v>
      </c>
      <c r="D61" s="206" t="s">
        <v>2520</v>
      </c>
      <c r="E61" s="214" t="s">
        <v>2513</v>
      </c>
      <c r="F61" s="215" t="s">
        <v>104</v>
      </c>
      <c r="G61" s="206" t="s">
        <v>2514</v>
      </c>
      <c r="H61" s="207" t="b">
        <v>1</v>
      </c>
      <c r="I61" s="208">
        <v>45987.0</v>
      </c>
      <c r="J61" s="208" t="s">
        <v>2555</v>
      </c>
      <c r="K61" s="209" t="b">
        <v>0</v>
      </c>
      <c r="L61" s="35"/>
      <c r="M61" s="35"/>
      <c r="N61" s="13"/>
      <c r="O61" s="13"/>
      <c r="P61" s="13"/>
      <c r="Q61" s="13"/>
      <c r="R61" s="13"/>
      <c r="S61" s="13"/>
      <c r="T61" s="13"/>
      <c r="U61" s="13"/>
      <c r="V61" s="13"/>
      <c r="W61" s="13"/>
      <c r="X61" s="13"/>
      <c r="Y61" s="13"/>
      <c r="Z61" s="13"/>
      <c r="AA61" s="13"/>
    </row>
    <row r="62" ht="16.5" hidden="1" customHeight="1">
      <c r="A62" s="210">
        <v>59.0</v>
      </c>
      <c r="B62" s="228" t="s">
        <v>2554</v>
      </c>
      <c r="C62" s="205" t="s">
        <v>2701</v>
      </c>
      <c r="D62" s="206" t="s">
        <v>2702</v>
      </c>
      <c r="E62" s="206" t="s">
        <v>2703</v>
      </c>
      <c r="F62" s="206" t="s">
        <v>2704</v>
      </c>
      <c r="G62" s="206" t="s">
        <v>2514</v>
      </c>
      <c r="H62" s="208"/>
      <c r="I62" s="208">
        <v>45987.0</v>
      </c>
      <c r="J62" s="208" t="s">
        <v>2561</v>
      </c>
      <c r="K62" s="211" t="b">
        <v>0</v>
      </c>
      <c r="L62" s="35"/>
      <c r="M62" s="35"/>
      <c r="N62" s="13"/>
      <c r="O62" s="13"/>
      <c r="P62" s="13"/>
      <c r="Q62" s="13"/>
      <c r="R62" s="13"/>
      <c r="S62" s="13"/>
      <c r="T62" s="13"/>
      <c r="U62" s="13"/>
      <c r="V62" s="13"/>
      <c r="W62" s="13"/>
      <c r="X62" s="13"/>
      <c r="Y62" s="13"/>
      <c r="Z62" s="13"/>
      <c r="AA62" s="13"/>
    </row>
    <row r="63" ht="16.5" hidden="1" customHeight="1">
      <c r="A63" s="203">
        <v>60.0</v>
      </c>
      <c r="B63" s="210" t="s">
        <v>2705</v>
      </c>
      <c r="C63" s="205" t="s">
        <v>2706</v>
      </c>
      <c r="D63" s="206" t="s">
        <v>2707</v>
      </c>
      <c r="E63" s="217" t="s">
        <v>2708</v>
      </c>
      <c r="F63" s="215" t="s">
        <v>2252</v>
      </c>
      <c r="G63" s="206" t="s">
        <v>2485</v>
      </c>
      <c r="H63" s="218" t="b">
        <v>0</v>
      </c>
      <c r="I63" s="208">
        <v>45987.0</v>
      </c>
      <c r="J63" s="208" t="s">
        <v>2555</v>
      </c>
      <c r="K63" s="209" t="b">
        <v>0</v>
      </c>
      <c r="L63" s="35"/>
      <c r="M63" s="35"/>
      <c r="N63" s="13"/>
      <c r="O63" s="13"/>
      <c r="P63" s="13"/>
      <c r="Q63" s="13"/>
      <c r="R63" s="13"/>
      <c r="S63" s="13"/>
      <c r="T63" s="13"/>
      <c r="U63" s="13"/>
      <c r="V63" s="13"/>
      <c r="W63" s="13"/>
      <c r="X63" s="13"/>
      <c r="Y63" s="13"/>
      <c r="Z63" s="13"/>
      <c r="AA63" s="13"/>
    </row>
    <row r="64" ht="16.5" hidden="1" customHeight="1">
      <c r="A64" s="229">
        <v>61.0</v>
      </c>
      <c r="B64" s="229" t="s">
        <v>2705</v>
      </c>
      <c r="C64" s="230" t="s">
        <v>2709</v>
      </c>
      <c r="D64" s="231" t="s">
        <v>2710</v>
      </c>
      <c r="E64" s="231" t="s">
        <v>2711</v>
      </c>
      <c r="F64" s="231" t="s">
        <v>2712</v>
      </c>
      <c r="G64" s="231" t="s">
        <v>2713</v>
      </c>
      <c r="H64" s="232"/>
      <c r="I64" s="232">
        <v>45987.0</v>
      </c>
      <c r="J64" s="233" t="s">
        <v>2561</v>
      </c>
      <c r="K64" s="211" t="b">
        <v>0</v>
      </c>
      <c r="L64" s="35"/>
      <c r="M64" s="35"/>
      <c r="N64" s="13"/>
      <c r="O64" s="13"/>
      <c r="P64" s="13"/>
      <c r="Q64" s="13"/>
      <c r="R64" s="13"/>
      <c r="S64" s="13"/>
      <c r="T64" s="13"/>
      <c r="U64" s="13"/>
      <c r="V64" s="13"/>
      <c r="W64" s="13"/>
      <c r="X64" s="13"/>
      <c r="Y64" s="13"/>
      <c r="Z64" s="13"/>
      <c r="AA64" s="13"/>
    </row>
    <row r="65" ht="16.5" hidden="1" customHeight="1">
      <c r="A65" s="229">
        <v>62.0</v>
      </c>
      <c r="B65" s="229" t="s">
        <v>2589</v>
      </c>
      <c r="C65" s="230" t="s">
        <v>2714</v>
      </c>
      <c r="D65" s="231" t="s">
        <v>2715</v>
      </c>
      <c r="E65" s="231" t="s">
        <v>2716</v>
      </c>
      <c r="F65" s="231" t="s">
        <v>2717</v>
      </c>
      <c r="G65" s="231" t="s">
        <v>2718</v>
      </c>
      <c r="H65" s="232"/>
      <c r="I65" s="232">
        <v>45987.0</v>
      </c>
      <c r="J65" s="233" t="s">
        <v>2561</v>
      </c>
      <c r="K65" s="211" t="b">
        <v>0</v>
      </c>
      <c r="L65" s="35"/>
      <c r="M65" s="35"/>
      <c r="N65" s="13"/>
      <c r="O65" s="13"/>
      <c r="P65" s="13"/>
      <c r="Q65" s="13"/>
      <c r="R65" s="13"/>
      <c r="S65" s="13"/>
      <c r="T65" s="13"/>
      <c r="U65" s="13"/>
      <c r="V65" s="13"/>
      <c r="W65" s="13"/>
      <c r="X65" s="13"/>
      <c r="Y65" s="13"/>
      <c r="Z65" s="13"/>
      <c r="AA65" s="13"/>
    </row>
    <row r="66" ht="16.5" hidden="1" customHeight="1">
      <c r="A66" s="234">
        <v>63.0</v>
      </c>
      <c r="B66" s="229" t="s">
        <v>2589</v>
      </c>
      <c r="C66" s="230" t="s">
        <v>2719</v>
      </c>
      <c r="D66" s="231" t="s">
        <v>2720</v>
      </c>
      <c r="E66" s="235" t="s">
        <v>2721</v>
      </c>
      <c r="F66" s="236" t="s">
        <v>2722</v>
      </c>
      <c r="G66" s="231" t="s">
        <v>2723</v>
      </c>
      <c r="H66" s="237" t="b">
        <v>0</v>
      </c>
      <c r="I66" s="232">
        <v>45988.0</v>
      </c>
      <c r="J66" s="233" t="s">
        <v>2555</v>
      </c>
      <c r="K66" s="209" t="b">
        <v>0</v>
      </c>
      <c r="L66" s="35"/>
      <c r="M66" s="35"/>
      <c r="N66" s="13"/>
      <c r="O66" s="13"/>
      <c r="P66" s="13"/>
      <c r="Q66" s="13"/>
      <c r="R66" s="13"/>
      <c r="S66" s="13"/>
      <c r="T66" s="13"/>
      <c r="U66" s="13"/>
      <c r="V66" s="13"/>
      <c r="W66" s="13"/>
      <c r="X66" s="13"/>
      <c r="Y66" s="13"/>
      <c r="Z66" s="13"/>
      <c r="AA66" s="13"/>
    </row>
    <row r="67" ht="16.5" hidden="1" customHeight="1">
      <c r="A67" s="229">
        <v>64.0</v>
      </c>
      <c r="B67" s="229" t="s">
        <v>2724</v>
      </c>
      <c r="C67" s="230" t="s">
        <v>2725</v>
      </c>
      <c r="D67" s="231" t="s">
        <v>2726</v>
      </c>
      <c r="E67" s="238" t="s">
        <v>2727</v>
      </c>
      <c r="F67" s="231" t="s">
        <v>2728</v>
      </c>
      <c r="G67" s="231" t="s">
        <v>2729</v>
      </c>
      <c r="H67" s="232"/>
      <c r="I67" s="232">
        <v>45989.0</v>
      </c>
      <c r="J67" s="233" t="s">
        <v>2561</v>
      </c>
      <c r="K67" s="211" t="b">
        <v>0</v>
      </c>
      <c r="L67" s="35"/>
      <c r="M67" s="35"/>
      <c r="N67" s="13"/>
      <c r="O67" s="13"/>
      <c r="P67" s="13"/>
      <c r="Q67" s="13"/>
      <c r="R67" s="13"/>
      <c r="S67" s="13"/>
      <c r="T67" s="13"/>
      <c r="U67" s="13"/>
      <c r="V67" s="13"/>
      <c r="W67" s="13"/>
      <c r="X67" s="13"/>
      <c r="Y67" s="13"/>
      <c r="Z67" s="13"/>
      <c r="AA67" s="13"/>
    </row>
    <row r="68" ht="16.5" hidden="1" customHeight="1">
      <c r="A68" s="234">
        <v>65.0</v>
      </c>
      <c r="B68" s="229" t="s">
        <v>2730</v>
      </c>
      <c r="C68" s="230" t="s">
        <v>2731</v>
      </c>
      <c r="D68" s="239" t="s">
        <v>2732</v>
      </c>
      <c r="E68" s="235" t="s">
        <v>2733</v>
      </c>
      <c r="F68" s="240"/>
      <c r="G68" s="231" t="s">
        <v>2734</v>
      </c>
      <c r="H68" s="237" t="b">
        <v>0</v>
      </c>
      <c r="I68" s="232">
        <v>45989.0</v>
      </c>
      <c r="J68" s="233" t="s">
        <v>2555</v>
      </c>
      <c r="K68" s="209" t="b">
        <v>0</v>
      </c>
      <c r="L68" s="35"/>
      <c r="M68" s="35"/>
      <c r="N68" s="13"/>
      <c r="O68" s="13"/>
      <c r="P68" s="13"/>
      <c r="Q68" s="13"/>
      <c r="R68" s="13"/>
      <c r="S68" s="13"/>
      <c r="T68" s="13"/>
      <c r="U68" s="13"/>
      <c r="V68" s="13"/>
      <c r="W68" s="13"/>
      <c r="X68" s="13"/>
      <c r="Y68" s="13"/>
      <c r="Z68" s="13"/>
      <c r="AA68" s="13"/>
    </row>
    <row r="69" ht="16.5" hidden="1" customHeight="1">
      <c r="A69" s="229">
        <v>66.0</v>
      </c>
      <c r="B69" s="229" t="s">
        <v>2735</v>
      </c>
      <c r="C69" s="230" t="s">
        <v>2736</v>
      </c>
      <c r="D69" s="231" t="s">
        <v>2737</v>
      </c>
      <c r="E69" s="238" t="s">
        <v>2738</v>
      </c>
      <c r="F69" s="231" t="s">
        <v>2739</v>
      </c>
      <c r="G69" s="231" t="s">
        <v>2740</v>
      </c>
      <c r="H69" s="232"/>
      <c r="I69" s="232">
        <v>45989.0</v>
      </c>
      <c r="J69" s="233" t="s">
        <v>2561</v>
      </c>
      <c r="K69" s="211" t="b">
        <v>0</v>
      </c>
      <c r="L69" s="35"/>
      <c r="M69" s="35"/>
      <c r="N69" s="13"/>
      <c r="O69" s="13"/>
      <c r="P69" s="13"/>
      <c r="Q69" s="13"/>
      <c r="R69" s="13"/>
      <c r="S69" s="13"/>
      <c r="T69" s="13"/>
      <c r="U69" s="13"/>
      <c r="V69" s="13"/>
      <c r="W69" s="13"/>
      <c r="X69" s="13"/>
      <c r="Y69" s="13"/>
      <c r="Z69" s="13"/>
      <c r="AA69" s="13"/>
    </row>
    <row r="70" ht="16.5" hidden="1" customHeight="1">
      <c r="A70" s="229">
        <v>67.0</v>
      </c>
      <c r="B70" s="229" t="s">
        <v>2589</v>
      </c>
      <c r="C70" s="230" t="s">
        <v>2741</v>
      </c>
      <c r="D70" s="231" t="s">
        <v>2742</v>
      </c>
      <c r="E70" s="238" t="s">
        <v>2743</v>
      </c>
      <c r="F70" s="231" t="s">
        <v>2744</v>
      </c>
      <c r="G70" s="231" t="s">
        <v>2745</v>
      </c>
      <c r="H70" s="232"/>
      <c r="I70" s="232">
        <v>45989.0</v>
      </c>
      <c r="J70" s="233" t="s">
        <v>2561</v>
      </c>
      <c r="K70" s="211" t="b">
        <v>0</v>
      </c>
      <c r="L70" s="35"/>
      <c r="M70" s="35"/>
      <c r="N70" s="13"/>
      <c r="O70" s="13"/>
      <c r="P70" s="13"/>
      <c r="Q70" s="13"/>
      <c r="R70" s="13"/>
      <c r="S70" s="13"/>
      <c r="T70" s="13"/>
      <c r="U70" s="13"/>
      <c r="V70" s="13"/>
      <c r="W70" s="13"/>
      <c r="X70" s="13"/>
      <c r="Y70" s="13"/>
      <c r="Z70" s="13"/>
      <c r="AA70" s="13"/>
    </row>
    <row r="71" ht="16.5" hidden="1" customHeight="1">
      <c r="A71" s="234">
        <v>68.0</v>
      </c>
      <c r="B71" s="229" t="s">
        <v>2730</v>
      </c>
      <c r="C71" s="230" t="s">
        <v>2746</v>
      </c>
      <c r="D71" s="231" t="s">
        <v>2747</v>
      </c>
      <c r="E71" s="241" t="s">
        <v>2748</v>
      </c>
      <c r="F71" s="236" t="s">
        <v>2749</v>
      </c>
      <c r="G71" s="231" t="s">
        <v>2750</v>
      </c>
      <c r="H71" s="237" t="b">
        <v>0</v>
      </c>
      <c r="I71" s="232">
        <v>45989.0</v>
      </c>
      <c r="J71" s="233" t="s">
        <v>2555</v>
      </c>
      <c r="K71" s="209" t="b">
        <v>0</v>
      </c>
      <c r="L71" s="35"/>
      <c r="M71" s="35"/>
      <c r="N71" s="13"/>
      <c r="O71" s="13"/>
      <c r="P71" s="13"/>
      <c r="Q71" s="13"/>
      <c r="R71" s="13"/>
      <c r="S71" s="13"/>
      <c r="T71" s="13"/>
      <c r="U71" s="13"/>
      <c r="V71" s="13"/>
      <c r="W71" s="13"/>
      <c r="X71" s="13"/>
      <c r="Y71" s="13"/>
      <c r="Z71" s="13"/>
      <c r="AA71" s="13"/>
    </row>
    <row r="72" ht="16.5" hidden="1" customHeight="1">
      <c r="A72" s="234">
        <v>69.0</v>
      </c>
      <c r="B72" s="229" t="s">
        <v>2751</v>
      </c>
      <c r="C72" s="230" t="s">
        <v>2752</v>
      </c>
      <c r="D72" s="231" t="s">
        <v>2753</v>
      </c>
      <c r="E72" s="235" t="s">
        <v>2754</v>
      </c>
      <c r="F72" s="236" t="s">
        <v>2755</v>
      </c>
      <c r="G72" s="231" t="s">
        <v>2756</v>
      </c>
      <c r="H72" s="237" t="b">
        <v>0</v>
      </c>
      <c r="I72" s="232">
        <v>45989.0</v>
      </c>
      <c r="J72" s="233" t="s">
        <v>2555</v>
      </c>
      <c r="K72" s="209" t="b">
        <v>0</v>
      </c>
      <c r="L72" s="35"/>
      <c r="M72" s="35"/>
      <c r="N72" s="13"/>
      <c r="O72" s="13"/>
      <c r="P72" s="13"/>
      <c r="Q72" s="13"/>
      <c r="R72" s="13"/>
      <c r="S72" s="13"/>
      <c r="T72" s="13"/>
      <c r="U72" s="13"/>
      <c r="V72" s="13"/>
      <c r="W72" s="13"/>
      <c r="X72" s="13"/>
      <c r="Y72" s="13"/>
      <c r="Z72" s="13"/>
      <c r="AA72" s="13"/>
    </row>
    <row r="73" ht="16.5" hidden="1" customHeight="1">
      <c r="A73" s="234">
        <v>70.0</v>
      </c>
      <c r="B73" s="229" t="s">
        <v>2589</v>
      </c>
      <c r="C73" s="230" t="s">
        <v>2757</v>
      </c>
      <c r="D73" s="231" t="s">
        <v>2758</v>
      </c>
      <c r="E73" s="235" t="s">
        <v>2759</v>
      </c>
      <c r="F73" s="236" t="s">
        <v>2691</v>
      </c>
      <c r="G73" s="231" t="s">
        <v>2485</v>
      </c>
      <c r="H73" s="237" t="b">
        <v>0</v>
      </c>
      <c r="I73" s="232">
        <v>45989.0</v>
      </c>
      <c r="J73" s="233" t="s">
        <v>2555</v>
      </c>
      <c r="K73" s="209" t="b">
        <v>0</v>
      </c>
      <c r="L73" s="35"/>
      <c r="M73" s="35"/>
      <c r="N73" s="13"/>
      <c r="O73" s="13"/>
      <c r="P73" s="13"/>
      <c r="Q73" s="13"/>
      <c r="R73" s="13"/>
      <c r="S73" s="13"/>
      <c r="T73" s="13"/>
      <c r="U73" s="13"/>
      <c r="V73" s="13"/>
      <c r="W73" s="13"/>
      <c r="X73" s="13"/>
      <c r="Y73" s="13"/>
      <c r="Z73" s="13"/>
      <c r="AA73" s="13"/>
    </row>
    <row r="74" ht="16.5" customHeight="1">
      <c r="A74" s="234">
        <v>71.0</v>
      </c>
      <c r="B74" s="229" t="s">
        <v>2589</v>
      </c>
      <c r="C74" s="230" t="s">
        <v>2521</v>
      </c>
      <c r="D74" s="231" t="s">
        <v>2522</v>
      </c>
      <c r="E74" s="242" t="s">
        <v>2523</v>
      </c>
      <c r="F74" s="236" t="s">
        <v>2524</v>
      </c>
      <c r="G74" s="231" t="s">
        <v>2485</v>
      </c>
      <c r="H74" s="243" t="b">
        <v>1</v>
      </c>
      <c r="I74" s="232">
        <v>45989.0</v>
      </c>
      <c r="J74" s="233" t="s">
        <v>2555</v>
      </c>
      <c r="K74" s="209" t="b">
        <v>0</v>
      </c>
      <c r="L74" s="35"/>
      <c r="M74" s="35"/>
      <c r="N74" s="13"/>
      <c r="O74" s="13"/>
      <c r="P74" s="13"/>
      <c r="Q74" s="13"/>
      <c r="R74" s="13"/>
      <c r="S74" s="13"/>
      <c r="T74" s="13"/>
      <c r="U74" s="13"/>
      <c r="V74" s="13"/>
      <c r="W74" s="13"/>
      <c r="X74" s="13"/>
      <c r="Y74" s="13"/>
      <c r="Z74" s="13"/>
      <c r="AA74" s="13"/>
    </row>
    <row r="75" ht="16.5" customHeight="1">
      <c r="A75" s="234">
        <v>72.0</v>
      </c>
      <c r="B75" s="229" t="s">
        <v>2589</v>
      </c>
      <c r="C75" s="230" t="s">
        <v>2525</v>
      </c>
      <c r="D75" s="231" t="s">
        <v>2526</v>
      </c>
      <c r="E75" s="242" t="s">
        <v>2523</v>
      </c>
      <c r="F75" s="236" t="s">
        <v>2527</v>
      </c>
      <c r="G75" s="231" t="s">
        <v>2485</v>
      </c>
      <c r="H75" s="243" t="b">
        <v>1</v>
      </c>
      <c r="I75" s="232">
        <v>45989.0</v>
      </c>
      <c r="J75" s="233" t="s">
        <v>2555</v>
      </c>
      <c r="K75" s="209" t="b">
        <v>0</v>
      </c>
      <c r="L75" s="35"/>
      <c r="M75" s="35"/>
      <c r="N75" s="13"/>
      <c r="O75" s="13"/>
      <c r="P75" s="13"/>
      <c r="Q75" s="13"/>
      <c r="R75" s="13"/>
      <c r="S75" s="13"/>
      <c r="T75" s="13"/>
      <c r="U75" s="13"/>
      <c r="V75" s="13"/>
      <c r="W75" s="13"/>
      <c r="X75" s="13"/>
      <c r="Y75" s="13"/>
      <c r="Z75" s="13"/>
      <c r="AA75" s="13"/>
    </row>
    <row r="76" ht="16.5" customHeight="1">
      <c r="A76" s="234">
        <v>73.0</v>
      </c>
      <c r="B76" s="229" t="s">
        <v>2589</v>
      </c>
      <c r="C76" s="230" t="s">
        <v>2528</v>
      </c>
      <c r="D76" s="231" t="s">
        <v>2529</v>
      </c>
      <c r="E76" s="242" t="s">
        <v>2523</v>
      </c>
      <c r="F76" s="236" t="s">
        <v>2530</v>
      </c>
      <c r="G76" s="231" t="s">
        <v>2485</v>
      </c>
      <c r="H76" s="243" t="b">
        <v>1</v>
      </c>
      <c r="I76" s="232">
        <v>45989.0</v>
      </c>
      <c r="J76" s="233" t="s">
        <v>2555</v>
      </c>
      <c r="K76" s="209" t="b">
        <v>0</v>
      </c>
      <c r="L76" s="35"/>
      <c r="M76" s="35"/>
      <c r="N76" s="13"/>
      <c r="O76" s="13"/>
      <c r="P76" s="13"/>
      <c r="Q76" s="13"/>
      <c r="R76" s="13"/>
      <c r="S76" s="13"/>
      <c r="T76" s="13"/>
      <c r="U76" s="13"/>
      <c r="V76" s="13"/>
      <c r="W76" s="13"/>
      <c r="X76" s="13"/>
      <c r="Y76" s="13"/>
      <c r="Z76" s="13"/>
      <c r="AA76" s="13"/>
    </row>
    <row r="77" ht="16.5" customHeight="1">
      <c r="A77" s="234">
        <v>74.0</v>
      </c>
      <c r="B77" s="229" t="s">
        <v>2589</v>
      </c>
      <c r="C77" s="230" t="s">
        <v>2531</v>
      </c>
      <c r="D77" s="231" t="s">
        <v>2532</v>
      </c>
      <c r="E77" s="242" t="s">
        <v>2523</v>
      </c>
      <c r="F77" s="236" t="s">
        <v>2533</v>
      </c>
      <c r="G77" s="231" t="s">
        <v>2485</v>
      </c>
      <c r="H77" s="243" t="b">
        <v>1</v>
      </c>
      <c r="I77" s="232">
        <v>45989.0</v>
      </c>
      <c r="J77" s="233" t="s">
        <v>2555</v>
      </c>
      <c r="K77" s="209" t="b">
        <v>0</v>
      </c>
      <c r="L77" s="35"/>
      <c r="M77" s="35"/>
      <c r="N77" s="13"/>
      <c r="O77" s="13"/>
      <c r="P77" s="13"/>
      <c r="Q77" s="13"/>
      <c r="R77" s="13"/>
      <c r="S77" s="13"/>
      <c r="T77" s="13"/>
      <c r="U77" s="13"/>
      <c r="V77" s="13"/>
      <c r="W77" s="13"/>
      <c r="X77" s="13"/>
      <c r="Y77" s="13"/>
      <c r="Z77" s="13"/>
      <c r="AA77" s="13"/>
    </row>
    <row r="78" ht="16.5" customHeight="1">
      <c r="A78" s="234">
        <v>75.0</v>
      </c>
      <c r="B78" s="229" t="s">
        <v>2589</v>
      </c>
      <c r="C78" s="230" t="s">
        <v>2534</v>
      </c>
      <c r="D78" s="231" t="s">
        <v>2535</v>
      </c>
      <c r="E78" s="242" t="s">
        <v>2523</v>
      </c>
      <c r="F78" s="236" t="s">
        <v>2536</v>
      </c>
      <c r="G78" s="231" t="s">
        <v>2485</v>
      </c>
      <c r="H78" s="243" t="b">
        <v>1</v>
      </c>
      <c r="I78" s="232">
        <v>45989.0</v>
      </c>
      <c r="J78" s="233" t="s">
        <v>2555</v>
      </c>
      <c r="K78" s="209" t="b">
        <v>0</v>
      </c>
      <c r="L78" s="35"/>
      <c r="M78" s="35"/>
      <c r="N78" s="13"/>
      <c r="O78" s="13"/>
      <c r="P78" s="13"/>
      <c r="Q78" s="13"/>
      <c r="R78" s="13"/>
      <c r="S78" s="13"/>
      <c r="T78" s="13"/>
      <c r="U78" s="13"/>
      <c r="V78" s="13"/>
      <c r="W78" s="13"/>
      <c r="X78" s="13"/>
      <c r="Y78" s="13"/>
      <c r="Z78" s="13"/>
      <c r="AA78" s="13"/>
    </row>
    <row r="79" ht="16.5" hidden="1" customHeight="1">
      <c r="A79" s="234">
        <v>76.0</v>
      </c>
      <c r="B79" s="229" t="s">
        <v>2705</v>
      </c>
      <c r="C79" s="230" t="s">
        <v>2760</v>
      </c>
      <c r="D79" s="231" t="s">
        <v>2761</v>
      </c>
      <c r="E79" s="235" t="s">
        <v>2762</v>
      </c>
      <c r="F79" s="236" t="s">
        <v>2763</v>
      </c>
      <c r="G79" s="231" t="s">
        <v>2764</v>
      </c>
      <c r="H79" s="237" t="b">
        <v>0</v>
      </c>
      <c r="I79" s="232">
        <v>45989.0</v>
      </c>
      <c r="J79" s="233" t="s">
        <v>2555</v>
      </c>
      <c r="K79" s="209" t="b">
        <v>0</v>
      </c>
      <c r="L79" s="35"/>
      <c r="M79" s="35"/>
      <c r="N79" s="13"/>
      <c r="O79" s="13"/>
      <c r="P79" s="13"/>
      <c r="Q79" s="13"/>
      <c r="R79" s="13"/>
      <c r="S79" s="13"/>
      <c r="T79" s="13"/>
      <c r="U79" s="13"/>
      <c r="V79" s="13"/>
      <c r="W79" s="13"/>
      <c r="X79" s="13"/>
      <c r="Y79" s="13"/>
      <c r="Z79" s="13"/>
      <c r="AA79" s="13"/>
    </row>
    <row r="80" ht="16.5" hidden="1" customHeight="1">
      <c r="A80" s="229">
        <v>77.0</v>
      </c>
      <c r="B80" s="229" t="s">
        <v>2609</v>
      </c>
      <c r="C80" s="230" t="s">
        <v>2765</v>
      </c>
      <c r="D80" s="231" t="s">
        <v>2766</v>
      </c>
      <c r="E80" s="231" t="s">
        <v>2767</v>
      </c>
      <c r="F80" s="231" t="s">
        <v>2763</v>
      </c>
      <c r="G80" s="231" t="s">
        <v>2768</v>
      </c>
      <c r="H80" s="232"/>
      <c r="I80" s="232">
        <v>45989.0</v>
      </c>
      <c r="J80" s="233" t="s">
        <v>2561</v>
      </c>
      <c r="K80" s="211" t="b">
        <v>0</v>
      </c>
      <c r="L80" s="35"/>
      <c r="M80" s="35"/>
      <c r="N80" s="13"/>
      <c r="O80" s="13"/>
      <c r="P80" s="13"/>
      <c r="Q80" s="13"/>
      <c r="R80" s="13"/>
      <c r="S80" s="13"/>
      <c r="T80" s="13"/>
      <c r="U80" s="13"/>
      <c r="V80" s="13"/>
      <c r="W80" s="13"/>
      <c r="X80" s="13"/>
      <c r="Y80" s="13"/>
      <c r="Z80" s="13"/>
      <c r="AA80" s="13"/>
    </row>
    <row r="81" ht="16.5" hidden="1" customHeight="1">
      <c r="A81" s="234">
        <v>78.0</v>
      </c>
      <c r="B81" s="229" t="s">
        <v>2705</v>
      </c>
      <c r="C81" s="230" t="s">
        <v>2769</v>
      </c>
      <c r="D81" s="231" t="s">
        <v>2770</v>
      </c>
      <c r="E81" s="235" t="s">
        <v>2762</v>
      </c>
      <c r="F81" s="236" t="s">
        <v>152</v>
      </c>
      <c r="G81" s="231" t="s">
        <v>2771</v>
      </c>
      <c r="H81" s="237" t="b">
        <v>0</v>
      </c>
      <c r="I81" s="232">
        <v>45992.0</v>
      </c>
      <c r="J81" s="233" t="s">
        <v>2555</v>
      </c>
      <c r="K81" s="209" t="b">
        <v>0</v>
      </c>
      <c r="L81" s="35"/>
      <c r="M81" s="35"/>
      <c r="N81" s="13"/>
      <c r="O81" s="13"/>
      <c r="P81" s="13"/>
      <c r="Q81" s="13"/>
      <c r="R81" s="13"/>
      <c r="S81" s="13"/>
      <c r="T81" s="13"/>
      <c r="U81" s="13"/>
      <c r="V81" s="13"/>
      <c r="W81" s="13"/>
      <c r="X81" s="13"/>
      <c r="Y81" s="13"/>
      <c r="Z81" s="13"/>
      <c r="AA81" s="13"/>
    </row>
    <row r="82" ht="16.5" hidden="1" customHeight="1">
      <c r="A82" s="234">
        <v>79.0</v>
      </c>
      <c r="B82" s="229" t="s">
        <v>2609</v>
      </c>
      <c r="C82" s="230" t="s">
        <v>2772</v>
      </c>
      <c r="D82" s="231" t="s">
        <v>2773</v>
      </c>
      <c r="E82" s="235" t="s">
        <v>2774</v>
      </c>
      <c r="F82" s="240"/>
      <c r="G82" s="231" t="s">
        <v>2775</v>
      </c>
      <c r="H82" s="237" t="b">
        <v>0</v>
      </c>
      <c r="I82" s="232">
        <v>45992.0</v>
      </c>
      <c r="J82" s="233" t="s">
        <v>2555</v>
      </c>
      <c r="K82" s="209" t="b">
        <v>0</v>
      </c>
      <c r="L82" s="35"/>
      <c r="M82" s="35"/>
      <c r="N82" s="13"/>
      <c r="O82" s="13"/>
      <c r="P82" s="13"/>
      <c r="Q82" s="13"/>
      <c r="R82" s="13"/>
      <c r="S82" s="13"/>
      <c r="T82" s="13"/>
      <c r="U82" s="13"/>
      <c r="V82" s="13"/>
      <c r="W82" s="13"/>
      <c r="X82" s="13"/>
      <c r="Y82" s="13"/>
      <c r="Z82" s="13"/>
      <c r="AA82" s="13"/>
    </row>
    <row r="83" ht="16.5" hidden="1" customHeight="1">
      <c r="A83" s="234">
        <v>80.0</v>
      </c>
      <c r="B83" s="229" t="s">
        <v>2776</v>
      </c>
      <c r="C83" s="230" t="s">
        <v>2777</v>
      </c>
      <c r="D83" s="231" t="s">
        <v>2778</v>
      </c>
      <c r="E83" s="235" t="s">
        <v>2779</v>
      </c>
      <c r="F83" s="236" t="s">
        <v>774</v>
      </c>
      <c r="G83" s="231" t="s">
        <v>2780</v>
      </c>
      <c r="H83" s="237" t="b">
        <v>0</v>
      </c>
      <c r="I83" s="232">
        <v>45993.0</v>
      </c>
      <c r="J83" s="233" t="s">
        <v>2555</v>
      </c>
      <c r="K83" s="209" t="b">
        <v>0</v>
      </c>
      <c r="L83" s="35"/>
      <c r="M83" s="35"/>
      <c r="N83" s="13"/>
      <c r="O83" s="13"/>
      <c r="P83" s="13"/>
      <c r="Q83" s="13"/>
      <c r="R83" s="13"/>
      <c r="S83" s="13"/>
      <c r="T83" s="13"/>
      <c r="U83" s="13"/>
      <c r="V83" s="13"/>
      <c r="W83" s="13"/>
      <c r="X83" s="13"/>
      <c r="Y83" s="13"/>
      <c r="Z83" s="13"/>
      <c r="AA83" s="13"/>
    </row>
    <row r="84" ht="16.5" hidden="1" customHeight="1">
      <c r="A84" s="234">
        <v>81.0</v>
      </c>
      <c r="B84" s="229" t="s">
        <v>2776</v>
      </c>
      <c r="C84" s="230" t="s">
        <v>2781</v>
      </c>
      <c r="D84" s="231" t="s">
        <v>2782</v>
      </c>
      <c r="E84" s="241" t="s">
        <v>2783</v>
      </c>
      <c r="F84" s="240"/>
      <c r="G84" s="231" t="s">
        <v>2784</v>
      </c>
      <c r="H84" s="237" t="b">
        <v>0</v>
      </c>
      <c r="I84" s="232">
        <v>45993.0</v>
      </c>
      <c r="J84" s="233" t="s">
        <v>2555</v>
      </c>
      <c r="K84" s="209" t="b">
        <v>0</v>
      </c>
      <c r="L84" s="35"/>
      <c r="M84" s="35"/>
      <c r="N84" s="13"/>
      <c r="O84" s="13"/>
      <c r="P84" s="13"/>
      <c r="Q84" s="13"/>
      <c r="R84" s="13"/>
      <c r="S84" s="13"/>
      <c r="T84" s="13"/>
      <c r="U84" s="13"/>
      <c r="V84" s="13"/>
      <c r="W84" s="13"/>
      <c r="X84" s="13"/>
      <c r="Y84" s="13"/>
      <c r="Z84" s="13"/>
      <c r="AA84" s="13"/>
    </row>
    <row r="85" ht="16.5" hidden="1" customHeight="1">
      <c r="A85" s="234">
        <v>82.0</v>
      </c>
      <c r="B85" s="229" t="s">
        <v>2695</v>
      </c>
      <c r="C85" s="230" t="s">
        <v>2785</v>
      </c>
      <c r="D85" s="239" t="s">
        <v>2786</v>
      </c>
      <c r="E85" s="235" t="s">
        <v>2787</v>
      </c>
      <c r="F85" s="244" t="s">
        <v>2788</v>
      </c>
      <c r="G85" s="231" t="s">
        <v>2789</v>
      </c>
      <c r="H85" s="237" t="b">
        <v>0</v>
      </c>
      <c r="I85" s="232">
        <v>45993.0</v>
      </c>
      <c r="J85" s="233" t="s">
        <v>2555</v>
      </c>
      <c r="K85" s="209" t="b">
        <v>0</v>
      </c>
      <c r="L85" s="35"/>
      <c r="M85" s="35"/>
      <c r="N85" s="13"/>
      <c r="O85" s="13"/>
      <c r="P85" s="13"/>
      <c r="Q85" s="13"/>
      <c r="R85" s="13"/>
      <c r="S85" s="13"/>
      <c r="T85" s="13"/>
      <c r="U85" s="13"/>
      <c r="V85" s="13"/>
      <c r="W85" s="13"/>
      <c r="X85" s="13"/>
      <c r="Y85" s="13"/>
      <c r="Z85" s="13"/>
      <c r="AA85" s="13"/>
    </row>
    <row r="86" ht="16.5" hidden="1" customHeight="1">
      <c r="A86" s="234">
        <v>83.0</v>
      </c>
      <c r="B86" s="229" t="s">
        <v>2695</v>
      </c>
      <c r="C86" s="230" t="s">
        <v>2790</v>
      </c>
      <c r="D86" s="239" t="s">
        <v>2791</v>
      </c>
      <c r="E86" s="235" t="s">
        <v>2792</v>
      </c>
      <c r="F86" s="244" t="s">
        <v>2793</v>
      </c>
      <c r="G86" s="231" t="s">
        <v>2789</v>
      </c>
      <c r="H86" s="237" t="b">
        <v>0</v>
      </c>
      <c r="I86" s="232">
        <v>45993.0</v>
      </c>
      <c r="J86" s="233" t="s">
        <v>2555</v>
      </c>
      <c r="K86" s="209" t="b">
        <v>0</v>
      </c>
      <c r="L86" s="35"/>
      <c r="M86" s="35"/>
      <c r="N86" s="13"/>
      <c r="O86" s="13"/>
      <c r="P86" s="13"/>
      <c r="Q86" s="13"/>
      <c r="R86" s="13"/>
      <c r="S86" s="13"/>
      <c r="T86" s="13"/>
      <c r="U86" s="13"/>
      <c r="V86" s="13"/>
      <c r="W86" s="13"/>
      <c r="X86" s="13"/>
      <c r="Y86" s="13"/>
      <c r="Z86" s="13"/>
      <c r="AA86" s="13"/>
    </row>
    <row r="87" ht="16.5" hidden="1" customHeight="1">
      <c r="A87" s="234">
        <v>84.0</v>
      </c>
      <c r="B87" s="229" t="s">
        <v>2554</v>
      </c>
      <c r="C87" s="230" t="s">
        <v>2794</v>
      </c>
      <c r="D87" s="239" t="s">
        <v>2795</v>
      </c>
      <c r="E87" s="235" t="s">
        <v>2796</v>
      </c>
      <c r="F87" s="236" t="s">
        <v>2797</v>
      </c>
      <c r="G87" s="231" t="s">
        <v>2798</v>
      </c>
      <c r="H87" s="237" t="b">
        <v>0</v>
      </c>
      <c r="I87" s="232">
        <v>45993.0</v>
      </c>
      <c r="J87" s="233" t="s">
        <v>2555</v>
      </c>
      <c r="K87" s="209" t="b">
        <v>0</v>
      </c>
      <c r="L87" s="35"/>
      <c r="M87" s="35"/>
      <c r="N87" s="13"/>
      <c r="O87" s="13"/>
      <c r="P87" s="13"/>
      <c r="Q87" s="13"/>
      <c r="R87" s="13"/>
      <c r="S87" s="13"/>
      <c r="T87" s="13"/>
      <c r="U87" s="13"/>
      <c r="V87" s="13"/>
      <c r="W87" s="13"/>
      <c r="X87" s="13"/>
      <c r="Y87" s="13"/>
      <c r="Z87" s="13"/>
      <c r="AA87" s="13"/>
    </row>
    <row r="88" ht="16.5" hidden="1" customHeight="1">
      <c r="A88" s="234">
        <v>85.0</v>
      </c>
      <c r="B88" s="229" t="s">
        <v>2601</v>
      </c>
      <c r="C88" s="230" t="s">
        <v>2799</v>
      </c>
      <c r="D88" s="239" t="s">
        <v>2800</v>
      </c>
      <c r="E88" s="245" t="s">
        <v>2801</v>
      </c>
      <c r="F88" s="246" t="s">
        <v>2802</v>
      </c>
      <c r="G88" s="247" t="s">
        <v>2803</v>
      </c>
      <c r="H88" s="237" t="b">
        <v>0</v>
      </c>
      <c r="I88" s="232">
        <v>45993.0</v>
      </c>
      <c r="J88" s="233" t="s">
        <v>2555</v>
      </c>
      <c r="K88" s="209" t="b">
        <v>0</v>
      </c>
      <c r="L88" s="35"/>
      <c r="M88" s="35"/>
      <c r="N88" s="13"/>
      <c r="O88" s="13"/>
      <c r="P88" s="13"/>
      <c r="Q88" s="13"/>
      <c r="R88" s="13"/>
      <c r="S88" s="13"/>
      <c r="T88" s="13"/>
      <c r="U88" s="13"/>
      <c r="V88" s="13"/>
      <c r="W88" s="13"/>
      <c r="X88" s="13"/>
      <c r="Y88" s="13"/>
      <c r="Z88" s="13"/>
      <c r="AA88" s="13"/>
    </row>
    <row r="89" ht="16.5" hidden="1" customHeight="1">
      <c r="A89" s="234">
        <v>86.0</v>
      </c>
      <c r="B89" s="229" t="s">
        <v>2568</v>
      </c>
      <c r="C89" s="230" t="s">
        <v>2804</v>
      </c>
      <c r="D89" s="231" t="s">
        <v>2805</v>
      </c>
      <c r="E89" s="235" t="s">
        <v>2806</v>
      </c>
      <c r="F89" s="236" t="s">
        <v>173</v>
      </c>
      <c r="G89" s="231" t="s">
        <v>2807</v>
      </c>
      <c r="H89" s="237" t="b">
        <v>0</v>
      </c>
      <c r="I89" s="232">
        <v>45993.0</v>
      </c>
      <c r="J89" s="233" t="s">
        <v>2555</v>
      </c>
      <c r="K89" s="209" t="b">
        <v>0</v>
      </c>
      <c r="L89" s="35"/>
      <c r="M89" s="35"/>
      <c r="N89" s="13"/>
      <c r="O89" s="13"/>
      <c r="P89" s="13"/>
      <c r="Q89" s="13"/>
      <c r="R89" s="13"/>
      <c r="S89" s="13"/>
      <c r="T89" s="13"/>
      <c r="U89" s="13"/>
      <c r="V89" s="13"/>
      <c r="W89" s="13"/>
      <c r="X89" s="13"/>
      <c r="Y89" s="13"/>
      <c r="Z89" s="13"/>
      <c r="AA89" s="13"/>
    </row>
    <row r="90" ht="16.5" hidden="1" customHeight="1">
      <c r="A90" s="234">
        <v>87.0</v>
      </c>
      <c r="B90" s="229" t="s">
        <v>2568</v>
      </c>
      <c r="C90" s="230" t="s">
        <v>2808</v>
      </c>
      <c r="D90" s="231" t="s">
        <v>2809</v>
      </c>
      <c r="E90" s="235" t="s">
        <v>2810</v>
      </c>
      <c r="F90" s="236" t="s">
        <v>173</v>
      </c>
      <c r="G90" s="231" t="s">
        <v>2811</v>
      </c>
      <c r="H90" s="237" t="b">
        <v>0</v>
      </c>
      <c r="I90" s="232">
        <v>45993.0</v>
      </c>
      <c r="J90" s="233" t="s">
        <v>2555</v>
      </c>
      <c r="K90" s="209" t="b">
        <v>0</v>
      </c>
      <c r="L90" s="35"/>
      <c r="M90" s="35"/>
      <c r="N90" s="13"/>
      <c r="O90" s="13"/>
      <c r="P90" s="13"/>
      <c r="Q90" s="13"/>
      <c r="R90" s="13"/>
      <c r="S90" s="13"/>
      <c r="T90" s="13"/>
      <c r="U90" s="13"/>
      <c r="V90" s="13"/>
      <c r="W90" s="13"/>
      <c r="X90" s="13"/>
      <c r="Y90" s="13"/>
      <c r="Z90" s="13"/>
      <c r="AA90" s="13"/>
    </row>
    <row r="91" ht="16.5" hidden="1" customHeight="1">
      <c r="A91" s="234">
        <v>88.0</v>
      </c>
      <c r="B91" s="229" t="s">
        <v>2589</v>
      </c>
      <c r="C91" s="248" t="s">
        <v>2812</v>
      </c>
      <c r="D91" s="231" t="s">
        <v>2813</v>
      </c>
      <c r="E91" s="235" t="s">
        <v>2814</v>
      </c>
      <c r="F91" s="236" t="s">
        <v>2252</v>
      </c>
      <c r="G91" s="231" t="s">
        <v>2815</v>
      </c>
      <c r="H91" s="237" t="b">
        <v>0</v>
      </c>
      <c r="I91" s="232">
        <v>45993.0</v>
      </c>
      <c r="J91" s="233" t="s">
        <v>2555</v>
      </c>
      <c r="K91" s="209" t="b">
        <v>0</v>
      </c>
      <c r="L91" s="35"/>
      <c r="M91" s="35"/>
      <c r="N91" s="13"/>
      <c r="O91" s="13"/>
      <c r="P91" s="13"/>
      <c r="Q91" s="13"/>
      <c r="R91" s="13"/>
      <c r="S91" s="13"/>
      <c r="T91" s="13"/>
      <c r="U91" s="13"/>
      <c r="V91" s="13"/>
      <c r="W91" s="13"/>
      <c r="X91" s="13"/>
      <c r="Y91" s="13"/>
      <c r="Z91" s="13"/>
      <c r="AA91" s="13"/>
    </row>
    <row r="92" ht="16.5" hidden="1" customHeight="1">
      <c r="A92" s="234">
        <v>89.0</v>
      </c>
      <c r="B92" s="229" t="s">
        <v>2589</v>
      </c>
      <c r="C92" s="230" t="s">
        <v>2816</v>
      </c>
      <c r="D92" s="231" t="s">
        <v>2817</v>
      </c>
      <c r="E92" s="235" t="s">
        <v>2814</v>
      </c>
      <c r="F92" s="236" t="s">
        <v>104</v>
      </c>
      <c r="G92" s="231" t="s">
        <v>2815</v>
      </c>
      <c r="H92" s="237" t="b">
        <v>0</v>
      </c>
      <c r="I92" s="232">
        <v>45993.0</v>
      </c>
      <c r="J92" s="233" t="s">
        <v>2555</v>
      </c>
      <c r="K92" s="209" t="b">
        <v>0</v>
      </c>
      <c r="L92" s="35"/>
      <c r="M92" s="35"/>
      <c r="N92" s="13"/>
      <c r="O92" s="13"/>
      <c r="P92" s="13"/>
      <c r="Q92" s="13"/>
      <c r="R92" s="13"/>
      <c r="S92" s="13"/>
      <c r="T92" s="13"/>
      <c r="U92" s="13"/>
      <c r="V92" s="13"/>
      <c r="W92" s="13"/>
      <c r="X92" s="13"/>
      <c r="Y92" s="13"/>
      <c r="Z92" s="13"/>
      <c r="AA92" s="13"/>
    </row>
    <row r="93" ht="16.5" hidden="1" customHeight="1">
      <c r="A93" s="234">
        <v>90.0</v>
      </c>
      <c r="B93" s="229" t="s">
        <v>2589</v>
      </c>
      <c r="C93" s="230" t="s">
        <v>2818</v>
      </c>
      <c r="D93" s="231" t="s">
        <v>2819</v>
      </c>
      <c r="E93" s="249"/>
      <c r="F93" s="236" t="s">
        <v>1126</v>
      </c>
      <c r="G93" s="231" t="s">
        <v>2815</v>
      </c>
      <c r="H93" s="237" t="b">
        <v>0</v>
      </c>
      <c r="I93" s="232">
        <v>45993.0</v>
      </c>
      <c r="J93" s="233" t="s">
        <v>2555</v>
      </c>
      <c r="K93" s="209" t="b">
        <v>0</v>
      </c>
      <c r="L93" s="35"/>
      <c r="M93" s="35"/>
      <c r="N93" s="13"/>
      <c r="O93" s="13"/>
      <c r="P93" s="13"/>
      <c r="Q93" s="13"/>
      <c r="R93" s="13"/>
      <c r="S93" s="13"/>
      <c r="T93" s="13"/>
      <c r="U93" s="13"/>
      <c r="V93" s="13"/>
      <c r="W93" s="13"/>
      <c r="X93" s="13"/>
      <c r="Y93" s="13"/>
      <c r="Z93" s="13"/>
      <c r="AA93" s="13"/>
    </row>
    <row r="94" ht="16.5" hidden="1" customHeight="1">
      <c r="A94" s="234">
        <v>91.0</v>
      </c>
      <c r="B94" s="229" t="s">
        <v>2589</v>
      </c>
      <c r="C94" s="230" t="s">
        <v>2820</v>
      </c>
      <c r="D94" s="231" t="s">
        <v>2821</v>
      </c>
      <c r="E94" s="235" t="s">
        <v>2814</v>
      </c>
      <c r="F94" s="236" t="s">
        <v>2822</v>
      </c>
      <c r="G94" s="231" t="s">
        <v>2815</v>
      </c>
      <c r="H94" s="237" t="b">
        <v>0</v>
      </c>
      <c r="I94" s="232">
        <v>45993.0</v>
      </c>
      <c r="J94" s="233" t="s">
        <v>2555</v>
      </c>
      <c r="K94" s="209" t="b">
        <v>0</v>
      </c>
      <c r="L94" s="35"/>
      <c r="M94" s="35"/>
      <c r="N94" s="13"/>
      <c r="O94" s="13"/>
      <c r="P94" s="13"/>
      <c r="Q94" s="13"/>
      <c r="R94" s="13"/>
      <c r="S94" s="13"/>
      <c r="T94" s="13"/>
      <c r="U94" s="13"/>
      <c r="V94" s="13"/>
      <c r="W94" s="13"/>
      <c r="X94" s="13"/>
      <c r="Y94" s="13"/>
      <c r="Z94" s="13"/>
      <c r="AA94" s="13"/>
    </row>
    <row r="95" ht="16.5" hidden="1" customHeight="1">
      <c r="A95" s="234">
        <v>92.0</v>
      </c>
      <c r="B95" s="229" t="s">
        <v>2589</v>
      </c>
      <c r="C95" s="230" t="s">
        <v>2823</v>
      </c>
      <c r="D95" s="231" t="s">
        <v>2824</v>
      </c>
      <c r="E95" s="235" t="s">
        <v>2814</v>
      </c>
      <c r="F95" s="236" t="s">
        <v>325</v>
      </c>
      <c r="G95" s="231" t="s">
        <v>2815</v>
      </c>
      <c r="H95" s="237" t="b">
        <v>0</v>
      </c>
      <c r="I95" s="232">
        <v>45993.0</v>
      </c>
      <c r="J95" s="233" t="s">
        <v>2555</v>
      </c>
      <c r="K95" s="209" t="b">
        <v>0</v>
      </c>
      <c r="L95" s="35"/>
      <c r="M95" s="35"/>
      <c r="N95" s="13"/>
      <c r="O95" s="13"/>
      <c r="P95" s="13"/>
      <c r="Q95" s="13"/>
      <c r="R95" s="13"/>
      <c r="S95" s="13"/>
      <c r="T95" s="13"/>
      <c r="U95" s="13"/>
      <c r="V95" s="13"/>
      <c r="W95" s="13"/>
      <c r="X95" s="13"/>
      <c r="Y95" s="13"/>
      <c r="Z95" s="13"/>
      <c r="AA95" s="13"/>
    </row>
    <row r="96" ht="16.5" hidden="1" customHeight="1">
      <c r="A96" s="234">
        <v>93.0</v>
      </c>
      <c r="B96" s="229" t="s">
        <v>2589</v>
      </c>
      <c r="C96" s="230" t="s">
        <v>2825</v>
      </c>
      <c r="D96" s="231" t="s">
        <v>2826</v>
      </c>
      <c r="E96" s="235" t="s">
        <v>2814</v>
      </c>
      <c r="F96" s="236" t="s">
        <v>2827</v>
      </c>
      <c r="G96" s="231" t="s">
        <v>2815</v>
      </c>
      <c r="H96" s="237" t="b">
        <v>0</v>
      </c>
      <c r="I96" s="232">
        <v>45993.0</v>
      </c>
      <c r="J96" s="233" t="s">
        <v>2555</v>
      </c>
      <c r="K96" s="209" t="b">
        <v>0</v>
      </c>
      <c r="L96" s="35"/>
      <c r="M96" s="35"/>
      <c r="N96" s="13"/>
      <c r="O96" s="13"/>
      <c r="P96" s="13"/>
      <c r="Q96" s="13"/>
      <c r="R96" s="13"/>
      <c r="S96" s="13"/>
      <c r="T96" s="13"/>
      <c r="U96" s="13"/>
      <c r="V96" s="13"/>
      <c r="W96" s="13"/>
      <c r="X96" s="13"/>
      <c r="Y96" s="13"/>
      <c r="Z96" s="13"/>
      <c r="AA96" s="13"/>
    </row>
    <row r="97" ht="16.5" hidden="1" customHeight="1">
      <c r="A97" s="229">
        <v>94.0</v>
      </c>
      <c r="B97" s="229" t="s">
        <v>2562</v>
      </c>
      <c r="C97" s="230" t="s">
        <v>2828</v>
      </c>
      <c r="D97" s="231" t="s">
        <v>2829</v>
      </c>
      <c r="E97" s="231" t="s">
        <v>2830</v>
      </c>
      <c r="F97" s="231" t="s">
        <v>2831</v>
      </c>
      <c r="G97" s="231" t="s">
        <v>2832</v>
      </c>
      <c r="H97" s="232"/>
      <c r="I97" s="232">
        <v>45993.0</v>
      </c>
      <c r="J97" s="233" t="s">
        <v>2561</v>
      </c>
      <c r="K97" s="211" t="b">
        <v>0</v>
      </c>
      <c r="L97" s="35"/>
      <c r="M97" s="35"/>
      <c r="N97" s="13"/>
      <c r="O97" s="13"/>
      <c r="P97" s="13"/>
      <c r="Q97" s="13"/>
      <c r="R97" s="13"/>
      <c r="S97" s="13"/>
      <c r="T97" s="13"/>
      <c r="U97" s="13"/>
      <c r="V97" s="13"/>
      <c r="W97" s="13"/>
      <c r="X97" s="13"/>
      <c r="Y97" s="13"/>
      <c r="Z97" s="13"/>
      <c r="AA97" s="13"/>
    </row>
    <row r="98" ht="16.5" hidden="1" customHeight="1">
      <c r="A98" s="229">
        <v>95.0</v>
      </c>
      <c r="B98" s="229" t="s">
        <v>2695</v>
      </c>
      <c r="C98" s="230" t="s">
        <v>2833</v>
      </c>
      <c r="D98" s="231" t="s">
        <v>2834</v>
      </c>
      <c r="E98" s="231" t="s">
        <v>2835</v>
      </c>
      <c r="F98" s="231" t="s">
        <v>2835</v>
      </c>
      <c r="G98" s="231" t="s">
        <v>2836</v>
      </c>
      <c r="H98" s="232"/>
      <c r="I98" s="232">
        <v>45993.0</v>
      </c>
      <c r="J98" s="233" t="s">
        <v>2561</v>
      </c>
      <c r="K98" s="211" t="b">
        <v>0</v>
      </c>
      <c r="L98" s="35"/>
      <c r="M98" s="35"/>
      <c r="N98" s="13"/>
      <c r="O98" s="13"/>
      <c r="P98" s="13"/>
      <c r="Q98" s="13"/>
      <c r="R98" s="13"/>
      <c r="S98" s="13"/>
      <c r="T98" s="13"/>
      <c r="U98" s="13"/>
      <c r="V98" s="13"/>
      <c r="W98" s="13"/>
      <c r="X98" s="13"/>
      <c r="Y98" s="13"/>
      <c r="Z98" s="13"/>
      <c r="AA98" s="13"/>
    </row>
    <row r="99" ht="16.5" hidden="1" customHeight="1">
      <c r="A99" s="229">
        <v>96.0</v>
      </c>
      <c r="B99" s="229" t="s">
        <v>2671</v>
      </c>
      <c r="C99" s="230" t="s">
        <v>2837</v>
      </c>
      <c r="D99" s="231" t="s">
        <v>2838</v>
      </c>
      <c r="E99" s="231" t="s">
        <v>2839</v>
      </c>
      <c r="F99" s="231" t="s">
        <v>2840</v>
      </c>
      <c r="G99" s="231" t="s">
        <v>2841</v>
      </c>
      <c r="H99" s="232"/>
      <c r="I99" s="232">
        <v>45993.0</v>
      </c>
      <c r="J99" s="233" t="s">
        <v>2561</v>
      </c>
      <c r="K99" s="211" t="b">
        <v>0</v>
      </c>
      <c r="L99" s="35"/>
      <c r="M99" s="35"/>
      <c r="N99" s="13"/>
      <c r="O99" s="13"/>
      <c r="P99" s="13"/>
      <c r="Q99" s="13"/>
      <c r="R99" s="13"/>
      <c r="S99" s="13"/>
      <c r="T99" s="13"/>
      <c r="U99" s="13"/>
      <c r="V99" s="13"/>
      <c r="W99" s="13"/>
      <c r="X99" s="13"/>
      <c r="Y99" s="13"/>
      <c r="Z99" s="13"/>
      <c r="AA99" s="13"/>
    </row>
    <row r="100" ht="16.5" hidden="1" customHeight="1">
      <c r="A100" s="234">
        <v>97.0</v>
      </c>
      <c r="B100" s="229" t="s">
        <v>2700</v>
      </c>
      <c r="C100" s="230" t="s">
        <v>2842</v>
      </c>
      <c r="D100" s="231" t="s">
        <v>2843</v>
      </c>
      <c r="E100" s="235" t="s">
        <v>2844</v>
      </c>
      <c r="F100" s="236" t="s">
        <v>2845</v>
      </c>
      <c r="G100" s="231" t="s">
        <v>2846</v>
      </c>
      <c r="H100" s="237" t="b">
        <v>0</v>
      </c>
      <c r="I100" s="232">
        <v>45993.0</v>
      </c>
      <c r="J100" s="233" t="s">
        <v>2555</v>
      </c>
      <c r="K100" s="209" t="b">
        <v>0</v>
      </c>
      <c r="L100" s="35"/>
      <c r="M100" s="35"/>
      <c r="N100" s="13"/>
      <c r="O100" s="13"/>
      <c r="P100" s="13"/>
      <c r="Q100" s="13"/>
      <c r="R100" s="13"/>
      <c r="S100" s="13"/>
      <c r="T100" s="13"/>
      <c r="U100" s="13"/>
      <c r="V100" s="13"/>
      <c r="W100" s="13"/>
      <c r="X100" s="13"/>
      <c r="Y100" s="13"/>
      <c r="Z100" s="13"/>
      <c r="AA100" s="13"/>
    </row>
    <row r="101" ht="16.5" hidden="1" customHeight="1">
      <c r="A101" s="234">
        <v>98.0</v>
      </c>
      <c r="B101" s="229" t="s">
        <v>2609</v>
      </c>
      <c r="C101" s="230" t="s">
        <v>2847</v>
      </c>
      <c r="D101" s="231" t="s">
        <v>2848</v>
      </c>
      <c r="E101" s="235" t="s">
        <v>2849</v>
      </c>
      <c r="F101" s="236" t="s">
        <v>2850</v>
      </c>
      <c r="G101" s="231" t="s">
        <v>2851</v>
      </c>
      <c r="H101" s="237" t="b">
        <v>0</v>
      </c>
      <c r="I101" s="232">
        <v>45993.0</v>
      </c>
      <c r="J101" s="233" t="s">
        <v>2555</v>
      </c>
      <c r="K101" s="209" t="b">
        <v>0</v>
      </c>
      <c r="L101" s="35"/>
      <c r="M101" s="35"/>
      <c r="N101" s="13"/>
      <c r="O101" s="13"/>
      <c r="P101" s="13"/>
      <c r="Q101" s="13"/>
      <c r="R101" s="13"/>
      <c r="S101" s="13"/>
      <c r="T101" s="13"/>
      <c r="U101" s="13"/>
      <c r="V101" s="13"/>
      <c r="W101" s="13"/>
      <c r="X101" s="13"/>
      <c r="Y101" s="13"/>
      <c r="Z101" s="13"/>
      <c r="AA101" s="13"/>
    </row>
    <row r="102" ht="16.5" hidden="1" customHeight="1">
      <c r="A102" s="229">
        <v>99.0</v>
      </c>
      <c r="B102" s="229" t="s">
        <v>2609</v>
      </c>
      <c r="C102" s="230" t="s">
        <v>2852</v>
      </c>
      <c r="D102" s="231" t="s">
        <v>2853</v>
      </c>
      <c r="E102" s="231" t="s">
        <v>2854</v>
      </c>
      <c r="F102" s="231" t="s">
        <v>2855</v>
      </c>
      <c r="G102" s="231" t="s">
        <v>2856</v>
      </c>
      <c r="H102" s="232"/>
      <c r="I102" s="232">
        <v>45993.0</v>
      </c>
      <c r="J102" s="233" t="s">
        <v>2561</v>
      </c>
      <c r="K102" s="211" t="b">
        <v>0</v>
      </c>
      <c r="L102" s="35"/>
      <c r="M102" s="35"/>
      <c r="N102" s="13"/>
      <c r="O102" s="13"/>
      <c r="P102" s="13"/>
      <c r="Q102" s="13"/>
      <c r="R102" s="13"/>
      <c r="S102" s="13"/>
      <c r="T102" s="13"/>
      <c r="U102" s="13"/>
      <c r="V102" s="13"/>
      <c r="W102" s="13"/>
      <c r="X102" s="13"/>
      <c r="Y102" s="13"/>
      <c r="Z102" s="13"/>
      <c r="AA102" s="13"/>
    </row>
    <row r="103" ht="16.5" hidden="1" customHeight="1">
      <c r="A103" s="234">
        <v>100.0</v>
      </c>
      <c r="B103" s="229" t="s">
        <v>2554</v>
      </c>
      <c r="C103" s="230" t="s">
        <v>2857</v>
      </c>
      <c r="D103" s="231" t="s">
        <v>2858</v>
      </c>
      <c r="E103" s="235" t="s">
        <v>2859</v>
      </c>
      <c r="F103" s="236" t="s">
        <v>2860</v>
      </c>
      <c r="G103" s="231" t="s">
        <v>2861</v>
      </c>
      <c r="H103" s="237" t="b">
        <v>0</v>
      </c>
      <c r="I103" s="232">
        <v>45993.0</v>
      </c>
      <c r="J103" s="233" t="s">
        <v>2555</v>
      </c>
      <c r="K103" s="209" t="b">
        <v>0</v>
      </c>
      <c r="L103" s="35"/>
      <c r="M103" s="35"/>
      <c r="N103" s="13"/>
      <c r="O103" s="13"/>
      <c r="P103" s="13"/>
      <c r="Q103" s="13"/>
      <c r="R103" s="13"/>
      <c r="S103" s="13"/>
      <c r="T103" s="13"/>
      <c r="U103" s="13"/>
      <c r="V103" s="13"/>
      <c r="W103" s="13"/>
      <c r="X103" s="13"/>
      <c r="Y103" s="13"/>
      <c r="Z103" s="13"/>
      <c r="AA103" s="13"/>
    </row>
    <row r="104" ht="16.5" hidden="1" customHeight="1">
      <c r="A104" s="229">
        <v>101.0</v>
      </c>
      <c r="B104" s="229" t="s">
        <v>2554</v>
      </c>
      <c r="C104" s="230" t="s">
        <v>2862</v>
      </c>
      <c r="D104" s="231" t="s">
        <v>2863</v>
      </c>
      <c r="E104" s="231" t="s">
        <v>2864</v>
      </c>
      <c r="F104" s="231" t="s">
        <v>2865</v>
      </c>
      <c r="G104" s="231" t="s">
        <v>2485</v>
      </c>
      <c r="H104" s="232"/>
      <c r="I104" s="232">
        <v>45993.0</v>
      </c>
      <c r="J104" s="233" t="s">
        <v>2561</v>
      </c>
      <c r="K104" s="211" t="b">
        <v>0</v>
      </c>
      <c r="L104" s="35"/>
      <c r="M104" s="35"/>
      <c r="N104" s="13"/>
      <c r="O104" s="13"/>
      <c r="P104" s="13"/>
      <c r="Q104" s="13"/>
      <c r="R104" s="13"/>
      <c r="S104" s="13"/>
      <c r="T104" s="13"/>
      <c r="U104" s="13"/>
      <c r="V104" s="13"/>
      <c r="W104" s="13"/>
      <c r="X104" s="13"/>
      <c r="Y104" s="13"/>
      <c r="Z104" s="13"/>
      <c r="AA104" s="13"/>
    </row>
    <row r="105" ht="16.5" hidden="1" customHeight="1">
      <c r="A105" s="234">
        <v>102.0</v>
      </c>
      <c r="B105" s="229" t="s">
        <v>2554</v>
      </c>
      <c r="C105" s="230" t="s">
        <v>2866</v>
      </c>
      <c r="D105" s="231" t="s">
        <v>2867</v>
      </c>
      <c r="E105" s="235" t="s">
        <v>2868</v>
      </c>
      <c r="F105" s="236" t="s">
        <v>2869</v>
      </c>
      <c r="G105" s="231" t="s">
        <v>2870</v>
      </c>
      <c r="H105" s="237" t="b">
        <v>0</v>
      </c>
      <c r="I105" s="232">
        <v>45993.0</v>
      </c>
      <c r="J105" s="233" t="s">
        <v>2555</v>
      </c>
      <c r="K105" s="209" t="b">
        <v>0</v>
      </c>
      <c r="L105" s="35"/>
      <c r="M105" s="35"/>
      <c r="N105" s="13"/>
      <c r="O105" s="13"/>
      <c r="P105" s="13"/>
      <c r="Q105" s="13"/>
      <c r="R105" s="13"/>
      <c r="S105" s="13"/>
      <c r="T105" s="13"/>
      <c r="U105" s="13"/>
      <c r="V105" s="13"/>
      <c r="W105" s="13"/>
      <c r="X105" s="13"/>
      <c r="Y105" s="13"/>
      <c r="Z105" s="13"/>
      <c r="AA105" s="13"/>
    </row>
    <row r="106" ht="16.5" hidden="1" customHeight="1">
      <c r="A106" s="234">
        <v>103.0</v>
      </c>
      <c r="B106" s="229" t="s">
        <v>2554</v>
      </c>
      <c r="C106" s="230" t="s">
        <v>2871</v>
      </c>
      <c r="D106" s="231" t="s">
        <v>2872</v>
      </c>
      <c r="E106" s="235" t="s">
        <v>2873</v>
      </c>
      <c r="F106" s="236" t="s">
        <v>2874</v>
      </c>
      <c r="G106" s="231" t="s">
        <v>2875</v>
      </c>
      <c r="H106" s="237" t="b">
        <v>0</v>
      </c>
      <c r="I106" s="232">
        <v>45993.0</v>
      </c>
      <c r="J106" s="233" t="s">
        <v>2555</v>
      </c>
      <c r="K106" s="209" t="b">
        <v>0</v>
      </c>
      <c r="L106" s="35"/>
      <c r="M106" s="35"/>
      <c r="N106" s="13"/>
      <c r="O106" s="13"/>
      <c r="P106" s="13"/>
      <c r="Q106" s="13"/>
      <c r="R106" s="13"/>
      <c r="S106" s="13"/>
      <c r="T106" s="13"/>
      <c r="U106" s="13"/>
      <c r="V106" s="13"/>
      <c r="W106" s="13"/>
      <c r="X106" s="13"/>
      <c r="Y106" s="13"/>
      <c r="Z106" s="13"/>
      <c r="AA106" s="13"/>
    </row>
    <row r="107" ht="16.5" hidden="1" customHeight="1">
      <c r="A107" s="229">
        <v>104.0</v>
      </c>
      <c r="B107" s="229" t="s">
        <v>2751</v>
      </c>
      <c r="C107" s="230" t="s">
        <v>2876</v>
      </c>
      <c r="D107" s="231" t="s">
        <v>2877</v>
      </c>
      <c r="E107" s="231" t="s">
        <v>2878</v>
      </c>
      <c r="F107" s="231" t="s">
        <v>2879</v>
      </c>
      <c r="G107" s="231" t="s">
        <v>2880</v>
      </c>
      <c r="H107" s="232"/>
      <c r="I107" s="232">
        <v>45993.0</v>
      </c>
      <c r="J107" s="233" t="s">
        <v>2561</v>
      </c>
      <c r="K107" s="211" t="b">
        <v>0</v>
      </c>
      <c r="L107" s="35"/>
      <c r="M107" s="35"/>
      <c r="N107" s="13"/>
      <c r="O107" s="13"/>
      <c r="P107" s="13"/>
      <c r="Q107" s="13"/>
      <c r="R107" s="13"/>
      <c r="S107" s="13"/>
      <c r="T107" s="13"/>
      <c r="U107" s="13"/>
      <c r="V107" s="13"/>
      <c r="W107" s="13"/>
      <c r="X107" s="13"/>
      <c r="Y107" s="13"/>
      <c r="Z107" s="13"/>
      <c r="AA107" s="13"/>
    </row>
    <row r="108" ht="16.5" hidden="1" customHeight="1">
      <c r="A108" s="229">
        <v>105.0</v>
      </c>
      <c r="B108" s="229" t="s">
        <v>2751</v>
      </c>
      <c r="C108" s="230" t="s">
        <v>2881</v>
      </c>
      <c r="D108" s="231" t="s">
        <v>2882</v>
      </c>
      <c r="E108" s="231" t="s">
        <v>2883</v>
      </c>
      <c r="F108" s="231" t="s">
        <v>2884</v>
      </c>
      <c r="G108" s="231" t="s">
        <v>2885</v>
      </c>
      <c r="H108" s="232"/>
      <c r="I108" s="232">
        <v>45993.0</v>
      </c>
      <c r="J108" s="233" t="s">
        <v>2561</v>
      </c>
      <c r="K108" s="211" t="b">
        <v>0</v>
      </c>
      <c r="L108" s="35"/>
      <c r="M108" s="35"/>
      <c r="N108" s="13"/>
      <c r="O108" s="13"/>
      <c r="P108" s="13"/>
      <c r="Q108" s="13"/>
      <c r="R108" s="13"/>
      <c r="S108" s="13"/>
      <c r="T108" s="13"/>
      <c r="U108" s="13"/>
      <c r="V108" s="13"/>
      <c r="W108" s="13"/>
      <c r="X108" s="13"/>
      <c r="Y108" s="13"/>
      <c r="Z108" s="13"/>
      <c r="AA108" s="13"/>
    </row>
    <row r="109" ht="16.5" customHeight="1">
      <c r="A109" s="234">
        <v>106.0</v>
      </c>
      <c r="B109" s="229" t="s">
        <v>2601</v>
      </c>
      <c r="C109" s="230" t="s">
        <v>2537</v>
      </c>
      <c r="D109" s="231" t="s">
        <v>2538</v>
      </c>
      <c r="E109" s="242" t="s">
        <v>2468</v>
      </c>
      <c r="F109" s="236" t="s">
        <v>2539</v>
      </c>
      <c r="G109" s="231" t="s">
        <v>2540</v>
      </c>
      <c r="H109" s="243" t="b">
        <v>1</v>
      </c>
      <c r="I109" s="232">
        <v>45993.0</v>
      </c>
      <c r="J109" s="233" t="s">
        <v>2555</v>
      </c>
      <c r="K109" s="209" t="b">
        <v>0</v>
      </c>
      <c r="L109" s="35"/>
      <c r="M109" s="35"/>
      <c r="N109" s="13"/>
      <c r="O109" s="13"/>
      <c r="P109" s="13"/>
      <c r="Q109" s="13"/>
      <c r="R109" s="13"/>
      <c r="S109" s="13"/>
      <c r="T109" s="13"/>
      <c r="U109" s="13"/>
      <c r="V109" s="13"/>
      <c r="W109" s="13"/>
      <c r="X109" s="13"/>
      <c r="Y109" s="13"/>
      <c r="Z109" s="13"/>
      <c r="AA109" s="13"/>
    </row>
    <row r="110" ht="16.5" hidden="1" customHeight="1">
      <c r="A110" s="234">
        <v>107.0</v>
      </c>
      <c r="B110" s="229" t="s">
        <v>2730</v>
      </c>
      <c r="C110" s="230" t="s">
        <v>2886</v>
      </c>
      <c r="D110" s="231" t="s">
        <v>2887</v>
      </c>
      <c r="E110" s="235" t="s">
        <v>2888</v>
      </c>
      <c r="F110" s="236" t="s">
        <v>2889</v>
      </c>
      <c r="G110" s="231" t="s">
        <v>2890</v>
      </c>
      <c r="H110" s="237" t="b">
        <v>0</v>
      </c>
      <c r="I110" s="232">
        <v>45993.0</v>
      </c>
      <c r="J110" s="233" t="s">
        <v>2555</v>
      </c>
      <c r="K110" s="209" t="b">
        <v>0</v>
      </c>
      <c r="L110" s="35"/>
      <c r="M110" s="35"/>
      <c r="N110" s="13"/>
      <c r="O110" s="13"/>
      <c r="P110" s="13"/>
      <c r="Q110" s="13"/>
      <c r="R110" s="13"/>
      <c r="S110" s="13"/>
      <c r="T110" s="13"/>
      <c r="U110" s="13"/>
      <c r="V110" s="13"/>
      <c r="W110" s="13"/>
      <c r="X110" s="13"/>
      <c r="Y110" s="13"/>
      <c r="Z110" s="13"/>
      <c r="AA110" s="13"/>
    </row>
    <row r="111" ht="16.5" hidden="1" customHeight="1">
      <c r="A111" s="250">
        <v>108.0</v>
      </c>
      <c r="B111" s="251" t="s">
        <v>2589</v>
      </c>
      <c r="C111" s="230" t="s">
        <v>2891</v>
      </c>
      <c r="D111" s="231" t="s">
        <v>2892</v>
      </c>
      <c r="E111" s="235" t="s">
        <v>2893</v>
      </c>
      <c r="F111" s="236" t="s">
        <v>2894</v>
      </c>
      <c r="G111" s="231" t="s">
        <v>2895</v>
      </c>
      <c r="H111" s="237" t="b">
        <v>0</v>
      </c>
      <c r="I111" s="232">
        <v>45993.0</v>
      </c>
      <c r="J111" s="233" t="s">
        <v>2555</v>
      </c>
      <c r="K111" s="209" t="b">
        <v>0</v>
      </c>
      <c r="L111" s="35"/>
      <c r="M111" s="35"/>
      <c r="N111" s="13"/>
      <c r="O111" s="13"/>
      <c r="P111" s="13"/>
      <c r="Q111" s="13"/>
      <c r="R111" s="13"/>
      <c r="S111" s="13"/>
      <c r="T111" s="13"/>
      <c r="U111" s="13"/>
      <c r="V111" s="13"/>
      <c r="W111" s="13"/>
      <c r="X111" s="13"/>
      <c r="Y111" s="13"/>
      <c r="Z111" s="13"/>
      <c r="AA111" s="13"/>
    </row>
    <row r="112" ht="16.5" hidden="1" customHeight="1">
      <c r="A112" s="251">
        <v>109.0</v>
      </c>
      <c r="B112" s="251" t="s">
        <v>2589</v>
      </c>
      <c r="C112" s="230" t="s">
        <v>2896</v>
      </c>
      <c r="D112" s="231" t="s">
        <v>2897</v>
      </c>
      <c r="E112" s="238" t="s">
        <v>2898</v>
      </c>
      <c r="F112" s="231" t="s">
        <v>2899</v>
      </c>
      <c r="G112" s="231" t="s">
        <v>2900</v>
      </c>
      <c r="H112" s="232"/>
      <c r="I112" s="232">
        <v>45993.0</v>
      </c>
      <c r="J112" s="233" t="s">
        <v>2561</v>
      </c>
      <c r="K112" s="211" t="b">
        <v>0</v>
      </c>
      <c r="L112" s="35"/>
      <c r="M112" s="35"/>
      <c r="N112" s="13"/>
      <c r="O112" s="13"/>
      <c r="P112" s="13"/>
      <c r="Q112" s="13"/>
      <c r="R112" s="13"/>
      <c r="S112" s="13"/>
      <c r="T112" s="13"/>
      <c r="U112" s="13"/>
      <c r="V112" s="13"/>
      <c r="W112" s="13"/>
      <c r="X112" s="13"/>
      <c r="Y112" s="13"/>
      <c r="Z112" s="13"/>
      <c r="AA112" s="13"/>
    </row>
    <row r="113" ht="16.5" hidden="1" customHeight="1">
      <c r="A113" s="250">
        <v>110.0</v>
      </c>
      <c r="B113" s="251" t="s">
        <v>2589</v>
      </c>
      <c r="C113" s="230" t="s">
        <v>2901</v>
      </c>
      <c r="D113" s="252" t="s">
        <v>2902</v>
      </c>
      <c r="E113" s="235" t="s">
        <v>2903</v>
      </c>
      <c r="F113" s="236" t="s">
        <v>2904</v>
      </c>
      <c r="G113" s="231" t="s">
        <v>2905</v>
      </c>
      <c r="H113" s="237" t="b">
        <v>0</v>
      </c>
      <c r="I113" s="232">
        <v>45993.0</v>
      </c>
      <c r="J113" s="233" t="s">
        <v>2555</v>
      </c>
      <c r="K113" s="209" t="b">
        <v>0</v>
      </c>
      <c r="L113" s="35"/>
      <c r="M113" s="35"/>
      <c r="N113" s="13"/>
      <c r="O113" s="13"/>
      <c r="P113" s="13"/>
      <c r="Q113" s="13"/>
      <c r="R113" s="13"/>
      <c r="S113" s="13"/>
      <c r="T113" s="13"/>
      <c r="U113" s="13"/>
      <c r="V113" s="13"/>
      <c r="W113" s="13"/>
      <c r="X113" s="13"/>
      <c r="Y113" s="13"/>
      <c r="Z113" s="13"/>
      <c r="AA113" s="13"/>
    </row>
    <row r="114" ht="16.5" hidden="1" customHeight="1">
      <c r="A114" s="250">
        <v>111.0</v>
      </c>
      <c r="B114" s="251" t="s">
        <v>2589</v>
      </c>
      <c r="C114" s="230" t="s">
        <v>2906</v>
      </c>
      <c r="D114" s="231" t="s">
        <v>2907</v>
      </c>
      <c r="E114" s="235" t="s">
        <v>2908</v>
      </c>
      <c r="F114" s="236" t="s">
        <v>2909</v>
      </c>
      <c r="G114" s="231" t="s">
        <v>2910</v>
      </c>
      <c r="H114" s="237" t="b">
        <v>0</v>
      </c>
      <c r="I114" s="232">
        <v>45993.0</v>
      </c>
      <c r="J114" s="233" t="s">
        <v>2555</v>
      </c>
      <c r="K114" s="209" t="b">
        <v>0</v>
      </c>
      <c r="L114" s="35"/>
      <c r="M114" s="35"/>
      <c r="N114" s="13"/>
      <c r="O114" s="13"/>
      <c r="P114" s="13"/>
      <c r="Q114" s="13"/>
      <c r="R114" s="13"/>
      <c r="S114" s="13"/>
      <c r="T114" s="13"/>
      <c r="U114" s="13"/>
      <c r="V114" s="13"/>
      <c r="W114" s="13"/>
      <c r="X114" s="13"/>
      <c r="Y114" s="13"/>
      <c r="Z114" s="13"/>
      <c r="AA114" s="13"/>
    </row>
    <row r="115" ht="16.5" hidden="1" customHeight="1">
      <c r="A115" s="250">
        <v>112.0</v>
      </c>
      <c r="B115" s="251" t="s">
        <v>2589</v>
      </c>
      <c r="C115" s="230" t="s">
        <v>2911</v>
      </c>
      <c r="D115" s="231" t="s">
        <v>2912</v>
      </c>
      <c r="E115" s="235" t="s">
        <v>2913</v>
      </c>
      <c r="F115" s="253" t="s">
        <v>2914</v>
      </c>
      <c r="G115" s="231" t="s">
        <v>2915</v>
      </c>
      <c r="H115" s="237" t="b">
        <v>0</v>
      </c>
      <c r="I115" s="232">
        <v>45993.0</v>
      </c>
      <c r="J115" s="233" t="s">
        <v>2555</v>
      </c>
      <c r="K115" s="209" t="b">
        <v>0</v>
      </c>
      <c r="L115" s="35"/>
      <c r="M115" s="35"/>
      <c r="N115" s="13"/>
      <c r="O115" s="13"/>
      <c r="P115" s="13"/>
      <c r="Q115" s="13"/>
      <c r="R115" s="13"/>
      <c r="S115" s="13"/>
      <c r="T115" s="13"/>
      <c r="U115" s="13"/>
      <c r="V115" s="13"/>
      <c r="W115" s="13"/>
      <c r="X115" s="13"/>
      <c r="Y115" s="13"/>
      <c r="Z115" s="13"/>
      <c r="AA115" s="13"/>
    </row>
    <row r="116" ht="16.5" hidden="1" customHeight="1">
      <c r="A116" s="250">
        <v>113.0</v>
      </c>
      <c r="B116" s="251" t="s">
        <v>2589</v>
      </c>
      <c r="C116" s="230" t="s">
        <v>2916</v>
      </c>
      <c r="D116" s="231" t="s">
        <v>2917</v>
      </c>
      <c r="E116" s="235" t="s">
        <v>2893</v>
      </c>
      <c r="F116" s="236" t="s">
        <v>2918</v>
      </c>
      <c r="G116" s="231" t="s">
        <v>2919</v>
      </c>
      <c r="H116" s="237" t="b">
        <v>0</v>
      </c>
      <c r="I116" s="232">
        <v>45993.0</v>
      </c>
      <c r="J116" s="233" t="s">
        <v>2555</v>
      </c>
      <c r="K116" s="209" t="b">
        <v>0</v>
      </c>
      <c r="L116" s="35"/>
      <c r="M116" s="35"/>
      <c r="N116" s="13"/>
      <c r="O116" s="13"/>
      <c r="P116" s="13"/>
      <c r="Q116" s="13"/>
      <c r="R116" s="13"/>
      <c r="S116" s="13"/>
      <c r="T116" s="13"/>
      <c r="U116" s="13"/>
      <c r="V116" s="13"/>
      <c r="W116" s="13"/>
      <c r="X116" s="13"/>
      <c r="Y116" s="13"/>
      <c r="Z116" s="13"/>
      <c r="AA116" s="13"/>
    </row>
    <row r="117" ht="16.5" hidden="1" customHeight="1">
      <c r="A117" s="250">
        <v>114.0</v>
      </c>
      <c r="B117" s="251" t="s">
        <v>2589</v>
      </c>
      <c r="C117" s="230" t="s">
        <v>2920</v>
      </c>
      <c r="D117" s="231" t="s">
        <v>2921</v>
      </c>
      <c r="E117" s="235" t="s">
        <v>2903</v>
      </c>
      <c r="F117" s="236" t="s">
        <v>2922</v>
      </c>
      <c r="G117" s="231" t="s">
        <v>2923</v>
      </c>
      <c r="H117" s="237" t="b">
        <v>0</v>
      </c>
      <c r="I117" s="232">
        <v>45993.0</v>
      </c>
      <c r="J117" s="233" t="s">
        <v>2555</v>
      </c>
      <c r="K117" s="209" t="b">
        <v>0</v>
      </c>
      <c r="L117" s="35"/>
      <c r="M117" s="35"/>
      <c r="N117" s="13"/>
      <c r="O117" s="13"/>
      <c r="P117" s="13"/>
      <c r="Q117" s="13"/>
      <c r="R117" s="13"/>
      <c r="S117" s="13"/>
      <c r="T117" s="13"/>
      <c r="U117" s="13"/>
      <c r="V117" s="13"/>
      <c r="W117" s="13"/>
      <c r="X117" s="13"/>
      <c r="Y117" s="13"/>
      <c r="Z117" s="13"/>
      <c r="AA117" s="13"/>
    </row>
    <row r="118" ht="16.5" hidden="1" customHeight="1">
      <c r="A118" s="251">
        <v>115.0</v>
      </c>
      <c r="B118" s="251" t="s">
        <v>2589</v>
      </c>
      <c r="C118" s="230" t="s">
        <v>2924</v>
      </c>
      <c r="D118" s="231" t="s">
        <v>2925</v>
      </c>
      <c r="E118" s="231" t="s">
        <v>2926</v>
      </c>
      <c r="F118" s="231" t="s">
        <v>2927</v>
      </c>
      <c r="G118" s="231" t="s">
        <v>2928</v>
      </c>
      <c r="H118" s="232"/>
      <c r="I118" s="232">
        <v>45993.0</v>
      </c>
      <c r="J118" s="233" t="s">
        <v>2561</v>
      </c>
      <c r="K118" s="211" t="b">
        <v>0</v>
      </c>
      <c r="L118" s="35"/>
      <c r="M118" s="35"/>
      <c r="N118" s="13"/>
      <c r="O118" s="13"/>
      <c r="P118" s="13"/>
      <c r="Q118" s="13"/>
      <c r="R118" s="13"/>
      <c r="S118" s="13"/>
      <c r="T118" s="13"/>
      <c r="U118" s="13"/>
      <c r="V118" s="13"/>
      <c r="W118" s="13"/>
      <c r="X118" s="13"/>
      <c r="Y118" s="13"/>
      <c r="Z118" s="13"/>
      <c r="AA118" s="13"/>
    </row>
    <row r="119" ht="16.5" hidden="1" customHeight="1">
      <c r="A119" s="250">
        <v>116.0</v>
      </c>
      <c r="B119" s="251" t="s">
        <v>2589</v>
      </c>
      <c r="C119" s="230" t="s">
        <v>2929</v>
      </c>
      <c r="D119" s="231" t="s">
        <v>2930</v>
      </c>
      <c r="E119" s="235" t="s">
        <v>2931</v>
      </c>
      <c r="F119" s="253" t="s">
        <v>2932</v>
      </c>
      <c r="G119" s="231" t="s">
        <v>2933</v>
      </c>
      <c r="H119" s="237" t="b">
        <v>0</v>
      </c>
      <c r="I119" s="232">
        <v>45993.0</v>
      </c>
      <c r="J119" s="233" t="s">
        <v>2555</v>
      </c>
      <c r="K119" s="209" t="b">
        <v>0</v>
      </c>
      <c r="L119" s="35"/>
      <c r="M119" s="35"/>
      <c r="N119" s="13"/>
      <c r="O119" s="13"/>
      <c r="P119" s="13"/>
      <c r="Q119" s="13"/>
      <c r="R119" s="13"/>
      <c r="S119" s="13"/>
      <c r="T119" s="13"/>
      <c r="U119" s="13"/>
      <c r="V119" s="13"/>
      <c r="W119" s="13"/>
      <c r="X119" s="13"/>
      <c r="Y119" s="13"/>
      <c r="Z119" s="13"/>
      <c r="AA119" s="13"/>
    </row>
    <row r="120" ht="16.5" hidden="1" customHeight="1">
      <c r="A120" s="251">
        <v>117.0</v>
      </c>
      <c r="B120" s="251" t="s">
        <v>2601</v>
      </c>
      <c r="C120" s="230" t="s">
        <v>2934</v>
      </c>
      <c r="D120" s="231" t="s">
        <v>2935</v>
      </c>
      <c r="E120" s="231" t="s">
        <v>2936</v>
      </c>
      <c r="F120" s="231" t="s">
        <v>2937</v>
      </c>
      <c r="G120" s="231" t="s">
        <v>2485</v>
      </c>
      <c r="H120" s="232"/>
      <c r="I120" s="232">
        <v>45993.0</v>
      </c>
      <c r="J120" s="233" t="s">
        <v>2561</v>
      </c>
      <c r="K120" s="211" t="b">
        <v>0</v>
      </c>
      <c r="L120" s="35"/>
      <c r="M120" s="35"/>
      <c r="N120" s="13"/>
      <c r="O120" s="13"/>
      <c r="P120" s="13"/>
      <c r="Q120" s="13"/>
      <c r="R120" s="13"/>
      <c r="S120" s="13"/>
      <c r="T120" s="13"/>
      <c r="U120" s="13"/>
      <c r="V120" s="13"/>
      <c r="W120" s="13"/>
      <c r="X120" s="13"/>
      <c r="Y120" s="13"/>
      <c r="Z120" s="13"/>
      <c r="AA120" s="13"/>
    </row>
    <row r="121" ht="16.5" hidden="1" customHeight="1">
      <c r="A121" s="251">
        <v>118.0</v>
      </c>
      <c r="B121" s="251" t="s">
        <v>2695</v>
      </c>
      <c r="C121" s="230" t="s">
        <v>2938</v>
      </c>
      <c r="D121" s="231" t="s">
        <v>2939</v>
      </c>
      <c r="E121" s="231" t="s">
        <v>2940</v>
      </c>
      <c r="F121" s="231" t="s">
        <v>2941</v>
      </c>
      <c r="G121" s="231" t="s">
        <v>2688</v>
      </c>
      <c r="H121" s="232"/>
      <c r="I121" s="232">
        <v>45993.0</v>
      </c>
      <c r="J121" s="233" t="s">
        <v>2561</v>
      </c>
      <c r="K121" s="211" t="b">
        <v>0</v>
      </c>
      <c r="L121" s="35"/>
      <c r="M121" s="35"/>
      <c r="N121" s="13"/>
      <c r="O121" s="13"/>
      <c r="P121" s="13"/>
      <c r="Q121" s="13"/>
      <c r="R121" s="13"/>
      <c r="S121" s="13"/>
      <c r="T121" s="13"/>
      <c r="U121" s="13"/>
      <c r="V121" s="13"/>
      <c r="W121" s="13"/>
      <c r="X121" s="13"/>
      <c r="Y121" s="13"/>
      <c r="Z121" s="13"/>
      <c r="AA121" s="13"/>
    </row>
    <row r="122" ht="16.5" hidden="1" customHeight="1">
      <c r="A122" s="250">
        <v>119.0</v>
      </c>
      <c r="B122" s="251" t="s">
        <v>2609</v>
      </c>
      <c r="C122" s="230" t="s">
        <v>2942</v>
      </c>
      <c r="D122" s="231" t="s">
        <v>2943</v>
      </c>
      <c r="E122" s="109" t="s">
        <v>2944</v>
      </c>
      <c r="F122" s="41" t="s">
        <v>2945</v>
      </c>
      <c r="G122" s="39" t="s">
        <v>2946</v>
      </c>
      <c r="H122" s="237" t="b">
        <v>0</v>
      </c>
      <c r="I122" s="232">
        <v>45994.0</v>
      </c>
      <c r="J122" s="233" t="s">
        <v>2555</v>
      </c>
      <c r="K122" s="209" t="b">
        <v>0</v>
      </c>
      <c r="L122" s="35"/>
      <c r="M122" s="35"/>
      <c r="N122" s="13"/>
      <c r="O122" s="13"/>
      <c r="P122" s="13"/>
      <c r="Q122" s="13"/>
      <c r="R122" s="13"/>
      <c r="S122" s="13"/>
      <c r="T122" s="13"/>
      <c r="U122" s="13"/>
      <c r="V122" s="13"/>
      <c r="W122" s="13"/>
      <c r="X122" s="13"/>
      <c r="Y122" s="13"/>
      <c r="Z122" s="13"/>
      <c r="AA122" s="13"/>
    </row>
    <row r="123" ht="16.5" hidden="1" customHeight="1">
      <c r="A123" s="250">
        <v>120.0</v>
      </c>
      <c r="B123" s="251" t="s">
        <v>2609</v>
      </c>
      <c r="C123" s="230" t="s">
        <v>2947</v>
      </c>
      <c r="D123" s="231" t="s">
        <v>2948</v>
      </c>
      <c r="E123" s="109" t="s">
        <v>2944</v>
      </c>
      <c r="F123" s="41" t="s">
        <v>2949</v>
      </c>
      <c r="G123" s="39" t="s">
        <v>2950</v>
      </c>
      <c r="H123" s="237" t="b">
        <v>0</v>
      </c>
      <c r="I123" s="232">
        <v>45994.0</v>
      </c>
      <c r="J123" s="233" t="s">
        <v>2555</v>
      </c>
      <c r="K123" s="209" t="b">
        <v>0</v>
      </c>
      <c r="L123" s="35"/>
      <c r="M123" s="35"/>
      <c r="N123" s="13"/>
      <c r="O123" s="13"/>
      <c r="P123" s="13"/>
      <c r="Q123" s="13"/>
      <c r="R123" s="13"/>
      <c r="S123" s="13"/>
      <c r="T123" s="13"/>
      <c r="U123" s="13"/>
      <c r="V123" s="13"/>
      <c r="W123" s="13"/>
      <c r="X123" s="13"/>
      <c r="Y123" s="13"/>
      <c r="Z123" s="13"/>
      <c r="AA123" s="13"/>
    </row>
    <row r="124" ht="16.5" hidden="1" customHeight="1">
      <c r="A124" s="250">
        <v>121.0</v>
      </c>
      <c r="B124" s="251" t="s">
        <v>2609</v>
      </c>
      <c r="C124" s="230" t="s">
        <v>2951</v>
      </c>
      <c r="D124" s="231" t="s">
        <v>2952</v>
      </c>
      <c r="E124" s="109" t="s">
        <v>2944</v>
      </c>
      <c r="F124" s="41" t="s">
        <v>2953</v>
      </c>
      <c r="G124" s="39" t="s">
        <v>2954</v>
      </c>
      <c r="H124" s="237" t="b">
        <v>0</v>
      </c>
      <c r="I124" s="232">
        <v>45994.0</v>
      </c>
      <c r="J124" s="233" t="s">
        <v>2555</v>
      </c>
      <c r="K124" s="209" t="b">
        <v>0</v>
      </c>
      <c r="L124" s="35"/>
      <c r="M124" s="35"/>
      <c r="N124" s="13"/>
      <c r="O124" s="13"/>
      <c r="P124" s="13"/>
      <c r="Q124" s="13"/>
      <c r="R124" s="13"/>
      <c r="S124" s="13"/>
      <c r="T124" s="13"/>
      <c r="U124" s="13"/>
      <c r="V124" s="13"/>
      <c r="W124" s="13"/>
      <c r="X124" s="13"/>
      <c r="Y124" s="13"/>
      <c r="Z124" s="13"/>
      <c r="AA124" s="13"/>
    </row>
    <row r="125" ht="16.5" hidden="1" customHeight="1">
      <c r="A125" s="250">
        <v>122.0</v>
      </c>
      <c r="B125" s="251" t="s">
        <v>2609</v>
      </c>
      <c r="C125" s="230" t="s">
        <v>2955</v>
      </c>
      <c r="D125" s="231" t="s">
        <v>2956</v>
      </c>
      <c r="E125" s="109" t="s">
        <v>2957</v>
      </c>
      <c r="F125" s="236" t="s">
        <v>2958</v>
      </c>
      <c r="G125" s="39" t="s">
        <v>2959</v>
      </c>
      <c r="H125" s="237" t="b">
        <v>0</v>
      </c>
      <c r="I125" s="232">
        <v>45994.0</v>
      </c>
      <c r="J125" s="233" t="s">
        <v>2555</v>
      </c>
      <c r="K125" s="209" t="b">
        <v>0</v>
      </c>
      <c r="L125" s="35"/>
      <c r="M125" s="35"/>
      <c r="N125" s="13"/>
      <c r="O125" s="13"/>
      <c r="P125" s="13"/>
      <c r="Q125" s="13"/>
      <c r="R125" s="13"/>
      <c r="S125" s="13"/>
      <c r="T125" s="13"/>
      <c r="U125" s="13"/>
      <c r="V125" s="13"/>
      <c r="W125" s="13"/>
      <c r="X125" s="13"/>
      <c r="Y125" s="13"/>
      <c r="Z125" s="13"/>
      <c r="AA125" s="13"/>
    </row>
    <row r="126" ht="16.5" hidden="1" customHeight="1">
      <c r="A126" s="250">
        <v>123.0</v>
      </c>
      <c r="B126" s="251" t="s">
        <v>2705</v>
      </c>
      <c r="C126" s="230" t="s">
        <v>2960</v>
      </c>
      <c r="D126" s="231" t="s">
        <v>2961</v>
      </c>
      <c r="E126" s="235" t="s">
        <v>2962</v>
      </c>
      <c r="F126" s="236" t="s">
        <v>2963</v>
      </c>
      <c r="G126" s="231" t="s">
        <v>2964</v>
      </c>
      <c r="H126" s="237" t="b">
        <v>0</v>
      </c>
      <c r="I126" s="232">
        <v>45994.0</v>
      </c>
      <c r="J126" s="233" t="s">
        <v>2555</v>
      </c>
      <c r="K126" s="209" t="b">
        <v>0</v>
      </c>
      <c r="L126" s="35"/>
      <c r="M126" s="35"/>
      <c r="N126" s="13"/>
      <c r="O126" s="13"/>
      <c r="P126" s="13"/>
      <c r="Q126" s="13"/>
      <c r="R126" s="13"/>
      <c r="S126" s="13"/>
      <c r="T126" s="13"/>
      <c r="U126" s="13"/>
      <c r="V126" s="13"/>
      <c r="W126" s="13"/>
      <c r="X126" s="13"/>
      <c r="Y126" s="13"/>
      <c r="Z126" s="13"/>
      <c r="AA126" s="13"/>
    </row>
    <row r="127" ht="16.5" hidden="1" customHeight="1">
      <c r="A127" s="250">
        <v>124.0</v>
      </c>
      <c r="B127" s="251" t="s">
        <v>2705</v>
      </c>
      <c r="C127" s="230" t="s">
        <v>2965</v>
      </c>
      <c r="D127" s="231" t="s">
        <v>2966</v>
      </c>
      <c r="E127" s="235" t="s">
        <v>2967</v>
      </c>
      <c r="F127" s="236" t="s">
        <v>2967</v>
      </c>
      <c r="G127" s="231" t="s">
        <v>2968</v>
      </c>
      <c r="H127" s="237" t="b">
        <v>0</v>
      </c>
      <c r="I127" s="232">
        <v>45994.0</v>
      </c>
      <c r="J127" s="233" t="s">
        <v>2555</v>
      </c>
      <c r="K127" s="209" t="b">
        <v>0</v>
      </c>
      <c r="L127" s="35"/>
      <c r="M127" s="35"/>
      <c r="N127" s="13"/>
      <c r="O127" s="13"/>
      <c r="P127" s="13"/>
      <c r="Q127" s="13"/>
      <c r="R127" s="13"/>
      <c r="S127" s="13"/>
      <c r="T127" s="13"/>
      <c r="U127" s="13"/>
      <c r="V127" s="13"/>
      <c r="W127" s="13"/>
      <c r="X127" s="13"/>
      <c r="Y127" s="13"/>
      <c r="Z127" s="13"/>
      <c r="AA127" s="13"/>
    </row>
    <row r="128" ht="16.5" hidden="1" customHeight="1">
      <c r="A128" s="250">
        <v>125.0</v>
      </c>
      <c r="B128" s="251" t="s">
        <v>2705</v>
      </c>
      <c r="C128" s="230" t="s">
        <v>2969</v>
      </c>
      <c r="D128" s="231" t="s">
        <v>2970</v>
      </c>
      <c r="E128" s="235" t="s">
        <v>2708</v>
      </c>
      <c r="F128" s="236" t="s">
        <v>122</v>
      </c>
      <c r="G128" s="231" t="s">
        <v>2971</v>
      </c>
      <c r="H128" s="237" t="b">
        <v>0</v>
      </c>
      <c r="I128" s="232">
        <v>45994.0</v>
      </c>
      <c r="J128" s="233" t="s">
        <v>2555</v>
      </c>
      <c r="K128" s="209" t="b">
        <v>0</v>
      </c>
      <c r="L128" s="35"/>
      <c r="M128" s="35"/>
      <c r="N128" s="13"/>
      <c r="O128" s="13"/>
      <c r="P128" s="13"/>
      <c r="Q128" s="13"/>
      <c r="R128" s="13"/>
      <c r="S128" s="13"/>
      <c r="T128" s="13"/>
      <c r="U128" s="13"/>
      <c r="V128" s="13"/>
      <c r="W128" s="13"/>
      <c r="X128" s="13"/>
      <c r="Y128" s="13"/>
      <c r="Z128" s="13"/>
      <c r="AA128" s="13"/>
    </row>
    <row r="129" ht="16.5" hidden="1" customHeight="1">
      <c r="A129" s="250">
        <v>126.0</v>
      </c>
      <c r="B129" s="251" t="s">
        <v>2705</v>
      </c>
      <c r="C129" s="230" t="s">
        <v>2972</v>
      </c>
      <c r="D129" s="231" t="s">
        <v>2973</v>
      </c>
      <c r="E129" s="235" t="s">
        <v>2708</v>
      </c>
      <c r="F129" s="236" t="s">
        <v>774</v>
      </c>
      <c r="G129" s="231" t="s">
        <v>2971</v>
      </c>
      <c r="H129" s="237" t="b">
        <v>0</v>
      </c>
      <c r="I129" s="232">
        <v>45994.0</v>
      </c>
      <c r="J129" s="233" t="s">
        <v>2555</v>
      </c>
      <c r="K129" s="209" t="b">
        <v>0</v>
      </c>
      <c r="L129" s="35"/>
      <c r="M129" s="35"/>
      <c r="N129" s="13"/>
      <c r="O129" s="13"/>
      <c r="P129" s="13"/>
      <c r="Q129" s="13"/>
      <c r="R129" s="13"/>
      <c r="S129" s="13"/>
      <c r="T129" s="13"/>
      <c r="U129" s="13"/>
      <c r="V129" s="13"/>
      <c r="W129" s="13"/>
      <c r="X129" s="13"/>
      <c r="Y129" s="13"/>
      <c r="Z129" s="13"/>
      <c r="AA129" s="13"/>
    </row>
    <row r="130" ht="16.5" hidden="1" customHeight="1">
      <c r="A130" s="250">
        <v>127.0</v>
      </c>
      <c r="B130" s="251" t="s">
        <v>2562</v>
      </c>
      <c r="C130" s="230" t="s">
        <v>2974</v>
      </c>
      <c r="D130" s="231" t="s">
        <v>2975</v>
      </c>
      <c r="E130" s="235" t="s">
        <v>2976</v>
      </c>
      <c r="F130" s="236" t="s">
        <v>1779</v>
      </c>
      <c r="G130" s="231" t="s">
        <v>2977</v>
      </c>
      <c r="H130" s="237" t="b">
        <v>0</v>
      </c>
      <c r="I130" s="232">
        <v>45994.0</v>
      </c>
      <c r="J130" s="233" t="s">
        <v>2555</v>
      </c>
      <c r="K130" s="209" t="b">
        <v>0</v>
      </c>
      <c r="L130" s="35"/>
      <c r="M130" s="35"/>
      <c r="N130" s="13"/>
      <c r="O130" s="13"/>
      <c r="P130" s="13"/>
      <c r="Q130" s="13"/>
      <c r="R130" s="13"/>
      <c r="S130" s="13"/>
      <c r="T130" s="13"/>
      <c r="U130" s="13"/>
      <c r="V130" s="13"/>
      <c r="W130" s="13"/>
      <c r="X130" s="13"/>
      <c r="Y130" s="13"/>
      <c r="Z130" s="13"/>
      <c r="AA130" s="13"/>
    </row>
    <row r="131" ht="16.5" hidden="1" customHeight="1">
      <c r="A131" s="250">
        <v>128.0</v>
      </c>
      <c r="B131" s="251" t="s">
        <v>2562</v>
      </c>
      <c r="C131" s="230" t="s">
        <v>2978</v>
      </c>
      <c r="D131" s="231" t="s">
        <v>2979</v>
      </c>
      <c r="E131" s="235" t="s">
        <v>2976</v>
      </c>
      <c r="F131" s="236" t="s">
        <v>2980</v>
      </c>
      <c r="G131" s="231" t="s">
        <v>2981</v>
      </c>
      <c r="H131" s="237" t="b">
        <v>0</v>
      </c>
      <c r="I131" s="232">
        <v>45994.0</v>
      </c>
      <c r="J131" s="233" t="s">
        <v>2555</v>
      </c>
      <c r="K131" s="209" t="b">
        <v>0</v>
      </c>
      <c r="L131" s="35"/>
      <c r="M131" s="35"/>
      <c r="N131" s="13"/>
      <c r="O131" s="13"/>
      <c r="P131" s="13"/>
      <c r="Q131" s="13"/>
      <c r="R131" s="13"/>
      <c r="S131" s="13"/>
      <c r="T131" s="13"/>
      <c r="U131" s="13"/>
      <c r="V131" s="13"/>
      <c r="W131" s="13"/>
      <c r="X131" s="13"/>
      <c r="Y131" s="13"/>
      <c r="Z131" s="13"/>
      <c r="AA131" s="13"/>
    </row>
    <row r="132" ht="16.5" hidden="1" customHeight="1">
      <c r="A132" s="250">
        <v>129.0</v>
      </c>
      <c r="B132" s="251" t="s">
        <v>2589</v>
      </c>
      <c r="C132" s="230" t="s">
        <v>2982</v>
      </c>
      <c r="D132" s="231" t="s">
        <v>2983</v>
      </c>
      <c r="E132" s="235" t="s">
        <v>2984</v>
      </c>
      <c r="F132" s="236" t="s">
        <v>2691</v>
      </c>
      <c r="G132" s="231" t="s">
        <v>2985</v>
      </c>
      <c r="H132" s="237" t="b">
        <v>0</v>
      </c>
      <c r="I132" s="232">
        <v>45994.0</v>
      </c>
      <c r="J132" s="233" t="s">
        <v>2555</v>
      </c>
      <c r="K132" s="209" t="b">
        <v>0</v>
      </c>
      <c r="L132" s="35"/>
      <c r="M132" s="35"/>
      <c r="N132" s="13"/>
      <c r="O132" s="13"/>
      <c r="P132" s="13"/>
      <c r="Q132" s="13"/>
      <c r="R132" s="13"/>
      <c r="S132" s="13"/>
      <c r="T132" s="13"/>
      <c r="U132" s="13"/>
      <c r="V132" s="13"/>
      <c r="W132" s="13"/>
      <c r="X132" s="13"/>
      <c r="Y132" s="13"/>
      <c r="Z132" s="13"/>
      <c r="AA132" s="13"/>
    </row>
    <row r="133" ht="16.5" hidden="1" customHeight="1">
      <c r="A133" s="251">
        <v>130.0</v>
      </c>
      <c r="B133" s="251" t="s">
        <v>2554</v>
      </c>
      <c r="C133" s="230" t="s">
        <v>2986</v>
      </c>
      <c r="D133" s="231" t="s">
        <v>2987</v>
      </c>
      <c r="E133" s="238" t="s">
        <v>2988</v>
      </c>
      <c r="F133" s="231" t="s">
        <v>2989</v>
      </c>
      <c r="G133" s="231" t="s">
        <v>2990</v>
      </c>
      <c r="H133" s="232"/>
      <c r="I133" s="232">
        <v>45994.0</v>
      </c>
      <c r="J133" s="233" t="s">
        <v>2561</v>
      </c>
      <c r="K133" s="211" t="b">
        <v>0</v>
      </c>
      <c r="L133" s="35"/>
      <c r="M133" s="35"/>
      <c r="N133" s="13"/>
      <c r="O133" s="13"/>
      <c r="P133" s="13"/>
      <c r="Q133" s="13"/>
      <c r="R133" s="13"/>
      <c r="S133" s="13"/>
      <c r="T133" s="13"/>
      <c r="U133" s="13"/>
      <c r="V133" s="13"/>
      <c r="W133" s="13"/>
      <c r="X133" s="13"/>
      <c r="Y133" s="13"/>
      <c r="Z133" s="13"/>
      <c r="AA133" s="13"/>
    </row>
    <row r="134" ht="16.5" hidden="1" customHeight="1">
      <c r="A134" s="250">
        <v>131.0</v>
      </c>
      <c r="B134" s="251" t="s">
        <v>2589</v>
      </c>
      <c r="C134" s="230" t="s">
        <v>2991</v>
      </c>
      <c r="D134" s="231" t="s">
        <v>2992</v>
      </c>
      <c r="E134" s="241" t="s">
        <v>2993</v>
      </c>
      <c r="F134" s="240"/>
      <c r="G134" s="254" t="s">
        <v>2994</v>
      </c>
      <c r="H134" s="255" t="b">
        <v>0</v>
      </c>
      <c r="I134" s="232">
        <v>45994.0</v>
      </c>
      <c r="J134" s="233" t="s">
        <v>2555</v>
      </c>
      <c r="K134" s="209" t="b">
        <v>0</v>
      </c>
      <c r="L134" s="35"/>
      <c r="M134" s="35"/>
      <c r="N134" s="13"/>
      <c r="O134" s="13"/>
      <c r="P134" s="13"/>
      <c r="Q134" s="13"/>
      <c r="R134" s="13"/>
      <c r="S134" s="13"/>
      <c r="T134" s="13"/>
      <c r="U134" s="13"/>
      <c r="V134" s="13"/>
      <c r="W134" s="13"/>
      <c r="X134" s="13"/>
      <c r="Y134" s="13"/>
      <c r="Z134" s="13"/>
      <c r="AA134" s="13"/>
    </row>
    <row r="135" ht="16.5" hidden="1" customHeight="1">
      <c r="A135" s="250">
        <v>132.0</v>
      </c>
      <c r="B135" s="251" t="s">
        <v>2735</v>
      </c>
      <c r="C135" s="230" t="s">
        <v>2995</v>
      </c>
      <c r="D135" s="231" t="s">
        <v>2996</v>
      </c>
      <c r="E135" s="241" t="s">
        <v>2997</v>
      </c>
      <c r="F135" s="240"/>
      <c r="G135" s="256"/>
      <c r="H135" s="255" t="b">
        <v>0</v>
      </c>
      <c r="I135" s="232">
        <v>45994.0</v>
      </c>
      <c r="J135" s="233" t="s">
        <v>2555</v>
      </c>
      <c r="K135" s="209" t="b">
        <v>0</v>
      </c>
      <c r="L135" s="35"/>
      <c r="M135" s="35"/>
      <c r="N135" s="13"/>
      <c r="O135" s="13"/>
      <c r="P135" s="13"/>
      <c r="Q135" s="13"/>
      <c r="R135" s="13"/>
      <c r="S135" s="13"/>
      <c r="T135" s="13"/>
      <c r="U135" s="13"/>
      <c r="V135" s="13"/>
      <c r="W135" s="13"/>
      <c r="X135" s="13"/>
      <c r="Y135" s="13"/>
      <c r="Z135" s="13"/>
      <c r="AA135" s="13"/>
    </row>
    <row r="136" ht="16.5" hidden="1" customHeight="1">
      <c r="A136" s="250">
        <v>133.0</v>
      </c>
      <c r="B136" s="251" t="s">
        <v>2735</v>
      </c>
      <c r="C136" s="230" t="s">
        <v>2998</v>
      </c>
      <c r="D136" s="231" t="s">
        <v>2999</v>
      </c>
      <c r="E136" s="241" t="s">
        <v>3000</v>
      </c>
      <c r="F136" s="240"/>
      <c r="G136" s="256"/>
      <c r="H136" s="255" t="b">
        <v>0</v>
      </c>
      <c r="I136" s="232">
        <v>45994.0</v>
      </c>
      <c r="J136" s="233" t="s">
        <v>2555</v>
      </c>
      <c r="K136" s="209" t="b">
        <v>0</v>
      </c>
      <c r="L136" s="35"/>
      <c r="M136" s="35"/>
      <c r="N136" s="13"/>
      <c r="O136" s="13"/>
      <c r="P136" s="13"/>
      <c r="Q136" s="13"/>
      <c r="R136" s="13"/>
      <c r="S136" s="13"/>
      <c r="T136" s="13"/>
      <c r="U136" s="13"/>
      <c r="V136" s="13"/>
      <c r="W136" s="13"/>
      <c r="X136" s="13"/>
      <c r="Y136" s="13"/>
      <c r="Z136" s="13"/>
      <c r="AA136" s="13"/>
    </row>
    <row r="137" ht="16.5" hidden="1" customHeight="1">
      <c r="A137" s="250">
        <v>134.0</v>
      </c>
      <c r="B137" s="251" t="s">
        <v>2609</v>
      </c>
      <c r="C137" s="230" t="s">
        <v>3001</v>
      </c>
      <c r="D137" s="231" t="s">
        <v>3002</v>
      </c>
      <c r="E137" s="235" t="s">
        <v>3003</v>
      </c>
      <c r="F137" s="240"/>
      <c r="G137" s="256"/>
      <c r="H137" s="255" t="b">
        <v>0</v>
      </c>
      <c r="I137" s="232">
        <v>45994.0</v>
      </c>
      <c r="J137" s="233" t="s">
        <v>2555</v>
      </c>
      <c r="K137" s="209" t="b">
        <v>0</v>
      </c>
      <c r="L137" s="35"/>
      <c r="M137" s="35"/>
      <c r="N137" s="13"/>
      <c r="O137" s="13"/>
      <c r="P137" s="13"/>
      <c r="Q137" s="13"/>
      <c r="R137" s="13"/>
      <c r="S137" s="13"/>
      <c r="T137" s="13"/>
      <c r="U137" s="13"/>
      <c r="V137" s="13"/>
      <c r="W137" s="13"/>
      <c r="X137" s="13"/>
      <c r="Y137" s="13"/>
      <c r="Z137" s="13"/>
      <c r="AA137" s="13"/>
    </row>
    <row r="138" ht="16.5" hidden="1" customHeight="1">
      <c r="A138" s="250">
        <v>135.0</v>
      </c>
      <c r="B138" s="251" t="s">
        <v>2735</v>
      </c>
      <c r="C138" s="230" t="s">
        <v>3004</v>
      </c>
      <c r="D138" s="231" t="s">
        <v>3005</v>
      </c>
      <c r="E138" s="241" t="s">
        <v>3006</v>
      </c>
      <c r="F138" s="240"/>
      <c r="G138" s="257"/>
      <c r="H138" s="255" t="b">
        <v>0</v>
      </c>
      <c r="I138" s="232">
        <v>45994.0</v>
      </c>
      <c r="J138" s="233" t="s">
        <v>2555</v>
      </c>
      <c r="K138" s="209" t="b">
        <v>0</v>
      </c>
      <c r="L138" s="35"/>
      <c r="M138" s="35"/>
      <c r="N138" s="13"/>
      <c r="O138" s="13"/>
      <c r="P138" s="13"/>
      <c r="Q138" s="13"/>
      <c r="R138" s="13"/>
      <c r="S138" s="13"/>
      <c r="T138" s="13"/>
      <c r="U138" s="13"/>
      <c r="V138" s="13"/>
      <c r="W138" s="13"/>
      <c r="X138" s="13"/>
      <c r="Y138" s="13"/>
      <c r="Z138" s="13"/>
      <c r="AA138" s="13"/>
    </row>
    <row r="139" ht="16.5" hidden="1" customHeight="1">
      <c r="A139" s="250">
        <v>136.0</v>
      </c>
      <c r="B139" s="251" t="s">
        <v>2671</v>
      </c>
      <c r="C139" s="230" t="s">
        <v>3007</v>
      </c>
      <c r="D139" s="231" t="s">
        <v>3008</v>
      </c>
      <c r="E139" s="235" t="s">
        <v>3009</v>
      </c>
      <c r="F139" s="236" t="s">
        <v>173</v>
      </c>
      <c r="G139" s="231" t="s">
        <v>3010</v>
      </c>
      <c r="H139" s="237" t="b">
        <v>0</v>
      </c>
      <c r="I139" s="232">
        <v>45994.0</v>
      </c>
      <c r="J139" s="233" t="s">
        <v>2555</v>
      </c>
      <c r="K139" s="209" t="b">
        <v>0</v>
      </c>
      <c r="L139" s="35"/>
      <c r="M139" s="35"/>
      <c r="N139" s="13"/>
      <c r="O139" s="13"/>
      <c r="P139" s="13"/>
      <c r="Q139" s="13"/>
      <c r="R139" s="13"/>
      <c r="S139" s="13"/>
      <c r="T139" s="13"/>
      <c r="U139" s="13"/>
      <c r="V139" s="13"/>
      <c r="W139" s="13"/>
      <c r="X139" s="13"/>
      <c r="Y139" s="13"/>
      <c r="Z139" s="13"/>
      <c r="AA139" s="13"/>
    </row>
    <row r="140" ht="16.5" hidden="1" customHeight="1">
      <c r="A140" s="250">
        <v>137.0</v>
      </c>
      <c r="B140" s="251" t="s">
        <v>2601</v>
      </c>
      <c r="C140" s="230" t="s">
        <v>3011</v>
      </c>
      <c r="D140" s="231" t="s">
        <v>3012</v>
      </c>
      <c r="E140" s="241" t="s">
        <v>3013</v>
      </c>
      <c r="F140" s="240"/>
      <c r="G140" s="231" t="s">
        <v>3014</v>
      </c>
      <c r="H140" s="237" t="b">
        <v>0</v>
      </c>
      <c r="I140" s="232">
        <v>45994.0</v>
      </c>
      <c r="J140" s="233" t="s">
        <v>2555</v>
      </c>
      <c r="K140" s="209" t="b">
        <v>0</v>
      </c>
      <c r="L140" s="35"/>
      <c r="M140" s="35"/>
      <c r="N140" s="13"/>
      <c r="O140" s="13"/>
      <c r="P140" s="13"/>
      <c r="Q140" s="13"/>
      <c r="R140" s="13"/>
      <c r="S140" s="13"/>
      <c r="T140" s="13"/>
      <c r="U140" s="13"/>
      <c r="V140" s="13"/>
      <c r="W140" s="13"/>
      <c r="X140" s="13"/>
      <c r="Y140" s="13"/>
      <c r="Z140" s="13"/>
      <c r="AA140" s="13"/>
    </row>
    <row r="141" ht="16.5" hidden="1" customHeight="1">
      <c r="A141" s="250">
        <v>138.0</v>
      </c>
      <c r="B141" s="251" t="s">
        <v>2730</v>
      </c>
      <c r="C141" s="258" t="s">
        <v>3015</v>
      </c>
      <c r="D141" s="231" t="s">
        <v>3016</v>
      </c>
      <c r="E141" s="235" t="s">
        <v>3017</v>
      </c>
      <c r="F141" s="244" t="s">
        <v>3018</v>
      </c>
      <c r="G141" s="231" t="s">
        <v>3019</v>
      </c>
      <c r="H141" s="237" t="b">
        <v>0</v>
      </c>
      <c r="I141" s="232">
        <v>45994.0</v>
      </c>
      <c r="J141" s="233" t="s">
        <v>2555</v>
      </c>
      <c r="K141" s="209" t="b">
        <v>0</v>
      </c>
      <c r="L141" s="35"/>
      <c r="M141" s="35"/>
      <c r="N141" s="13"/>
      <c r="O141" s="13"/>
      <c r="P141" s="13"/>
      <c r="Q141" s="13"/>
      <c r="R141" s="13"/>
      <c r="S141" s="13"/>
      <c r="T141" s="13"/>
      <c r="U141" s="13"/>
      <c r="V141" s="13"/>
      <c r="W141" s="13"/>
      <c r="X141" s="13"/>
      <c r="Y141" s="13"/>
      <c r="Z141" s="13"/>
      <c r="AA141" s="13"/>
    </row>
    <row r="142" ht="16.5" hidden="1" customHeight="1">
      <c r="A142" s="250">
        <v>139.0</v>
      </c>
      <c r="B142" s="251" t="s">
        <v>2730</v>
      </c>
      <c r="C142" s="258" t="s">
        <v>3020</v>
      </c>
      <c r="D142" s="231" t="s">
        <v>3021</v>
      </c>
      <c r="E142" s="235" t="s">
        <v>3022</v>
      </c>
      <c r="F142" s="244" t="s">
        <v>3023</v>
      </c>
      <c r="G142" s="231" t="s">
        <v>3024</v>
      </c>
      <c r="H142" s="237" t="b">
        <v>0</v>
      </c>
      <c r="I142" s="232">
        <v>45994.0</v>
      </c>
      <c r="J142" s="233" t="s">
        <v>2555</v>
      </c>
      <c r="K142" s="209" t="b">
        <v>0</v>
      </c>
      <c r="L142" s="35"/>
      <c r="M142" s="35"/>
      <c r="N142" s="13"/>
      <c r="O142" s="13"/>
      <c r="P142" s="13"/>
      <c r="Q142" s="13"/>
      <c r="R142" s="13"/>
      <c r="S142" s="13"/>
      <c r="T142" s="13"/>
      <c r="U142" s="13"/>
      <c r="V142" s="13"/>
      <c r="W142" s="13"/>
      <c r="X142" s="13"/>
      <c r="Y142" s="13"/>
      <c r="Z142" s="13"/>
      <c r="AA142" s="13"/>
    </row>
    <row r="143" ht="16.5" hidden="1" customHeight="1">
      <c r="A143" s="250">
        <v>140.0</v>
      </c>
      <c r="B143" s="251" t="s">
        <v>2724</v>
      </c>
      <c r="C143" s="258" t="s">
        <v>3025</v>
      </c>
      <c r="D143" s="231" t="s">
        <v>3026</v>
      </c>
      <c r="E143" s="235" t="s">
        <v>3027</v>
      </c>
      <c r="F143" s="244" t="s">
        <v>3028</v>
      </c>
      <c r="G143" s="231" t="s">
        <v>3024</v>
      </c>
      <c r="H143" s="237" t="b">
        <v>0</v>
      </c>
      <c r="I143" s="232">
        <v>45994.0</v>
      </c>
      <c r="J143" s="233" t="s">
        <v>2555</v>
      </c>
      <c r="K143" s="209" t="b">
        <v>0</v>
      </c>
      <c r="L143" s="35"/>
      <c r="M143" s="35"/>
      <c r="N143" s="13"/>
      <c r="O143" s="13"/>
      <c r="P143" s="13"/>
      <c r="Q143" s="13"/>
      <c r="R143" s="13"/>
      <c r="S143" s="13"/>
      <c r="T143" s="13"/>
      <c r="U143" s="13"/>
      <c r="V143" s="13"/>
      <c r="W143" s="13"/>
      <c r="X143" s="13"/>
      <c r="Y143" s="13"/>
      <c r="Z143" s="13"/>
      <c r="AA143" s="13"/>
    </row>
    <row r="144" ht="16.5" hidden="1" customHeight="1">
      <c r="A144" s="250">
        <v>141.0</v>
      </c>
      <c r="B144" s="251" t="s">
        <v>2751</v>
      </c>
      <c r="C144" s="258" t="s">
        <v>3029</v>
      </c>
      <c r="D144" s="231" t="s">
        <v>3030</v>
      </c>
      <c r="E144" s="235" t="s">
        <v>3031</v>
      </c>
      <c r="F144" s="244" t="s">
        <v>3032</v>
      </c>
      <c r="G144" s="231" t="s">
        <v>3033</v>
      </c>
      <c r="H144" s="237" t="b">
        <v>0</v>
      </c>
      <c r="I144" s="232">
        <v>45994.0</v>
      </c>
      <c r="J144" s="233" t="s">
        <v>2555</v>
      </c>
      <c r="K144" s="209" t="b">
        <v>0</v>
      </c>
      <c r="L144" s="35"/>
      <c r="M144" s="35"/>
      <c r="N144" s="13"/>
      <c r="O144" s="13"/>
      <c r="P144" s="13"/>
      <c r="Q144" s="13"/>
      <c r="R144" s="13"/>
      <c r="S144" s="13"/>
      <c r="T144" s="13"/>
      <c r="U144" s="13"/>
      <c r="V144" s="13"/>
      <c r="W144" s="13"/>
      <c r="X144" s="13"/>
      <c r="Y144" s="13"/>
      <c r="Z144" s="13"/>
      <c r="AA144" s="13"/>
    </row>
    <row r="145" ht="16.5" hidden="1" customHeight="1">
      <c r="A145" s="250">
        <v>142.0</v>
      </c>
      <c r="B145" s="251" t="s">
        <v>2730</v>
      </c>
      <c r="C145" s="258" t="s">
        <v>3034</v>
      </c>
      <c r="D145" s="231" t="s">
        <v>3035</v>
      </c>
      <c r="E145" s="235" t="s">
        <v>3036</v>
      </c>
      <c r="F145" s="244" t="s">
        <v>3037</v>
      </c>
      <c r="G145" s="231" t="s">
        <v>3024</v>
      </c>
      <c r="H145" s="237" t="b">
        <v>0</v>
      </c>
      <c r="I145" s="232">
        <v>45994.0</v>
      </c>
      <c r="J145" s="233" t="s">
        <v>2555</v>
      </c>
      <c r="K145" s="209" t="b">
        <v>0</v>
      </c>
      <c r="L145" s="35"/>
      <c r="M145" s="35"/>
      <c r="N145" s="13"/>
      <c r="O145" s="13"/>
      <c r="P145" s="13"/>
      <c r="Q145" s="13"/>
      <c r="R145" s="13"/>
      <c r="S145" s="13"/>
      <c r="T145" s="13"/>
      <c r="U145" s="13"/>
      <c r="V145" s="13"/>
      <c r="W145" s="13"/>
      <c r="X145" s="13"/>
      <c r="Y145" s="13"/>
      <c r="Z145" s="13"/>
      <c r="AA145" s="13"/>
    </row>
    <row r="146" ht="16.5" hidden="1" customHeight="1">
      <c r="A146" s="250">
        <v>143.0</v>
      </c>
      <c r="B146" s="251" t="s">
        <v>2562</v>
      </c>
      <c r="C146" s="258" t="s">
        <v>3038</v>
      </c>
      <c r="D146" s="231" t="s">
        <v>3039</v>
      </c>
      <c r="E146" s="235" t="s">
        <v>3040</v>
      </c>
      <c r="F146" s="259"/>
      <c r="G146" s="231" t="s">
        <v>3041</v>
      </c>
      <c r="H146" s="237" t="b">
        <v>0</v>
      </c>
      <c r="I146" s="232">
        <v>45994.0</v>
      </c>
      <c r="J146" s="233" t="s">
        <v>2555</v>
      </c>
      <c r="K146" s="209" t="b">
        <v>0</v>
      </c>
      <c r="L146" s="35"/>
      <c r="M146" s="35"/>
      <c r="N146" s="13"/>
      <c r="O146" s="13"/>
      <c r="P146" s="13"/>
      <c r="Q146" s="13"/>
      <c r="R146" s="13"/>
      <c r="S146" s="13"/>
      <c r="T146" s="13"/>
      <c r="U146" s="13"/>
      <c r="V146" s="13"/>
      <c r="W146" s="13"/>
      <c r="X146" s="13"/>
      <c r="Y146" s="13"/>
      <c r="Z146" s="13"/>
      <c r="AA146" s="13"/>
    </row>
    <row r="147" ht="16.5" hidden="1" customHeight="1">
      <c r="A147" s="251">
        <v>144.0</v>
      </c>
      <c r="B147" s="251" t="s">
        <v>2589</v>
      </c>
      <c r="C147" s="230" t="s">
        <v>3042</v>
      </c>
      <c r="D147" s="231" t="s">
        <v>3043</v>
      </c>
      <c r="E147" s="238" t="s">
        <v>3044</v>
      </c>
      <c r="F147" s="231" t="s">
        <v>3045</v>
      </c>
      <c r="G147" s="231" t="s">
        <v>2985</v>
      </c>
      <c r="H147" s="232"/>
      <c r="I147" s="232">
        <v>45994.0</v>
      </c>
      <c r="J147" s="233" t="s">
        <v>2561</v>
      </c>
      <c r="K147" s="211" t="b">
        <v>0</v>
      </c>
      <c r="L147" s="35"/>
      <c r="M147" s="35"/>
      <c r="N147" s="13"/>
      <c r="O147" s="13"/>
      <c r="P147" s="13"/>
      <c r="Q147" s="13"/>
      <c r="R147" s="13"/>
      <c r="S147" s="13"/>
      <c r="T147" s="13"/>
      <c r="U147" s="13"/>
      <c r="V147" s="13"/>
      <c r="W147" s="13"/>
      <c r="X147" s="13"/>
      <c r="Y147" s="13"/>
      <c r="Z147" s="13"/>
      <c r="AA147" s="13"/>
    </row>
    <row r="148" ht="16.5" hidden="1" customHeight="1">
      <c r="A148" s="250">
        <v>145.0</v>
      </c>
      <c r="B148" s="251" t="s">
        <v>2554</v>
      </c>
      <c r="C148" s="230" t="s">
        <v>3046</v>
      </c>
      <c r="D148" s="231" t="s">
        <v>3047</v>
      </c>
      <c r="E148" s="235" t="s">
        <v>3048</v>
      </c>
      <c r="F148" s="236" t="s">
        <v>3049</v>
      </c>
      <c r="G148" s="231" t="s">
        <v>3050</v>
      </c>
      <c r="H148" s="237" t="b">
        <v>0</v>
      </c>
      <c r="I148" s="232">
        <v>45994.0</v>
      </c>
      <c r="J148" s="233" t="s">
        <v>2555</v>
      </c>
      <c r="K148" s="209" t="b">
        <v>0</v>
      </c>
      <c r="L148" s="35"/>
      <c r="M148" s="35"/>
      <c r="N148" s="13"/>
      <c r="O148" s="13"/>
      <c r="P148" s="13"/>
      <c r="Q148" s="13"/>
      <c r="R148" s="13"/>
      <c r="S148" s="13"/>
      <c r="T148" s="13"/>
      <c r="U148" s="13"/>
      <c r="V148" s="13"/>
      <c r="W148" s="13"/>
      <c r="X148" s="13"/>
      <c r="Y148" s="13"/>
      <c r="Z148" s="13"/>
      <c r="AA148" s="13"/>
    </row>
    <row r="149" ht="16.5" hidden="1" customHeight="1">
      <c r="A149" s="251">
        <v>146.0</v>
      </c>
      <c r="B149" s="251" t="s">
        <v>2589</v>
      </c>
      <c r="C149" s="230" t="s">
        <v>3051</v>
      </c>
      <c r="D149" s="231" t="s">
        <v>3052</v>
      </c>
      <c r="E149" s="260" t="s">
        <v>3053</v>
      </c>
      <c r="F149" s="231" t="s">
        <v>3054</v>
      </c>
      <c r="G149" s="231" t="s">
        <v>3050</v>
      </c>
      <c r="H149" s="232"/>
      <c r="I149" s="232">
        <v>45994.0</v>
      </c>
      <c r="J149" s="233" t="s">
        <v>2561</v>
      </c>
      <c r="K149" s="211" t="b">
        <v>0</v>
      </c>
      <c r="L149" s="35"/>
      <c r="M149" s="35"/>
      <c r="N149" s="13"/>
      <c r="O149" s="13"/>
      <c r="P149" s="13"/>
      <c r="Q149" s="13"/>
      <c r="R149" s="13"/>
      <c r="S149" s="13"/>
      <c r="T149" s="13"/>
      <c r="U149" s="13"/>
      <c r="V149" s="13"/>
      <c r="W149" s="13"/>
      <c r="X149" s="13"/>
      <c r="Y149" s="13"/>
      <c r="Z149" s="13"/>
      <c r="AA149" s="13"/>
    </row>
    <row r="150" ht="16.5" hidden="1" customHeight="1">
      <c r="A150" s="250">
        <v>147.0</v>
      </c>
      <c r="B150" s="251" t="s">
        <v>2589</v>
      </c>
      <c r="C150" s="230" t="s">
        <v>3055</v>
      </c>
      <c r="D150" s="231" t="s">
        <v>3056</v>
      </c>
      <c r="E150" s="235" t="s">
        <v>3057</v>
      </c>
      <c r="F150" s="236" t="s">
        <v>1150</v>
      </c>
      <c r="G150" s="231" t="s">
        <v>3058</v>
      </c>
      <c r="H150" s="237" t="b">
        <v>0</v>
      </c>
      <c r="I150" s="232">
        <v>45994.0</v>
      </c>
      <c r="J150" s="233" t="s">
        <v>2555</v>
      </c>
      <c r="K150" s="209" t="b">
        <v>0</v>
      </c>
      <c r="L150" s="35"/>
      <c r="M150" s="35"/>
      <c r="N150" s="13"/>
      <c r="O150" s="13"/>
      <c r="P150" s="13"/>
      <c r="Q150" s="13"/>
      <c r="R150" s="13"/>
      <c r="S150" s="13"/>
      <c r="T150" s="13"/>
      <c r="U150" s="13"/>
      <c r="V150" s="13"/>
      <c r="W150" s="13"/>
      <c r="X150" s="13"/>
      <c r="Y150" s="13"/>
      <c r="Z150" s="13"/>
      <c r="AA150" s="13"/>
    </row>
    <row r="151" ht="16.5" hidden="1" customHeight="1">
      <c r="A151" s="250">
        <v>148.0</v>
      </c>
      <c r="B151" s="251" t="s">
        <v>2589</v>
      </c>
      <c r="C151" s="230" t="s">
        <v>3059</v>
      </c>
      <c r="D151" s="231" t="s">
        <v>3060</v>
      </c>
      <c r="E151" s="235" t="s">
        <v>3061</v>
      </c>
      <c r="F151" s="236" t="s">
        <v>238</v>
      </c>
      <c r="G151" s="231" t="s">
        <v>3058</v>
      </c>
      <c r="H151" s="237" t="b">
        <v>0</v>
      </c>
      <c r="I151" s="232">
        <v>45994.0</v>
      </c>
      <c r="J151" s="233" t="s">
        <v>2555</v>
      </c>
      <c r="K151" s="209" t="b">
        <v>0</v>
      </c>
      <c r="L151" s="35"/>
      <c r="M151" s="35"/>
      <c r="N151" s="13"/>
      <c r="O151" s="13"/>
      <c r="P151" s="13"/>
      <c r="Q151" s="13"/>
      <c r="R151" s="13"/>
      <c r="S151" s="13"/>
      <c r="T151" s="13"/>
      <c r="U151" s="13"/>
      <c r="V151" s="13"/>
      <c r="W151" s="13"/>
      <c r="X151" s="13"/>
      <c r="Y151" s="13"/>
      <c r="Z151" s="13"/>
      <c r="AA151" s="13"/>
    </row>
    <row r="152" ht="16.5" hidden="1" customHeight="1">
      <c r="A152" s="251">
        <v>149.0</v>
      </c>
      <c r="B152" s="251" t="s">
        <v>2554</v>
      </c>
      <c r="C152" s="230" t="s">
        <v>3062</v>
      </c>
      <c r="D152" s="231" t="s">
        <v>3063</v>
      </c>
      <c r="E152" s="59" t="s">
        <v>3064</v>
      </c>
      <c r="F152" s="39" t="s">
        <v>3065</v>
      </c>
      <c r="G152" s="261" t="s">
        <v>3066</v>
      </c>
      <c r="H152" s="262"/>
      <c r="I152" s="262">
        <v>45995.0</v>
      </c>
      <c r="J152" s="233" t="s">
        <v>2561</v>
      </c>
      <c r="K152" s="211" t="b">
        <v>0</v>
      </c>
      <c r="L152" s="35"/>
      <c r="M152" s="35"/>
      <c r="N152" s="13"/>
      <c r="O152" s="13"/>
      <c r="P152" s="13"/>
      <c r="Q152" s="13"/>
      <c r="R152" s="13"/>
      <c r="S152" s="13"/>
      <c r="T152" s="13"/>
      <c r="U152" s="13"/>
      <c r="V152" s="13"/>
      <c r="W152" s="13"/>
      <c r="X152" s="13"/>
      <c r="Y152" s="13"/>
      <c r="Z152" s="13"/>
      <c r="AA152" s="13"/>
    </row>
    <row r="153" ht="16.5" hidden="1" customHeight="1">
      <c r="A153" s="251">
        <v>150.0</v>
      </c>
      <c r="B153" s="251" t="s">
        <v>2751</v>
      </c>
      <c r="C153" s="230" t="s">
        <v>3067</v>
      </c>
      <c r="D153" s="39" t="s">
        <v>3068</v>
      </c>
      <c r="E153" s="263" t="s">
        <v>3069</v>
      </c>
      <c r="F153" s="264"/>
      <c r="G153" s="265" t="s">
        <v>3070</v>
      </c>
      <c r="H153" s="266"/>
      <c r="I153" s="262">
        <v>45995.0</v>
      </c>
      <c r="J153" s="233" t="s">
        <v>2561</v>
      </c>
      <c r="K153" s="211" t="b">
        <v>0</v>
      </c>
      <c r="L153" s="35"/>
      <c r="M153" s="35"/>
      <c r="N153" s="13"/>
      <c r="O153" s="13"/>
      <c r="P153" s="13"/>
      <c r="Q153" s="13"/>
      <c r="R153" s="13"/>
      <c r="S153" s="13"/>
      <c r="T153" s="13"/>
      <c r="U153" s="13"/>
      <c r="V153" s="13"/>
      <c r="W153" s="13"/>
      <c r="X153" s="13"/>
      <c r="Y153" s="13"/>
      <c r="Z153" s="13"/>
      <c r="AA153" s="13"/>
    </row>
    <row r="154" ht="16.5" hidden="1" customHeight="1">
      <c r="A154" s="251">
        <v>151.0</v>
      </c>
      <c r="B154" s="251" t="s">
        <v>2589</v>
      </c>
      <c r="C154" s="230" t="s">
        <v>3071</v>
      </c>
      <c r="D154" s="231" t="s">
        <v>3072</v>
      </c>
      <c r="E154" s="238" t="s">
        <v>3073</v>
      </c>
      <c r="F154" s="231" t="s">
        <v>3074</v>
      </c>
      <c r="G154" s="267" t="s">
        <v>3075</v>
      </c>
      <c r="H154" s="268"/>
      <c r="I154" s="262">
        <v>45995.0</v>
      </c>
      <c r="J154" s="233" t="s">
        <v>2561</v>
      </c>
      <c r="K154" s="211" t="b">
        <v>0</v>
      </c>
      <c r="L154" s="35"/>
      <c r="M154" s="35"/>
      <c r="N154" s="13"/>
      <c r="O154" s="13"/>
      <c r="P154" s="13"/>
      <c r="Q154" s="13"/>
      <c r="R154" s="13"/>
      <c r="S154" s="13"/>
      <c r="T154" s="13"/>
      <c r="U154" s="13"/>
      <c r="V154" s="13"/>
      <c r="W154" s="13"/>
      <c r="X154" s="13"/>
      <c r="Y154" s="13"/>
      <c r="Z154" s="13"/>
      <c r="AA154" s="13"/>
    </row>
    <row r="155" ht="16.5" hidden="1" customHeight="1">
      <c r="A155" s="251">
        <v>152.0</v>
      </c>
      <c r="B155" s="251" t="s">
        <v>2589</v>
      </c>
      <c r="C155" s="230" t="s">
        <v>3076</v>
      </c>
      <c r="D155" s="231" t="s">
        <v>3077</v>
      </c>
      <c r="E155" s="238" t="s">
        <v>3073</v>
      </c>
      <c r="F155" s="231" t="s">
        <v>3078</v>
      </c>
      <c r="G155" s="269" t="s">
        <v>3079</v>
      </c>
      <c r="H155" s="270"/>
      <c r="I155" s="262">
        <v>45995.0</v>
      </c>
      <c r="J155" s="233" t="s">
        <v>2561</v>
      </c>
      <c r="K155" s="211" t="b">
        <v>0</v>
      </c>
      <c r="L155" s="35"/>
      <c r="M155" s="35"/>
      <c r="N155" s="13"/>
      <c r="O155" s="13"/>
      <c r="P155" s="13"/>
      <c r="Q155" s="13"/>
      <c r="R155" s="13"/>
      <c r="S155" s="13"/>
      <c r="T155" s="13"/>
      <c r="U155" s="13"/>
      <c r="V155" s="13"/>
      <c r="W155" s="13"/>
      <c r="X155" s="13"/>
      <c r="Y155" s="13"/>
      <c r="Z155" s="13"/>
      <c r="AA155" s="13"/>
    </row>
    <row r="156" ht="16.5" hidden="1" customHeight="1">
      <c r="A156" s="250">
        <v>153.0</v>
      </c>
      <c r="B156" s="271" t="s">
        <v>3080</v>
      </c>
      <c r="C156" s="37" t="s">
        <v>3081</v>
      </c>
      <c r="D156" s="272" t="s">
        <v>3082</v>
      </c>
      <c r="E156" s="109" t="s">
        <v>3083</v>
      </c>
      <c r="F156" s="41" t="s">
        <v>3084</v>
      </c>
      <c r="G156" s="39" t="s">
        <v>2485</v>
      </c>
      <c r="H156" s="273" t="b">
        <v>0</v>
      </c>
      <c r="I156" s="262">
        <v>45995.0</v>
      </c>
      <c r="J156" s="233" t="s">
        <v>2555</v>
      </c>
      <c r="K156" s="209" t="b">
        <v>0</v>
      </c>
      <c r="L156" s="35"/>
      <c r="M156" s="35"/>
      <c r="N156" s="13"/>
      <c r="O156" s="13"/>
      <c r="P156" s="13"/>
      <c r="Q156" s="13"/>
      <c r="R156" s="13"/>
      <c r="S156" s="13"/>
      <c r="T156" s="13"/>
      <c r="U156" s="13"/>
      <c r="V156" s="13"/>
      <c r="W156" s="13"/>
      <c r="X156" s="13"/>
      <c r="Y156" s="13"/>
      <c r="Z156" s="13"/>
      <c r="AA156" s="13"/>
    </row>
    <row r="157" ht="16.5" hidden="1" customHeight="1">
      <c r="A157" s="250">
        <v>154.0</v>
      </c>
      <c r="B157" s="271" t="s">
        <v>3080</v>
      </c>
      <c r="C157" s="37" t="s">
        <v>3085</v>
      </c>
      <c r="D157" s="272" t="s">
        <v>3086</v>
      </c>
      <c r="E157" s="109" t="s">
        <v>3083</v>
      </c>
      <c r="F157" s="41" t="s">
        <v>3087</v>
      </c>
      <c r="G157" s="39" t="s">
        <v>2485</v>
      </c>
      <c r="H157" s="273" t="b">
        <v>0</v>
      </c>
      <c r="I157" s="262">
        <v>45995.0</v>
      </c>
      <c r="J157" s="233" t="s">
        <v>2555</v>
      </c>
      <c r="K157" s="209" t="b">
        <v>0</v>
      </c>
      <c r="L157" s="35"/>
      <c r="M157" s="35"/>
      <c r="N157" s="13"/>
      <c r="O157" s="13"/>
      <c r="P157" s="13"/>
      <c r="Q157" s="13"/>
      <c r="R157" s="13"/>
      <c r="S157" s="13"/>
      <c r="T157" s="13"/>
      <c r="U157" s="13"/>
      <c r="V157" s="13"/>
      <c r="W157" s="13"/>
      <c r="X157" s="13"/>
      <c r="Y157" s="13"/>
      <c r="Z157" s="13"/>
      <c r="AA157" s="13"/>
    </row>
    <row r="158" ht="16.5" hidden="1" customHeight="1">
      <c r="A158" s="250">
        <v>155.0</v>
      </c>
      <c r="B158" s="271" t="s">
        <v>3080</v>
      </c>
      <c r="C158" s="37" t="s">
        <v>3088</v>
      </c>
      <c r="D158" s="272" t="s">
        <v>3089</v>
      </c>
      <c r="E158" s="109" t="s">
        <v>3083</v>
      </c>
      <c r="F158" s="41" t="s">
        <v>152</v>
      </c>
      <c r="G158" s="55"/>
      <c r="H158" s="273" t="b">
        <v>0</v>
      </c>
      <c r="I158" s="262">
        <v>45995.0</v>
      </c>
      <c r="J158" s="233" t="s">
        <v>2555</v>
      </c>
      <c r="K158" s="209" t="b">
        <v>0</v>
      </c>
      <c r="L158" s="35"/>
      <c r="M158" s="35"/>
      <c r="N158" s="13"/>
      <c r="O158" s="13"/>
      <c r="P158" s="13"/>
      <c r="Q158" s="13"/>
      <c r="R158" s="13"/>
      <c r="S158" s="13"/>
      <c r="T158" s="13"/>
      <c r="U158" s="13"/>
      <c r="V158" s="13"/>
      <c r="W158" s="13"/>
      <c r="X158" s="13"/>
      <c r="Y158" s="13"/>
      <c r="Z158" s="13"/>
      <c r="AA158" s="13"/>
    </row>
    <row r="159" ht="16.5" hidden="1" customHeight="1">
      <c r="A159" s="250">
        <v>156.0</v>
      </c>
      <c r="B159" s="271" t="s">
        <v>3080</v>
      </c>
      <c r="C159" s="37" t="s">
        <v>3090</v>
      </c>
      <c r="D159" s="272" t="s">
        <v>3091</v>
      </c>
      <c r="E159" s="109" t="s">
        <v>3083</v>
      </c>
      <c r="F159" s="41" t="s">
        <v>3092</v>
      </c>
      <c r="G159" s="274"/>
      <c r="H159" s="273" t="b">
        <v>0</v>
      </c>
      <c r="I159" s="262">
        <v>45995.0</v>
      </c>
      <c r="J159" s="233" t="s">
        <v>2555</v>
      </c>
      <c r="K159" s="209" t="b">
        <v>0</v>
      </c>
      <c r="L159" s="35"/>
      <c r="M159" s="35"/>
      <c r="N159" s="13"/>
      <c r="O159" s="13"/>
      <c r="P159" s="13"/>
      <c r="Q159" s="13"/>
      <c r="R159" s="13"/>
      <c r="S159" s="13"/>
      <c r="T159" s="13"/>
      <c r="U159" s="13"/>
      <c r="V159" s="13"/>
      <c r="W159" s="13"/>
      <c r="X159" s="13"/>
      <c r="Y159" s="13"/>
      <c r="Z159" s="13"/>
      <c r="AA159" s="13"/>
    </row>
    <row r="160" ht="16.5" hidden="1" customHeight="1">
      <c r="A160" s="250">
        <v>157.0</v>
      </c>
      <c r="B160" s="251" t="s">
        <v>2562</v>
      </c>
      <c r="C160" s="230" t="s">
        <v>3093</v>
      </c>
      <c r="D160" s="231" t="s">
        <v>3094</v>
      </c>
      <c r="E160" s="235" t="s">
        <v>3095</v>
      </c>
      <c r="F160" s="236" t="s">
        <v>173</v>
      </c>
      <c r="G160" s="231" t="s">
        <v>3096</v>
      </c>
      <c r="H160" s="273" t="b">
        <v>0</v>
      </c>
      <c r="I160" s="262">
        <v>45995.0</v>
      </c>
      <c r="J160" s="233" t="s">
        <v>2555</v>
      </c>
      <c r="K160" s="209" t="b">
        <v>0</v>
      </c>
      <c r="L160" s="35"/>
      <c r="M160" s="35"/>
      <c r="N160" s="13"/>
      <c r="O160" s="13"/>
      <c r="P160" s="13"/>
      <c r="Q160" s="13"/>
      <c r="R160" s="13"/>
      <c r="S160" s="13"/>
      <c r="T160" s="13"/>
      <c r="U160" s="13"/>
      <c r="V160" s="13"/>
      <c r="W160" s="13"/>
      <c r="X160" s="13"/>
      <c r="Y160" s="13"/>
      <c r="Z160" s="13"/>
      <c r="AA160" s="13"/>
    </row>
    <row r="161" ht="16.5" hidden="1" customHeight="1">
      <c r="A161" s="251">
        <v>158.0</v>
      </c>
      <c r="B161" s="251" t="s">
        <v>2554</v>
      </c>
      <c r="C161" s="230" t="s">
        <v>3097</v>
      </c>
      <c r="D161" s="231" t="s">
        <v>3098</v>
      </c>
      <c r="E161" s="238" t="s">
        <v>3099</v>
      </c>
      <c r="F161" s="231" t="s">
        <v>3100</v>
      </c>
      <c r="G161" s="231" t="s">
        <v>3101</v>
      </c>
      <c r="H161" s="262"/>
      <c r="I161" s="262">
        <v>45995.0</v>
      </c>
      <c r="J161" s="233" t="s">
        <v>2561</v>
      </c>
      <c r="K161" s="211" t="b">
        <v>0</v>
      </c>
      <c r="L161" s="35"/>
      <c r="M161" s="35"/>
      <c r="N161" s="13"/>
      <c r="O161" s="13"/>
      <c r="P161" s="13"/>
      <c r="Q161" s="13"/>
      <c r="R161" s="13"/>
      <c r="S161" s="13"/>
      <c r="T161" s="13"/>
      <c r="U161" s="13"/>
      <c r="V161" s="13"/>
      <c r="W161" s="13"/>
      <c r="X161" s="13"/>
      <c r="Y161" s="13"/>
      <c r="Z161" s="13"/>
      <c r="AA161" s="13"/>
    </row>
    <row r="162" ht="16.5" hidden="1" customHeight="1">
      <c r="A162" s="250">
        <v>159.0</v>
      </c>
      <c r="B162" s="251" t="s">
        <v>2609</v>
      </c>
      <c r="C162" s="230" t="s">
        <v>3102</v>
      </c>
      <c r="D162" s="231" t="s">
        <v>3103</v>
      </c>
      <c r="E162" s="235" t="s">
        <v>3104</v>
      </c>
      <c r="F162" s="236" t="s">
        <v>173</v>
      </c>
      <c r="G162" s="231" t="s">
        <v>3105</v>
      </c>
      <c r="H162" s="273" t="b">
        <v>0</v>
      </c>
      <c r="I162" s="262">
        <v>45995.0</v>
      </c>
      <c r="J162" s="233" t="s">
        <v>2555</v>
      </c>
      <c r="K162" s="209" t="b">
        <v>0</v>
      </c>
      <c r="L162" s="35"/>
      <c r="M162" s="35"/>
      <c r="N162" s="13"/>
      <c r="O162" s="13"/>
      <c r="P162" s="13"/>
      <c r="Q162" s="13"/>
      <c r="R162" s="13"/>
      <c r="S162" s="13"/>
      <c r="T162" s="13"/>
      <c r="U162" s="13"/>
      <c r="V162" s="13"/>
      <c r="W162" s="13"/>
      <c r="X162" s="13"/>
      <c r="Y162" s="13"/>
      <c r="Z162" s="13"/>
      <c r="AA162" s="13"/>
    </row>
    <row r="163" ht="16.5" hidden="1" customHeight="1">
      <c r="A163" s="250">
        <v>160.0</v>
      </c>
      <c r="B163" s="251" t="s">
        <v>2589</v>
      </c>
      <c r="C163" s="230" t="s">
        <v>3106</v>
      </c>
      <c r="D163" s="231" t="s">
        <v>3107</v>
      </c>
      <c r="E163" s="235" t="s">
        <v>3108</v>
      </c>
      <c r="F163" s="240"/>
      <c r="G163" s="231" t="s">
        <v>3109</v>
      </c>
      <c r="H163" s="273" t="b">
        <v>0</v>
      </c>
      <c r="I163" s="262">
        <v>45995.0</v>
      </c>
      <c r="J163" s="233" t="s">
        <v>2555</v>
      </c>
      <c r="K163" s="209" t="b">
        <v>0</v>
      </c>
      <c r="L163" s="35"/>
      <c r="M163" s="35"/>
      <c r="N163" s="13"/>
      <c r="O163" s="13"/>
      <c r="P163" s="13"/>
      <c r="Q163" s="13"/>
      <c r="R163" s="13"/>
      <c r="S163" s="13"/>
      <c r="T163" s="13"/>
      <c r="U163" s="13"/>
      <c r="V163" s="13"/>
      <c r="W163" s="13"/>
      <c r="X163" s="13"/>
      <c r="Y163" s="13"/>
      <c r="Z163" s="13"/>
      <c r="AA163" s="13"/>
    </row>
    <row r="164" ht="16.5" hidden="1" customHeight="1">
      <c r="A164" s="251">
        <v>161.0</v>
      </c>
      <c r="B164" s="251" t="s">
        <v>2589</v>
      </c>
      <c r="C164" s="230" t="s">
        <v>3110</v>
      </c>
      <c r="D164" s="231" t="s">
        <v>3111</v>
      </c>
      <c r="E164" s="238" t="s">
        <v>3112</v>
      </c>
      <c r="F164" s="264"/>
      <c r="G164" s="275" t="s">
        <v>3113</v>
      </c>
      <c r="H164" s="262"/>
      <c r="I164" s="262">
        <v>45995.0</v>
      </c>
      <c r="J164" s="233" t="s">
        <v>2561</v>
      </c>
      <c r="K164" s="211" t="b">
        <v>0</v>
      </c>
      <c r="L164" s="35"/>
      <c r="M164" s="35"/>
      <c r="N164" s="13"/>
      <c r="O164" s="13"/>
      <c r="P164" s="13"/>
      <c r="Q164" s="13"/>
      <c r="R164" s="13"/>
      <c r="S164" s="13"/>
      <c r="T164" s="13"/>
      <c r="U164" s="13"/>
      <c r="V164" s="13"/>
      <c r="W164" s="13"/>
      <c r="X164" s="13"/>
      <c r="Y164" s="13"/>
      <c r="Z164" s="13"/>
      <c r="AA164" s="13"/>
    </row>
    <row r="165" ht="16.5" hidden="1" customHeight="1">
      <c r="A165" s="251">
        <v>162.0</v>
      </c>
      <c r="B165" s="271" t="s">
        <v>3114</v>
      </c>
      <c r="C165" s="230" t="s">
        <v>3115</v>
      </c>
      <c r="D165" s="231" t="s">
        <v>3116</v>
      </c>
      <c r="E165" s="276" t="s">
        <v>3117</v>
      </c>
      <c r="F165" s="39" t="s">
        <v>3118</v>
      </c>
      <c r="G165" s="231" t="s">
        <v>3119</v>
      </c>
      <c r="H165" s="262"/>
      <c r="I165" s="262">
        <v>45995.0</v>
      </c>
      <c r="J165" s="233" t="s">
        <v>2561</v>
      </c>
      <c r="K165" s="211" t="b">
        <v>0</v>
      </c>
      <c r="L165" s="35"/>
      <c r="M165" s="35"/>
      <c r="N165" s="13"/>
      <c r="O165" s="13"/>
      <c r="P165" s="13"/>
      <c r="Q165" s="13"/>
      <c r="R165" s="13"/>
      <c r="S165" s="13"/>
      <c r="T165" s="13"/>
      <c r="U165" s="13"/>
      <c r="V165" s="13"/>
      <c r="W165" s="13"/>
      <c r="X165" s="13"/>
      <c r="Y165" s="13"/>
      <c r="Z165" s="13"/>
      <c r="AA165" s="13"/>
    </row>
    <row r="166" ht="16.5" hidden="1" customHeight="1">
      <c r="A166" s="251">
        <v>163.0</v>
      </c>
      <c r="B166" s="251" t="s">
        <v>2700</v>
      </c>
      <c r="C166" s="230" t="s">
        <v>3120</v>
      </c>
      <c r="D166" s="231" t="s">
        <v>3121</v>
      </c>
      <c r="E166" s="238" t="s">
        <v>3122</v>
      </c>
      <c r="F166" s="231" t="s">
        <v>3123</v>
      </c>
      <c r="G166" s="231" t="s">
        <v>3124</v>
      </c>
      <c r="H166" s="262"/>
      <c r="I166" s="262">
        <v>45995.0</v>
      </c>
      <c r="J166" s="233" t="s">
        <v>2561</v>
      </c>
      <c r="K166" s="211" t="b">
        <v>0</v>
      </c>
      <c r="L166" s="35"/>
      <c r="M166" s="35"/>
      <c r="N166" s="13"/>
      <c r="O166" s="13"/>
      <c r="P166" s="13"/>
      <c r="Q166" s="13"/>
      <c r="R166" s="13"/>
      <c r="S166" s="13"/>
      <c r="T166" s="13"/>
      <c r="U166" s="13"/>
      <c r="V166" s="13"/>
      <c r="W166" s="13"/>
      <c r="X166" s="13"/>
      <c r="Y166" s="13"/>
      <c r="Z166" s="13"/>
      <c r="AA166" s="13"/>
    </row>
    <row r="167" ht="16.5" hidden="1" customHeight="1">
      <c r="A167" s="250">
        <v>164.0</v>
      </c>
      <c r="B167" s="251" t="s">
        <v>2700</v>
      </c>
      <c r="C167" s="230" t="s">
        <v>3125</v>
      </c>
      <c r="D167" s="231" t="s">
        <v>3126</v>
      </c>
      <c r="E167" s="235" t="s">
        <v>3127</v>
      </c>
      <c r="F167" s="236" t="s">
        <v>173</v>
      </c>
      <c r="G167" s="231" t="s">
        <v>3128</v>
      </c>
      <c r="H167" s="273" t="b">
        <v>0</v>
      </c>
      <c r="I167" s="262">
        <v>45995.0</v>
      </c>
      <c r="J167" s="233" t="s">
        <v>2555</v>
      </c>
      <c r="K167" s="209" t="b">
        <v>0</v>
      </c>
      <c r="L167" s="35"/>
      <c r="M167" s="35"/>
      <c r="N167" s="13"/>
      <c r="O167" s="13"/>
      <c r="P167" s="13"/>
      <c r="Q167" s="13"/>
      <c r="R167" s="13"/>
      <c r="S167" s="13"/>
      <c r="T167" s="13"/>
      <c r="U167" s="13"/>
      <c r="V167" s="13"/>
      <c r="W167" s="13"/>
      <c r="X167" s="13"/>
      <c r="Y167" s="13"/>
      <c r="Z167" s="13"/>
      <c r="AA167" s="13"/>
    </row>
    <row r="168" ht="16.5" hidden="1" customHeight="1">
      <c r="A168" s="250">
        <v>165.0</v>
      </c>
      <c r="B168" s="251" t="s">
        <v>3129</v>
      </c>
      <c r="C168" s="230" t="s">
        <v>3130</v>
      </c>
      <c r="D168" s="231" t="s">
        <v>3131</v>
      </c>
      <c r="E168" s="235" t="s">
        <v>3132</v>
      </c>
      <c r="F168" s="236" t="s">
        <v>3133</v>
      </c>
      <c r="G168" s="231" t="s">
        <v>3134</v>
      </c>
      <c r="H168" s="273" t="b">
        <v>0</v>
      </c>
      <c r="I168" s="262">
        <v>45996.0</v>
      </c>
      <c r="J168" s="233" t="s">
        <v>2555</v>
      </c>
      <c r="K168" s="209" t="b">
        <v>0</v>
      </c>
      <c r="L168" s="35"/>
      <c r="M168" s="35"/>
      <c r="N168" s="13"/>
      <c r="O168" s="13"/>
      <c r="P168" s="13"/>
      <c r="Q168" s="13"/>
      <c r="R168" s="13"/>
      <c r="S168" s="13"/>
      <c r="T168" s="13"/>
      <c r="U168" s="13"/>
      <c r="V168" s="13"/>
      <c r="W168" s="13"/>
      <c r="X168" s="13"/>
      <c r="Y168" s="13"/>
      <c r="Z168" s="13"/>
      <c r="AA168" s="13"/>
    </row>
    <row r="169" ht="16.5" hidden="1" customHeight="1">
      <c r="A169" s="250">
        <v>166.0</v>
      </c>
      <c r="B169" s="251" t="s">
        <v>3129</v>
      </c>
      <c r="C169" s="230" t="s">
        <v>3135</v>
      </c>
      <c r="D169" s="231" t="s">
        <v>3136</v>
      </c>
      <c r="E169" s="235" t="s">
        <v>3132</v>
      </c>
      <c r="F169" s="236" t="s">
        <v>3133</v>
      </c>
      <c r="G169" s="231" t="s">
        <v>3134</v>
      </c>
      <c r="H169" s="273" t="b">
        <v>0</v>
      </c>
      <c r="I169" s="262">
        <v>45996.0</v>
      </c>
      <c r="J169" s="233" t="s">
        <v>2555</v>
      </c>
      <c r="K169" s="209" t="b">
        <v>0</v>
      </c>
      <c r="L169" s="35"/>
      <c r="M169" s="35"/>
      <c r="N169" s="13"/>
      <c r="O169" s="13"/>
      <c r="P169" s="13"/>
      <c r="Q169" s="13"/>
      <c r="R169" s="13"/>
      <c r="S169" s="13"/>
      <c r="T169" s="13"/>
      <c r="U169" s="13"/>
      <c r="V169" s="13"/>
      <c r="W169" s="13"/>
      <c r="X169" s="13"/>
      <c r="Y169" s="13"/>
      <c r="Z169" s="13"/>
      <c r="AA169" s="13"/>
    </row>
    <row r="170" ht="16.5" hidden="1" customHeight="1">
      <c r="A170" s="250">
        <v>167.0</v>
      </c>
      <c r="B170" s="251" t="s">
        <v>3129</v>
      </c>
      <c r="C170" s="230" t="s">
        <v>3137</v>
      </c>
      <c r="D170" s="231" t="s">
        <v>3138</v>
      </c>
      <c r="E170" s="235" t="s">
        <v>3139</v>
      </c>
      <c r="F170" s="236" t="s">
        <v>3140</v>
      </c>
      <c r="G170" s="231" t="s">
        <v>3141</v>
      </c>
      <c r="H170" s="273" t="b">
        <v>0</v>
      </c>
      <c r="I170" s="262">
        <v>45996.0</v>
      </c>
      <c r="J170" s="233" t="s">
        <v>2555</v>
      </c>
      <c r="K170" s="209" t="b">
        <v>0</v>
      </c>
      <c r="L170" s="35"/>
      <c r="M170" s="35"/>
      <c r="N170" s="13"/>
      <c r="O170" s="13"/>
      <c r="P170" s="13"/>
      <c r="Q170" s="13"/>
      <c r="R170" s="13"/>
      <c r="S170" s="13"/>
      <c r="T170" s="13"/>
      <c r="U170" s="13"/>
      <c r="V170" s="13"/>
      <c r="W170" s="13"/>
      <c r="X170" s="13"/>
      <c r="Y170" s="13"/>
      <c r="Z170" s="13"/>
      <c r="AA170" s="13"/>
    </row>
    <row r="171" ht="16.5" hidden="1" customHeight="1">
      <c r="A171" s="250">
        <v>168.0</v>
      </c>
      <c r="B171" s="251" t="s">
        <v>3129</v>
      </c>
      <c r="C171" s="230" t="s">
        <v>3142</v>
      </c>
      <c r="D171" s="231" t="s">
        <v>3143</v>
      </c>
      <c r="E171" s="235" t="s">
        <v>3144</v>
      </c>
      <c r="F171" s="236" t="s">
        <v>3145</v>
      </c>
      <c r="G171" s="231" t="s">
        <v>3146</v>
      </c>
      <c r="H171" s="273" t="b">
        <v>0</v>
      </c>
      <c r="I171" s="262">
        <v>45996.0</v>
      </c>
      <c r="J171" s="233" t="s">
        <v>2555</v>
      </c>
      <c r="K171" s="209" t="b">
        <v>0</v>
      </c>
      <c r="L171" s="35"/>
      <c r="M171" s="35"/>
      <c r="N171" s="13"/>
      <c r="O171" s="13"/>
      <c r="P171" s="13"/>
      <c r="Q171" s="13"/>
      <c r="R171" s="13"/>
      <c r="S171" s="13"/>
      <c r="T171" s="13"/>
      <c r="U171" s="13"/>
      <c r="V171" s="13"/>
      <c r="W171" s="13"/>
      <c r="X171" s="13"/>
      <c r="Y171" s="13"/>
      <c r="Z171" s="13"/>
      <c r="AA171" s="13"/>
    </row>
    <row r="172" ht="16.5" hidden="1" customHeight="1">
      <c r="A172" s="250">
        <v>169.0</v>
      </c>
      <c r="B172" s="251" t="s">
        <v>3129</v>
      </c>
      <c r="C172" s="230" t="s">
        <v>3147</v>
      </c>
      <c r="D172" s="231" t="s">
        <v>3148</v>
      </c>
      <c r="E172" s="235" t="s">
        <v>3144</v>
      </c>
      <c r="F172" s="236" t="s">
        <v>3149</v>
      </c>
      <c r="G172" s="231" t="s">
        <v>3150</v>
      </c>
      <c r="H172" s="273" t="b">
        <v>0</v>
      </c>
      <c r="I172" s="262">
        <v>45996.0</v>
      </c>
      <c r="J172" s="233" t="s">
        <v>2555</v>
      </c>
      <c r="K172" s="209" t="b">
        <v>0</v>
      </c>
      <c r="L172" s="35"/>
      <c r="M172" s="35"/>
      <c r="N172" s="13"/>
      <c r="O172" s="13"/>
      <c r="P172" s="13"/>
      <c r="Q172" s="13"/>
      <c r="R172" s="13"/>
      <c r="S172" s="13"/>
      <c r="T172" s="13"/>
      <c r="U172" s="13"/>
      <c r="V172" s="13"/>
      <c r="W172" s="13"/>
      <c r="X172" s="13"/>
      <c r="Y172" s="13"/>
      <c r="Z172" s="13"/>
      <c r="AA172" s="13"/>
    </row>
    <row r="173" ht="16.5" hidden="1" customHeight="1">
      <c r="A173" s="250">
        <v>170.0</v>
      </c>
      <c r="B173" s="251" t="s">
        <v>3129</v>
      </c>
      <c r="C173" s="230" t="s">
        <v>3151</v>
      </c>
      <c r="D173" s="252" t="s">
        <v>3152</v>
      </c>
      <c r="E173" s="235" t="s">
        <v>3153</v>
      </c>
      <c r="F173" s="236" t="s">
        <v>3154</v>
      </c>
      <c r="G173" s="231" t="s">
        <v>3155</v>
      </c>
      <c r="H173" s="273" t="b">
        <v>0</v>
      </c>
      <c r="I173" s="262">
        <v>45996.0</v>
      </c>
      <c r="J173" s="233" t="s">
        <v>2555</v>
      </c>
      <c r="K173" s="209" t="b">
        <v>0</v>
      </c>
      <c r="L173" s="35"/>
      <c r="M173" s="35"/>
      <c r="N173" s="13"/>
      <c r="O173" s="13"/>
      <c r="P173" s="13"/>
      <c r="Q173" s="13"/>
      <c r="R173" s="13"/>
      <c r="S173" s="13"/>
      <c r="T173" s="13"/>
      <c r="U173" s="13"/>
      <c r="V173" s="13"/>
      <c r="W173" s="13"/>
      <c r="X173" s="13"/>
      <c r="Y173" s="13"/>
      <c r="Z173" s="13"/>
      <c r="AA173" s="13"/>
    </row>
    <row r="174" ht="16.5" hidden="1" customHeight="1">
      <c r="A174" s="250">
        <v>171.0</v>
      </c>
      <c r="B174" s="251" t="s">
        <v>3129</v>
      </c>
      <c r="C174" s="230" t="s">
        <v>3156</v>
      </c>
      <c r="D174" s="231" t="s">
        <v>3157</v>
      </c>
      <c r="E174" s="235" t="s">
        <v>3158</v>
      </c>
      <c r="F174" s="236" t="s">
        <v>3159</v>
      </c>
      <c r="G174" s="231" t="s">
        <v>2614</v>
      </c>
      <c r="H174" s="273" t="b">
        <v>0</v>
      </c>
      <c r="I174" s="262">
        <v>45996.0</v>
      </c>
      <c r="J174" s="233" t="s">
        <v>2555</v>
      </c>
      <c r="K174" s="209" t="b">
        <v>0</v>
      </c>
      <c r="L174" s="35"/>
      <c r="M174" s="35"/>
      <c r="N174" s="13"/>
      <c r="O174" s="13"/>
      <c r="P174" s="13"/>
      <c r="Q174" s="13"/>
      <c r="R174" s="13"/>
      <c r="S174" s="13"/>
      <c r="T174" s="13"/>
      <c r="U174" s="13"/>
      <c r="V174" s="13"/>
      <c r="W174" s="13"/>
      <c r="X174" s="13"/>
      <c r="Y174" s="13"/>
      <c r="Z174" s="13"/>
      <c r="AA174" s="13"/>
    </row>
    <row r="175" ht="16.5" hidden="1" customHeight="1">
      <c r="A175" s="251">
        <v>172.0</v>
      </c>
      <c r="B175" s="251" t="s">
        <v>3129</v>
      </c>
      <c r="C175" s="230" t="s">
        <v>3160</v>
      </c>
      <c r="D175" s="231" t="s">
        <v>3161</v>
      </c>
      <c r="E175" s="238" t="s">
        <v>3162</v>
      </c>
      <c r="F175" s="231" t="s">
        <v>3163</v>
      </c>
      <c r="G175" s="231" t="s">
        <v>2614</v>
      </c>
      <c r="H175" s="262"/>
      <c r="I175" s="262">
        <v>45996.0</v>
      </c>
      <c r="J175" s="233" t="s">
        <v>2561</v>
      </c>
      <c r="K175" s="211" t="b">
        <v>0</v>
      </c>
      <c r="L175" s="35"/>
      <c r="M175" s="35"/>
      <c r="N175" s="13"/>
      <c r="O175" s="13"/>
      <c r="P175" s="13"/>
      <c r="Q175" s="13"/>
      <c r="R175" s="13"/>
      <c r="S175" s="13"/>
      <c r="T175" s="13"/>
      <c r="U175" s="13"/>
      <c r="V175" s="13"/>
      <c r="W175" s="13"/>
      <c r="X175" s="13"/>
      <c r="Y175" s="13"/>
      <c r="Z175" s="13"/>
      <c r="AA175" s="13"/>
    </row>
    <row r="176" ht="16.5" hidden="1" customHeight="1">
      <c r="A176" s="250">
        <v>173.0</v>
      </c>
      <c r="B176" s="251" t="s">
        <v>2724</v>
      </c>
      <c r="C176" s="258" t="s">
        <v>3164</v>
      </c>
      <c r="D176" s="231" t="s">
        <v>3165</v>
      </c>
      <c r="E176" s="235" t="s">
        <v>3166</v>
      </c>
      <c r="F176" s="236" t="s">
        <v>933</v>
      </c>
      <c r="G176" s="231" t="s">
        <v>3167</v>
      </c>
      <c r="H176" s="273" t="b">
        <v>0</v>
      </c>
      <c r="I176" s="262">
        <v>45996.0</v>
      </c>
      <c r="J176" s="233" t="s">
        <v>2555</v>
      </c>
      <c r="K176" s="209" t="b">
        <v>0</v>
      </c>
      <c r="L176" s="35"/>
      <c r="M176" s="35"/>
      <c r="N176" s="13"/>
      <c r="O176" s="13"/>
      <c r="P176" s="13"/>
      <c r="Q176" s="13"/>
      <c r="R176" s="13"/>
      <c r="S176" s="13"/>
      <c r="T176" s="13"/>
      <c r="U176" s="13"/>
      <c r="V176" s="13"/>
      <c r="W176" s="13"/>
      <c r="X176" s="13"/>
      <c r="Y176" s="13"/>
      <c r="Z176" s="13"/>
      <c r="AA176" s="13"/>
    </row>
    <row r="177" ht="16.5" hidden="1" customHeight="1">
      <c r="A177" s="250">
        <v>174.0</v>
      </c>
      <c r="B177" s="251" t="s">
        <v>2601</v>
      </c>
      <c r="C177" s="230" t="s">
        <v>3168</v>
      </c>
      <c r="D177" s="252" t="s">
        <v>3169</v>
      </c>
      <c r="E177" s="235" t="s">
        <v>3170</v>
      </c>
      <c r="F177" s="244" t="s">
        <v>3171</v>
      </c>
      <c r="G177" s="231" t="s">
        <v>3024</v>
      </c>
      <c r="H177" s="273" t="b">
        <v>0</v>
      </c>
      <c r="I177" s="262">
        <v>45996.0</v>
      </c>
      <c r="J177" s="233" t="s">
        <v>2555</v>
      </c>
      <c r="K177" s="209" t="b">
        <v>0</v>
      </c>
      <c r="L177" s="35"/>
      <c r="M177" s="35"/>
      <c r="N177" s="13"/>
      <c r="O177" s="13"/>
      <c r="P177" s="13"/>
      <c r="Q177" s="13"/>
      <c r="R177" s="13"/>
      <c r="S177" s="13"/>
      <c r="T177" s="13"/>
      <c r="U177" s="13"/>
      <c r="V177" s="13"/>
      <c r="W177" s="13"/>
      <c r="X177" s="13"/>
      <c r="Y177" s="13"/>
      <c r="Z177" s="13"/>
      <c r="AA177" s="13"/>
    </row>
    <row r="178" ht="16.5" hidden="1" customHeight="1">
      <c r="A178" s="250">
        <v>175.0</v>
      </c>
      <c r="B178" s="251" t="s">
        <v>2568</v>
      </c>
      <c r="C178" s="230" t="s">
        <v>3172</v>
      </c>
      <c r="D178" s="231" t="s">
        <v>3173</v>
      </c>
      <c r="E178" s="235" t="s">
        <v>3174</v>
      </c>
      <c r="F178" s="244" t="s">
        <v>3175</v>
      </c>
      <c r="G178" s="231" t="s">
        <v>3024</v>
      </c>
      <c r="H178" s="273" t="b">
        <v>0</v>
      </c>
      <c r="I178" s="262">
        <v>45996.0</v>
      </c>
      <c r="J178" s="233" t="s">
        <v>2555</v>
      </c>
      <c r="K178" s="209" t="b">
        <v>0</v>
      </c>
      <c r="L178" s="35"/>
      <c r="M178" s="35"/>
      <c r="N178" s="13"/>
      <c r="O178" s="13"/>
      <c r="P178" s="13"/>
      <c r="Q178" s="13"/>
      <c r="R178" s="13"/>
      <c r="S178" s="13"/>
      <c r="T178" s="13"/>
      <c r="U178" s="13"/>
      <c r="V178" s="13"/>
      <c r="W178" s="13"/>
      <c r="X178" s="13"/>
      <c r="Y178" s="13"/>
      <c r="Z178" s="13"/>
      <c r="AA178" s="13"/>
    </row>
    <row r="179" ht="16.5" hidden="1" customHeight="1">
      <c r="A179" s="250">
        <v>176.0</v>
      </c>
      <c r="B179" s="251" t="s">
        <v>2568</v>
      </c>
      <c r="C179" s="230" t="s">
        <v>3176</v>
      </c>
      <c r="D179" s="231" t="s">
        <v>3177</v>
      </c>
      <c r="E179" s="235" t="s">
        <v>3178</v>
      </c>
      <c r="F179" s="244" t="s">
        <v>3179</v>
      </c>
      <c r="G179" s="231" t="s">
        <v>3024</v>
      </c>
      <c r="H179" s="273" t="b">
        <v>0</v>
      </c>
      <c r="I179" s="262">
        <v>45996.0</v>
      </c>
      <c r="J179" s="233" t="s">
        <v>2555</v>
      </c>
      <c r="K179" s="209" t="b">
        <v>0</v>
      </c>
      <c r="L179" s="35"/>
      <c r="M179" s="35"/>
      <c r="N179" s="13"/>
      <c r="O179" s="13"/>
      <c r="P179" s="13"/>
      <c r="Q179" s="13"/>
      <c r="R179" s="13"/>
      <c r="S179" s="13"/>
      <c r="T179" s="13"/>
      <c r="U179" s="13"/>
      <c r="V179" s="13"/>
      <c r="W179" s="13"/>
      <c r="X179" s="13"/>
      <c r="Y179" s="13"/>
      <c r="Z179" s="13"/>
      <c r="AA179" s="13"/>
    </row>
    <row r="180" ht="16.5" hidden="1" customHeight="1">
      <c r="A180" s="250">
        <v>177.0</v>
      </c>
      <c r="B180" s="251" t="s">
        <v>2568</v>
      </c>
      <c r="C180" s="230" t="s">
        <v>3180</v>
      </c>
      <c r="D180" s="231" t="s">
        <v>3181</v>
      </c>
      <c r="E180" s="235" t="s">
        <v>3182</v>
      </c>
      <c r="F180" s="244" t="s">
        <v>3183</v>
      </c>
      <c r="G180" s="231" t="s">
        <v>3024</v>
      </c>
      <c r="H180" s="273" t="b">
        <v>0</v>
      </c>
      <c r="I180" s="262">
        <v>45996.0</v>
      </c>
      <c r="J180" s="233" t="s">
        <v>2555</v>
      </c>
      <c r="K180" s="209" t="b">
        <v>0</v>
      </c>
      <c r="L180" s="35"/>
      <c r="M180" s="35"/>
      <c r="N180" s="13"/>
      <c r="O180" s="13"/>
      <c r="P180" s="13"/>
      <c r="Q180" s="13"/>
      <c r="R180" s="13"/>
      <c r="S180" s="13"/>
      <c r="T180" s="13"/>
      <c r="U180" s="13"/>
      <c r="V180" s="13"/>
      <c r="W180" s="13"/>
      <c r="X180" s="13"/>
      <c r="Y180" s="13"/>
      <c r="Z180" s="13"/>
      <c r="AA180" s="13"/>
    </row>
    <row r="181" ht="16.5" hidden="1" customHeight="1">
      <c r="A181" s="250">
        <v>178.0</v>
      </c>
      <c r="B181" s="251" t="s">
        <v>2568</v>
      </c>
      <c r="C181" s="230" t="s">
        <v>3184</v>
      </c>
      <c r="D181" s="231" t="s">
        <v>3185</v>
      </c>
      <c r="E181" s="235" t="s">
        <v>3186</v>
      </c>
      <c r="F181" s="244" t="s">
        <v>3187</v>
      </c>
      <c r="G181" s="231" t="s">
        <v>3024</v>
      </c>
      <c r="H181" s="273" t="b">
        <v>0</v>
      </c>
      <c r="I181" s="262">
        <v>45996.0</v>
      </c>
      <c r="J181" s="233" t="s">
        <v>2555</v>
      </c>
      <c r="K181" s="209" t="b">
        <v>0</v>
      </c>
      <c r="L181" s="35"/>
      <c r="M181" s="35"/>
      <c r="N181" s="13"/>
      <c r="O181" s="13"/>
      <c r="P181" s="13"/>
      <c r="Q181" s="13"/>
      <c r="R181" s="13"/>
      <c r="S181" s="13"/>
      <c r="T181" s="13"/>
      <c r="U181" s="13"/>
      <c r="V181" s="13"/>
      <c r="W181" s="13"/>
      <c r="X181" s="13"/>
      <c r="Y181" s="13"/>
      <c r="Z181" s="13"/>
      <c r="AA181" s="13"/>
    </row>
    <row r="182" ht="16.5" hidden="1" customHeight="1">
      <c r="A182" s="250">
        <v>179.0</v>
      </c>
      <c r="B182" s="251" t="s">
        <v>2601</v>
      </c>
      <c r="C182" s="230" t="s">
        <v>3188</v>
      </c>
      <c r="D182" s="231" t="s">
        <v>3189</v>
      </c>
      <c r="E182" s="235" t="s">
        <v>3190</v>
      </c>
      <c r="F182" s="244" t="s">
        <v>3191</v>
      </c>
      <c r="G182" s="231" t="s">
        <v>3024</v>
      </c>
      <c r="H182" s="273" t="b">
        <v>0</v>
      </c>
      <c r="I182" s="262">
        <v>45996.0</v>
      </c>
      <c r="J182" s="233" t="s">
        <v>2555</v>
      </c>
      <c r="K182" s="209" t="b">
        <v>0</v>
      </c>
      <c r="L182" s="35"/>
      <c r="M182" s="35"/>
      <c r="N182" s="13"/>
      <c r="O182" s="13"/>
      <c r="P182" s="13"/>
      <c r="Q182" s="13"/>
      <c r="R182" s="13"/>
      <c r="S182" s="13"/>
      <c r="T182" s="13"/>
      <c r="U182" s="13"/>
      <c r="V182" s="13"/>
      <c r="W182" s="13"/>
      <c r="X182" s="13"/>
      <c r="Y182" s="13"/>
      <c r="Z182" s="13"/>
      <c r="AA182" s="13"/>
    </row>
    <row r="183" ht="16.5" hidden="1" customHeight="1">
      <c r="A183" s="250">
        <v>180.0</v>
      </c>
      <c r="B183" s="251" t="s">
        <v>2589</v>
      </c>
      <c r="C183" s="230" t="s">
        <v>3192</v>
      </c>
      <c r="D183" s="231" t="s">
        <v>3193</v>
      </c>
      <c r="E183" s="235" t="s">
        <v>3194</v>
      </c>
      <c r="F183" s="236" t="s">
        <v>3195</v>
      </c>
      <c r="G183" s="231" t="s">
        <v>3196</v>
      </c>
      <c r="H183" s="243" t="b">
        <v>0</v>
      </c>
      <c r="I183" s="233" t="s">
        <v>3197</v>
      </c>
      <c r="J183" s="233" t="s">
        <v>2555</v>
      </c>
      <c r="K183" s="209" t="b">
        <v>0</v>
      </c>
      <c r="L183" s="35"/>
      <c r="M183" s="35"/>
      <c r="N183" s="13"/>
      <c r="O183" s="13"/>
      <c r="P183" s="13"/>
      <c r="Q183" s="13"/>
      <c r="R183" s="13"/>
      <c r="S183" s="13"/>
      <c r="T183" s="13"/>
      <c r="U183" s="13"/>
      <c r="V183" s="13"/>
      <c r="W183" s="13"/>
      <c r="X183" s="13"/>
      <c r="Y183" s="13"/>
      <c r="Z183" s="13"/>
      <c r="AA183" s="13"/>
    </row>
    <row r="184" ht="16.5" hidden="1" customHeight="1">
      <c r="A184" s="250">
        <v>181.0</v>
      </c>
      <c r="B184" s="251" t="s">
        <v>2589</v>
      </c>
      <c r="C184" s="230" t="s">
        <v>3198</v>
      </c>
      <c r="D184" s="231" t="s">
        <v>3199</v>
      </c>
      <c r="E184" s="235" t="s">
        <v>3194</v>
      </c>
      <c r="F184" s="236" t="s">
        <v>3200</v>
      </c>
      <c r="G184" s="231" t="s">
        <v>3201</v>
      </c>
      <c r="H184" s="243" t="b">
        <v>0</v>
      </c>
      <c r="I184" s="233" t="s">
        <v>3197</v>
      </c>
      <c r="J184" s="233" t="s">
        <v>2555</v>
      </c>
      <c r="K184" s="209" t="b">
        <v>0</v>
      </c>
      <c r="L184" s="35"/>
      <c r="M184" s="35"/>
      <c r="N184" s="13"/>
      <c r="O184" s="13"/>
      <c r="P184" s="13"/>
      <c r="Q184" s="13"/>
      <c r="R184" s="13"/>
      <c r="S184" s="13"/>
      <c r="T184" s="13"/>
      <c r="U184" s="13"/>
      <c r="V184" s="13"/>
      <c r="W184" s="13"/>
      <c r="X184" s="13"/>
      <c r="Y184" s="13"/>
      <c r="Z184" s="13"/>
      <c r="AA184" s="13"/>
    </row>
    <row r="185" ht="16.5" hidden="1" customHeight="1">
      <c r="A185" s="250">
        <v>182.0</v>
      </c>
      <c r="B185" s="251" t="s">
        <v>2735</v>
      </c>
      <c r="C185" s="230" t="s">
        <v>3202</v>
      </c>
      <c r="D185" s="231" t="s">
        <v>3203</v>
      </c>
      <c r="E185" s="235" t="s">
        <v>3204</v>
      </c>
      <c r="F185" s="236" t="s">
        <v>3205</v>
      </c>
      <c r="G185" s="231" t="s">
        <v>3206</v>
      </c>
      <c r="H185" s="243" t="b">
        <v>0</v>
      </c>
      <c r="I185" s="233" t="s">
        <v>3197</v>
      </c>
      <c r="J185" s="233" t="s">
        <v>2555</v>
      </c>
      <c r="K185" s="209" t="b">
        <v>0</v>
      </c>
      <c r="L185" s="35"/>
      <c r="M185" s="35"/>
      <c r="N185" s="13"/>
      <c r="O185" s="13"/>
      <c r="P185" s="13"/>
      <c r="Q185" s="13"/>
      <c r="R185" s="13"/>
      <c r="S185" s="13"/>
      <c r="T185" s="13"/>
      <c r="U185" s="13"/>
      <c r="V185" s="13"/>
      <c r="W185" s="13"/>
      <c r="X185" s="13"/>
      <c r="Y185" s="13"/>
      <c r="Z185" s="13"/>
      <c r="AA185" s="13"/>
    </row>
    <row r="186" ht="16.5" hidden="1" customHeight="1">
      <c r="A186" s="250">
        <v>183.0</v>
      </c>
      <c r="B186" s="251" t="s">
        <v>2589</v>
      </c>
      <c r="C186" s="230" t="s">
        <v>3207</v>
      </c>
      <c r="D186" s="231" t="s">
        <v>3208</v>
      </c>
      <c r="E186" s="235" t="s">
        <v>3204</v>
      </c>
      <c r="F186" s="236" t="s">
        <v>3209</v>
      </c>
      <c r="G186" s="231" t="s">
        <v>2485</v>
      </c>
      <c r="H186" s="243" t="b">
        <v>0</v>
      </c>
      <c r="I186" s="233" t="s">
        <v>3197</v>
      </c>
      <c r="J186" s="233" t="s">
        <v>2555</v>
      </c>
      <c r="K186" s="209" t="b">
        <v>0</v>
      </c>
      <c r="L186" s="35"/>
      <c r="M186" s="35"/>
      <c r="N186" s="13"/>
      <c r="O186" s="13"/>
      <c r="P186" s="13"/>
      <c r="Q186" s="13"/>
      <c r="R186" s="13"/>
      <c r="S186" s="13"/>
      <c r="T186" s="13"/>
      <c r="U186" s="13"/>
      <c r="V186" s="13"/>
      <c r="W186" s="13"/>
      <c r="X186" s="13"/>
      <c r="Y186" s="13"/>
      <c r="Z186" s="13"/>
      <c r="AA186" s="13"/>
    </row>
    <row r="187" ht="16.5" hidden="1" customHeight="1">
      <c r="A187" s="250">
        <v>184.0</v>
      </c>
      <c r="B187" s="251" t="s">
        <v>2671</v>
      </c>
      <c r="C187" s="230" t="s">
        <v>3210</v>
      </c>
      <c r="D187" s="277" t="s">
        <v>3211</v>
      </c>
      <c r="E187" s="241" t="s">
        <v>3212</v>
      </c>
      <c r="F187" s="240"/>
      <c r="G187" s="231" t="s">
        <v>3213</v>
      </c>
      <c r="H187" s="243" t="b">
        <v>0</v>
      </c>
      <c r="I187" s="233" t="s">
        <v>3197</v>
      </c>
      <c r="J187" s="233" t="s">
        <v>2555</v>
      </c>
      <c r="K187" s="209" t="b">
        <v>0</v>
      </c>
      <c r="L187" s="35"/>
      <c r="M187" s="35"/>
      <c r="N187" s="13"/>
      <c r="O187" s="13"/>
      <c r="P187" s="13"/>
      <c r="Q187" s="13"/>
      <c r="R187" s="13"/>
      <c r="S187" s="13"/>
      <c r="T187" s="13"/>
      <c r="U187" s="13"/>
      <c r="V187" s="13"/>
      <c r="W187" s="13"/>
      <c r="X187" s="13"/>
      <c r="Y187" s="13"/>
      <c r="Z187" s="13"/>
      <c r="AA187" s="13"/>
    </row>
    <row r="188" ht="16.5" hidden="1" customHeight="1">
      <c r="A188" s="250">
        <v>185.0</v>
      </c>
      <c r="B188" s="251" t="s">
        <v>2589</v>
      </c>
      <c r="C188" s="230" t="s">
        <v>3214</v>
      </c>
      <c r="D188" s="231" t="s">
        <v>3215</v>
      </c>
      <c r="E188" s="235" t="s">
        <v>3216</v>
      </c>
      <c r="F188" s="236" t="s">
        <v>3217</v>
      </c>
      <c r="G188" s="231" t="s">
        <v>2485</v>
      </c>
      <c r="H188" s="243" t="b">
        <v>0</v>
      </c>
      <c r="I188" s="233" t="s">
        <v>3218</v>
      </c>
      <c r="J188" s="233" t="s">
        <v>2555</v>
      </c>
      <c r="K188" s="209" t="b">
        <v>0</v>
      </c>
      <c r="L188" s="35"/>
      <c r="M188" s="35"/>
      <c r="N188" s="13"/>
      <c r="O188" s="13"/>
      <c r="P188" s="13"/>
      <c r="Q188" s="13"/>
      <c r="R188" s="13"/>
      <c r="S188" s="13"/>
      <c r="T188" s="13"/>
      <c r="U188" s="13"/>
      <c r="V188" s="13"/>
      <c r="W188" s="13"/>
      <c r="X188" s="13"/>
      <c r="Y188" s="13"/>
      <c r="Z188" s="13"/>
      <c r="AA188" s="13"/>
    </row>
    <row r="189" ht="16.5" hidden="1" customHeight="1">
      <c r="A189" s="250">
        <v>186.0</v>
      </c>
      <c r="B189" s="251" t="s">
        <v>2589</v>
      </c>
      <c r="C189" s="230" t="s">
        <v>3219</v>
      </c>
      <c r="D189" s="231" t="s">
        <v>3220</v>
      </c>
      <c r="E189" s="235" t="s">
        <v>3216</v>
      </c>
      <c r="F189" s="236" t="s">
        <v>3221</v>
      </c>
      <c r="G189" s="231" t="s">
        <v>2485</v>
      </c>
      <c r="H189" s="243" t="b">
        <v>0</v>
      </c>
      <c r="I189" s="233" t="s">
        <v>3218</v>
      </c>
      <c r="J189" s="233" t="s">
        <v>2555</v>
      </c>
      <c r="K189" s="209" t="b">
        <v>0</v>
      </c>
      <c r="L189" s="35"/>
      <c r="M189" s="35"/>
      <c r="N189" s="13"/>
      <c r="O189" s="13"/>
      <c r="P189" s="13"/>
      <c r="Q189" s="13"/>
      <c r="R189" s="13"/>
      <c r="S189" s="13"/>
      <c r="T189" s="13"/>
      <c r="U189" s="13"/>
      <c r="V189" s="13"/>
      <c r="W189" s="13"/>
      <c r="X189" s="13"/>
      <c r="Y189" s="13"/>
      <c r="Z189" s="13"/>
      <c r="AA189" s="13"/>
    </row>
    <row r="190" ht="16.5" hidden="1" customHeight="1">
      <c r="A190" s="250">
        <v>187.0</v>
      </c>
      <c r="B190" s="251" t="s">
        <v>2589</v>
      </c>
      <c r="C190" s="230" t="s">
        <v>3222</v>
      </c>
      <c r="D190" s="231" t="s">
        <v>3223</v>
      </c>
      <c r="E190" s="235" t="s">
        <v>3216</v>
      </c>
      <c r="F190" s="236" t="s">
        <v>3224</v>
      </c>
      <c r="G190" s="231" t="s">
        <v>2485</v>
      </c>
      <c r="H190" s="243" t="b">
        <v>0</v>
      </c>
      <c r="I190" s="233" t="s">
        <v>3218</v>
      </c>
      <c r="J190" s="233" t="s">
        <v>2555</v>
      </c>
      <c r="K190" s="209" t="b">
        <v>0</v>
      </c>
      <c r="L190" s="35"/>
      <c r="M190" s="35"/>
      <c r="N190" s="13"/>
      <c r="O190" s="13"/>
      <c r="P190" s="13"/>
      <c r="Q190" s="13"/>
      <c r="R190" s="13"/>
      <c r="S190" s="13"/>
      <c r="T190" s="13"/>
      <c r="U190" s="13"/>
      <c r="V190" s="13"/>
      <c r="W190" s="13"/>
      <c r="X190" s="13"/>
      <c r="Y190" s="13"/>
      <c r="Z190" s="13"/>
      <c r="AA190" s="13"/>
    </row>
    <row r="191" ht="16.5" hidden="1" customHeight="1">
      <c r="A191" s="250">
        <v>188.0</v>
      </c>
      <c r="B191" s="251" t="s">
        <v>2589</v>
      </c>
      <c r="C191" s="230" t="s">
        <v>3225</v>
      </c>
      <c r="D191" s="231" t="s">
        <v>3226</v>
      </c>
      <c r="E191" s="235" t="s">
        <v>3216</v>
      </c>
      <c r="F191" s="236" t="s">
        <v>3227</v>
      </c>
      <c r="G191" s="264"/>
      <c r="H191" s="243" t="b">
        <v>0</v>
      </c>
      <c r="I191" s="233" t="s">
        <v>3218</v>
      </c>
      <c r="J191" s="233" t="s">
        <v>2555</v>
      </c>
      <c r="K191" s="209" t="b">
        <v>0</v>
      </c>
      <c r="L191" s="35"/>
      <c r="M191" s="35"/>
      <c r="N191" s="13"/>
      <c r="O191" s="13"/>
      <c r="P191" s="13"/>
      <c r="Q191" s="13"/>
      <c r="R191" s="13"/>
      <c r="S191" s="13"/>
      <c r="T191" s="13"/>
      <c r="U191" s="13"/>
      <c r="V191" s="13"/>
      <c r="W191" s="13"/>
      <c r="X191" s="13"/>
      <c r="Y191" s="13"/>
      <c r="Z191" s="13"/>
      <c r="AA191" s="13"/>
    </row>
    <row r="192" ht="16.5" hidden="1" customHeight="1">
      <c r="A192" s="250">
        <v>189.0</v>
      </c>
      <c r="B192" s="251" t="s">
        <v>2589</v>
      </c>
      <c r="C192" s="230" t="s">
        <v>3228</v>
      </c>
      <c r="D192" s="278" t="s">
        <v>3229</v>
      </c>
      <c r="E192" s="235" t="s">
        <v>3230</v>
      </c>
      <c r="F192" s="236" t="s">
        <v>3231</v>
      </c>
      <c r="G192" s="278" t="s">
        <v>3229</v>
      </c>
      <c r="H192" s="243" t="b">
        <v>0</v>
      </c>
      <c r="I192" s="233" t="s">
        <v>3218</v>
      </c>
      <c r="J192" s="233" t="s">
        <v>2555</v>
      </c>
      <c r="K192" s="209" t="b">
        <v>0</v>
      </c>
      <c r="L192" s="35"/>
      <c r="M192" s="35"/>
      <c r="N192" s="13"/>
      <c r="O192" s="13"/>
      <c r="P192" s="13"/>
      <c r="Q192" s="13"/>
      <c r="R192" s="13"/>
      <c r="S192" s="13"/>
      <c r="T192" s="13"/>
      <c r="U192" s="13"/>
      <c r="V192" s="13"/>
      <c r="W192" s="13"/>
      <c r="X192" s="13"/>
      <c r="Y192" s="13"/>
      <c r="Z192" s="13"/>
      <c r="AA192" s="13"/>
    </row>
    <row r="193" ht="16.5" hidden="1" customHeight="1">
      <c r="A193" s="250">
        <v>190.0</v>
      </c>
      <c r="B193" s="251" t="s">
        <v>2589</v>
      </c>
      <c r="C193" s="230" t="s">
        <v>3232</v>
      </c>
      <c r="D193" s="231" t="s">
        <v>3233</v>
      </c>
      <c r="E193" s="235" t="s">
        <v>3216</v>
      </c>
      <c r="F193" s="236" t="s">
        <v>3234</v>
      </c>
      <c r="G193" s="231" t="s">
        <v>2485</v>
      </c>
      <c r="H193" s="243" t="b">
        <v>0</v>
      </c>
      <c r="I193" s="233" t="s">
        <v>3218</v>
      </c>
      <c r="J193" s="233" t="s">
        <v>2555</v>
      </c>
      <c r="K193" s="209" t="b">
        <v>0</v>
      </c>
      <c r="L193" s="35"/>
      <c r="M193" s="35"/>
      <c r="N193" s="13"/>
      <c r="O193" s="13"/>
      <c r="P193" s="13"/>
      <c r="Q193" s="13"/>
      <c r="R193" s="13"/>
      <c r="S193" s="13"/>
      <c r="T193" s="13"/>
      <c r="U193" s="13"/>
      <c r="V193" s="13"/>
      <c r="W193" s="13"/>
      <c r="X193" s="13"/>
      <c r="Y193" s="13"/>
      <c r="Z193" s="13"/>
      <c r="AA193" s="13"/>
    </row>
    <row r="194" ht="16.5" hidden="1" customHeight="1">
      <c r="A194" s="250">
        <v>191.0</v>
      </c>
      <c r="B194" s="251" t="s">
        <v>2589</v>
      </c>
      <c r="C194" s="230" t="s">
        <v>3235</v>
      </c>
      <c r="D194" s="231" t="s">
        <v>3236</v>
      </c>
      <c r="E194" s="235" t="s">
        <v>3237</v>
      </c>
      <c r="F194" s="236" t="s">
        <v>3237</v>
      </c>
      <c r="G194" s="231" t="s">
        <v>2485</v>
      </c>
      <c r="H194" s="243" t="b">
        <v>0</v>
      </c>
      <c r="I194" s="233" t="s">
        <v>3197</v>
      </c>
      <c r="J194" s="233" t="s">
        <v>2555</v>
      </c>
      <c r="K194" s="209" t="b">
        <v>0</v>
      </c>
      <c r="L194" s="35"/>
      <c r="M194" s="35"/>
      <c r="N194" s="13"/>
      <c r="O194" s="13"/>
      <c r="P194" s="13"/>
      <c r="Q194" s="13"/>
      <c r="R194" s="13"/>
      <c r="S194" s="13"/>
      <c r="T194" s="13"/>
      <c r="U194" s="13"/>
      <c r="V194" s="13"/>
      <c r="W194" s="13"/>
      <c r="X194" s="13"/>
      <c r="Y194" s="13"/>
      <c r="Z194" s="13"/>
      <c r="AA194" s="13"/>
    </row>
    <row r="195" ht="16.5" hidden="1" customHeight="1">
      <c r="A195" s="250">
        <v>192.0</v>
      </c>
      <c r="B195" s="251" t="s">
        <v>2589</v>
      </c>
      <c r="C195" s="230" t="s">
        <v>3238</v>
      </c>
      <c r="D195" s="231" t="s">
        <v>3239</v>
      </c>
      <c r="E195" s="235" t="s">
        <v>3240</v>
      </c>
      <c r="F195" s="236" t="s">
        <v>3240</v>
      </c>
      <c r="G195" s="231" t="s">
        <v>2485</v>
      </c>
      <c r="H195" s="243" t="b">
        <v>0</v>
      </c>
      <c r="I195" s="233" t="s">
        <v>3241</v>
      </c>
      <c r="J195" s="233" t="s">
        <v>2555</v>
      </c>
      <c r="K195" s="209" t="b">
        <v>0</v>
      </c>
      <c r="L195" s="35"/>
      <c r="M195" s="35"/>
      <c r="N195" s="13"/>
      <c r="O195" s="13"/>
      <c r="P195" s="13"/>
      <c r="Q195" s="13"/>
      <c r="R195" s="13"/>
      <c r="S195" s="13"/>
      <c r="T195" s="13"/>
      <c r="U195" s="13"/>
      <c r="V195" s="13"/>
      <c r="W195" s="13"/>
      <c r="X195" s="13"/>
      <c r="Y195" s="13"/>
      <c r="Z195" s="13"/>
      <c r="AA195" s="13"/>
    </row>
    <row r="196" ht="16.5" hidden="1" customHeight="1">
      <c r="A196" s="250">
        <v>193.0</v>
      </c>
      <c r="B196" s="251" t="s">
        <v>2589</v>
      </c>
      <c r="C196" s="230" t="s">
        <v>3242</v>
      </c>
      <c r="D196" s="231" t="s">
        <v>3243</v>
      </c>
      <c r="E196" s="235" t="s">
        <v>3240</v>
      </c>
      <c r="F196" s="236" t="s">
        <v>3240</v>
      </c>
      <c r="G196" s="231" t="s">
        <v>2485</v>
      </c>
      <c r="H196" s="243" t="b">
        <v>0</v>
      </c>
      <c r="I196" s="233" t="s">
        <v>3241</v>
      </c>
      <c r="J196" s="233" t="s">
        <v>2555</v>
      </c>
      <c r="K196" s="209" t="b">
        <v>0</v>
      </c>
      <c r="L196" s="35"/>
      <c r="M196" s="35"/>
      <c r="N196" s="13"/>
      <c r="O196" s="13"/>
      <c r="P196" s="13"/>
      <c r="Q196" s="13"/>
      <c r="R196" s="13"/>
      <c r="S196" s="13"/>
      <c r="T196" s="13"/>
      <c r="U196" s="13"/>
      <c r="V196" s="13"/>
      <c r="W196" s="13"/>
      <c r="X196" s="13"/>
      <c r="Y196" s="13"/>
      <c r="Z196" s="13"/>
      <c r="AA196" s="13"/>
    </row>
    <row r="197" ht="16.5" hidden="1" customHeight="1">
      <c r="A197" s="251">
        <v>194.0</v>
      </c>
      <c r="B197" s="251" t="s">
        <v>2589</v>
      </c>
      <c r="C197" s="230" t="s">
        <v>3244</v>
      </c>
      <c r="D197" s="231" t="s">
        <v>3245</v>
      </c>
      <c r="E197" s="238" t="s">
        <v>3246</v>
      </c>
      <c r="F197" s="231" t="s">
        <v>3246</v>
      </c>
      <c r="G197" s="231" t="s">
        <v>2485</v>
      </c>
      <c r="H197" s="233"/>
      <c r="I197" s="233" t="s">
        <v>3241</v>
      </c>
      <c r="J197" s="233" t="s">
        <v>2561</v>
      </c>
      <c r="K197" s="211" t="b">
        <v>0</v>
      </c>
      <c r="L197" s="35"/>
      <c r="M197" s="35"/>
      <c r="N197" s="13"/>
      <c r="O197" s="13"/>
      <c r="P197" s="13"/>
      <c r="Q197" s="13"/>
      <c r="R197" s="13"/>
      <c r="S197" s="13"/>
      <c r="T197" s="13"/>
      <c r="U197" s="13"/>
      <c r="V197" s="13"/>
      <c r="W197" s="13"/>
      <c r="X197" s="13"/>
      <c r="Y197" s="13"/>
      <c r="Z197" s="13"/>
      <c r="AA197" s="13"/>
    </row>
    <row r="198" ht="16.5" hidden="1" customHeight="1">
      <c r="A198" s="250">
        <v>195.0</v>
      </c>
      <c r="B198" s="251" t="s">
        <v>2589</v>
      </c>
      <c r="C198" s="230" t="s">
        <v>3247</v>
      </c>
      <c r="D198" s="231" t="s">
        <v>3248</v>
      </c>
      <c r="E198" s="235" t="s">
        <v>3249</v>
      </c>
      <c r="F198" s="236" t="s">
        <v>3249</v>
      </c>
      <c r="G198" s="231" t="s">
        <v>2485</v>
      </c>
      <c r="H198" s="243" t="b">
        <v>0</v>
      </c>
      <c r="I198" s="233" t="s">
        <v>3241</v>
      </c>
      <c r="J198" s="233" t="s">
        <v>2555</v>
      </c>
      <c r="K198" s="209" t="b">
        <v>0</v>
      </c>
      <c r="L198" s="35"/>
      <c r="M198" s="35"/>
      <c r="N198" s="13"/>
      <c r="O198" s="13"/>
      <c r="P198" s="13"/>
      <c r="Q198" s="13"/>
      <c r="R198" s="13"/>
      <c r="S198" s="13"/>
      <c r="T198" s="13"/>
      <c r="U198" s="13"/>
      <c r="V198" s="13"/>
      <c r="W198" s="13"/>
      <c r="X198" s="13"/>
      <c r="Y198" s="13"/>
      <c r="Z198" s="13"/>
      <c r="AA198" s="13"/>
    </row>
    <row r="199" ht="16.5" hidden="1" customHeight="1">
      <c r="A199" s="250">
        <v>196.0</v>
      </c>
      <c r="B199" s="251" t="s">
        <v>2589</v>
      </c>
      <c r="C199" s="230" t="s">
        <v>3250</v>
      </c>
      <c r="D199" s="231" t="s">
        <v>3251</v>
      </c>
      <c r="E199" s="235" t="s">
        <v>3252</v>
      </c>
      <c r="F199" s="236" t="s">
        <v>774</v>
      </c>
      <c r="G199" s="231" t="s">
        <v>3253</v>
      </c>
      <c r="H199" s="243" t="b">
        <v>0</v>
      </c>
      <c r="I199" s="233" t="s">
        <v>3254</v>
      </c>
      <c r="J199" s="233" t="s">
        <v>2555</v>
      </c>
      <c r="K199" s="209" t="b">
        <v>0</v>
      </c>
      <c r="L199" s="35"/>
      <c r="M199" s="35"/>
      <c r="N199" s="13"/>
      <c r="O199" s="13"/>
      <c r="P199" s="13"/>
      <c r="Q199" s="13"/>
      <c r="R199" s="13"/>
      <c r="S199" s="13"/>
      <c r="T199" s="13"/>
      <c r="U199" s="13"/>
      <c r="V199" s="13"/>
      <c r="W199" s="13"/>
      <c r="X199" s="13"/>
      <c r="Y199" s="13"/>
      <c r="Z199" s="13"/>
      <c r="AA199" s="13"/>
    </row>
    <row r="200" ht="16.5" hidden="1" customHeight="1">
      <c r="A200" s="250">
        <v>197.0</v>
      </c>
      <c r="B200" s="251" t="s">
        <v>2589</v>
      </c>
      <c r="C200" s="230" t="s">
        <v>3255</v>
      </c>
      <c r="D200" s="231" t="s">
        <v>3256</v>
      </c>
      <c r="E200" s="235" t="s">
        <v>3252</v>
      </c>
      <c r="F200" s="236" t="s">
        <v>122</v>
      </c>
      <c r="G200" s="231" t="s">
        <v>3257</v>
      </c>
      <c r="H200" s="243" t="b">
        <v>0</v>
      </c>
      <c r="I200" s="233" t="s">
        <v>3254</v>
      </c>
      <c r="J200" s="233" t="s">
        <v>2555</v>
      </c>
      <c r="K200" s="209" t="b">
        <v>0</v>
      </c>
      <c r="L200" s="35"/>
      <c r="M200" s="35"/>
      <c r="N200" s="13"/>
      <c r="O200" s="13"/>
      <c r="P200" s="13"/>
      <c r="Q200" s="13"/>
      <c r="R200" s="13"/>
      <c r="S200" s="13"/>
      <c r="T200" s="13"/>
      <c r="U200" s="13"/>
      <c r="V200" s="13"/>
      <c r="W200" s="13"/>
      <c r="X200" s="13"/>
      <c r="Y200" s="13"/>
      <c r="Z200" s="13"/>
      <c r="AA200" s="13"/>
    </row>
    <row r="201" ht="16.5" hidden="1" customHeight="1">
      <c r="A201" s="250">
        <v>198.0</v>
      </c>
      <c r="B201" s="251" t="s">
        <v>2589</v>
      </c>
      <c r="C201" s="230" t="s">
        <v>3258</v>
      </c>
      <c r="D201" s="231" t="s">
        <v>3259</v>
      </c>
      <c r="E201" s="235" t="s">
        <v>3252</v>
      </c>
      <c r="F201" s="236" t="s">
        <v>1779</v>
      </c>
      <c r="G201" s="231" t="s">
        <v>3260</v>
      </c>
      <c r="H201" s="243" t="b">
        <v>0</v>
      </c>
      <c r="I201" s="233" t="s">
        <v>3254</v>
      </c>
      <c r="J201" s="233" t="s">
        <v>2555</v>
      </c>
      <c r="K201" s="209" t="b">
        <v>0</v>
      </c>
      <c r="L201" s="35"/>
      <c r="M201" s="35"/>
      <c r="N201" s="13"/>
      <c r="O201" s="13"/>
      <c r="P201" s="13"/>
      <c r="Q201" s="13"/>
      <c r="R201" s="13"/>
      <c r="S201" s="13"/>
      <c r="T201" s="13"/>
      <c r="U201" s="13"/>
      <c r="V201" s="13"/>
      <c r="W201" s="13"/>
      <c r="X201" s="13"/>
      <c r="Y201" s="13"/>
      <c r="Z201" s="13"/>
      <c r="AA201" s="13"/>
    </row>
    <row r="202" ht="16.5" hidden="1" customHeight="1">
      <c r="A202" s="250">
        <v>199.0</v>
      </c>
      <c r="B202" s="251" t="s">
        <v>2589</v>
      </c>
      <c r="C202" s="230" t="s">
        <v>3261</v>
      </c>
      <c r="D202" s="231" t="s">
        <v>3262</v>
      </c>
      <c r="E202" s="235" t="s">
        <v>3252</v>
      </c>
      <c r="F202" s="236" t="s">
        <v>1779</v>
      </c>
      <c r="G202" s="231" t="s">
        <v>3260</v>
      </c>
      <c r="H202" s="243" t="b">
        <v>0</v>
      </c>
      <c r="I202" s="233" t="s">
        <v>3254</v>
      </c>
      <c r="J202" s="233" t="s">
        <v>2555</v>
      </c>
      <c r="K202" s="209" t="b">
        <v>0</v>
      </c>
      <c r="L202" s="35"/>
      <c r="M202" s="35"/>
      <c r="N202" s="13"/>
      <c r="O202" s="13"/>
      <c r="P202" s="13"/>
      <c r="Q202" s="13"/>
      <c r="R202" s="13"/>
      <c r="S202" s="13"/>
      <c r="T202" s="13"/>
      <c r="U202" s="13"/>
      <c r="V202" s="13"/>
      <c r="W202" s="13"/>
      <c r="X202" s="13"/>
      <c r="Y202" s="13"/>
      <c r="Z202" s="13"/>
      <c r="AA202" s="13"/>
    </row>
    <row r="203" ht="16.5" hidden="1" customHeight="1">
      <c r="A203" s="250">
        <v>200.0</v>
      </c>
      <c r="B203" s="251" t="s">
        <v>2589</v>
      </c>
      <c r="C203" s="230" t="s">
        <v>3263</v>
      </c>
      <c r="D203" s="231" t="s">
        <v>3264</v>
      </c>
      <c r="E203" s="235" t="s">
        <v>3252</v>
      </c>
      <c r="F203" s="236" t="s">
        <v>575</v>
      </c>
      <c r="G203" s="231" t="s">
        <v>3264</v>
      </c>
      <c r="H203" s="243" t="b">
        <v>0</v>
      </c>
      <c r="I203" s="233" t="s">
        <v>3254</v>
      </c>
      <c r="J203" s="233" t="s">
        <v>2555</v>
      </c>
      <c r="K203" s="209" t="b">
        <v>0</v>
      </c>
      <c r="L203" s="35"/>
      <c r="M203" s="35"/>
      <c r="N203" s="13"/>
      <c r="O203" s="13"/>
      <c r="P203" s="13"/>
      <c r="Q203" s="13"/>
      <c r="R203" s="13"/>
      <c r="S203" s="13"/>
      <c r="T203" s="13"/>
      <c r="U203" s="13"/>
      <c r="V203" s="13"/>
      <c r="W203" s="13"/>
      <c r="X203" s="13"/>
      <c r="Y203" s="13"/>
      <c r="Z203" s="13"/>
      <c r="AA203" s="13"/>
    </row>
    <row r="204" ht="16.5" hidden="1" customHeight="1">
      <c r="A204" s="250">
        <v>201.0</v>
      </c>
      <c r="B204" s="251" t="s">
        <v>2589</v>
      </c>
      <c r="C204" s="230" t="s">
        <v>3265</v>
      </c>
      <c r="D204" s="231" t="s">
        <v>3266</v>
      </c>
      <c r="E204" s="235" t="s">
        <v>3252</v>
      </c>
      <c r="F204" s="236" t="s">
        <v>122</v>
      </c>
      <c r="G204" s="231" t="s">
        <v>3267</v>
      </c>
      <c r="H204" s="243" t="b">
        <v>0</v>
      </c>
      <c r="I204" s="233" t="s">
        <v>3254</v>
      </c>
      <c r="J204" s="233" t="s">
        <v>2555</v>
      </c>
      <c r="K204" s="209" t="b">
        <v>0</v>
      </c>
      <c r="L204" s="35"/>
      <c r="M204" s="35"/>
      <c r="N204" s="13"/>
      <c r="O204" s="13"/>
      <c r="P204" s="13"/>
      <c r="Q204" s="13"/>
      <c r="R204" s="13"/>
      <c r="S204" s="13"/>
      <c r="T204" s="13"/>
      <c r="U204" s="13"/>
      <c r="V204" s="13"/>
      <c r="W204" s="13"/>
      <c r="X204" s="13"/>
      <c r="Y204" s="13"/>
      <c r="Z204" s="13"/>
      <c r="AA204" s="13"/>
    </row>
    <row r="205" ht="16.5" hidden="1" customHeight="1">
      <c r="A205" s="250">
        <v>202.0</v>
      </c>
      <c r="B205" s="251" t="s">
        <v>2589</v>
      </c>
      <c r="C205" s="230" t="s">
        <v>3268</v>
      </c>
      <c r="D205" s="231" t="s">
        <v>3269</v>
      </c>
      <c r="E205" s="235" t="s">
        <v>3252</v>
      </c>
      <c r="F205" s="236" t="s">
        <v>575</v>
      </c>
      <c r="G205" s="231" t="s">
        <v>3264</v>
      </c>
      <c r="H205" s="243" t="b">
        <v>0</v>
      </c>
      <c r="I205" s="233" t="s">
        <v>3270</v>
      </c>
      <c r="J205" s="233" t="s">
        <v>2555</v>
      </c>
      <c r="K205" s="209" t="b">
        <v>0</v>
      </c>
      <c r="L205" s="35"/>
      <c r="M205" s="35"/>
      <c r="N205" s="13"/>
      <c r="O205" s="13"/>
      <c r="P205" s="13"/>
      <c r="Q205" s="13"/>
      <c r="R205" s="13"/>
      <c r="S205" s="13"/>
      <c r="T205" s="13"/>
      <c r="U205" s="13"/>
      <c r="V205" s="13"/>
      <c r="W205" s="13"/>
      <c r="X205" s="13"/>
      <c r="Y205" s="13"/>
      <c r="Z205" s="13"/>
      <c r="AA205" s="13"/>
    </row>
    <row r="206" ht="16.5" hidden="1" customHeight="1">
      <c r="A206" s="250">
        <v>203.0</v>
      </c>
      <c r="B206" s="251" t="s">
        <v>2589</v>
      </c>
      <c r="C206" s="230" t="s">
        <v>3271</v>
      </c>
      <c r="D206" s="231" t="s">
        <v>3272</v>
      </c>
      <c r="E206" s="235" t="s">
        <v>3252</v>
      </c>
      <c r="F206" s="236" t="s">
        <v>409</v>
      </c>
      <c r="G206" s="231" t="s">
        <v>3273</v>
      </c>
      <c r="H206" s="243" t="b">
        <v>0</v>
      </c>
      <c r="I206" s="233" t="s">
        <v>3270</v>
      </c>
      <c r="J206" s="233" t="s">
        <v>2555</v>
      </c>
      <c r="K206" s="209" t="b">
        <v>0</v>
      </c>
      <c r="L206" s="35"/>
      <c r="M206" s="35"/>
      <c r="N206" s="13"/>
      <c r="O206" s="13"/>
      <c r="P206" s="13"/>
      <c r="Q206" s="13"/>
      <c r="R206" s="13"/>
      <c r="S206" s="13"/>
      <c r="T206" s="13"/>
      <c r="U206" s="13"/>
      <c r="V206" s="13"/>
      <c r="W206" s="13"/>
      <c r="X206" s="13"/>
      <c r="Y206" s="13"/>
      <c r="Z206" s="13"/>
      <c r="AA206" s="13"/>
    </row>
    <row r="207" ht="16.5" hidden="1" customHeight="1">
      <c r="A207" s="250">
        <v>204.0</v>
      </c>
      <c r="B207" s="251" t="s">
        <v>2589</v>
      </c>
      <c r="C207" s="230" t="s">
        <v>3274</v>
      </c>
      <c r="D207" s="231" t="s">
        <v>3275</v>
      </c>
      <c r="E207" s="235" t="s">
        <v>3252</v>
      </c>
      <c r="F207" s="236" t="s">
        <v>122</v>
      </c>
      <c r="G207" s="231" t="s">
        <v>3276</v>
      </c>
      <c r="H207" s="243" t="b">
        <v>0</v>
      </c>
      <c r="I207" s="233" t="s">
        <v>3270</v>
      </c>
      <c r="J207" s="233" t="s">
        <v>2555</v>
      </c>
      <c r="K207" s="209" t="b">
        <v>0</v>
      </c>
      <c r="L207" s="35"/>
      <c r="M207" s="35"/>
      <c r="N207" s="13"/>
      <c r="O207" s="13"/>
      <c r="P207" s="13"/>
      <c r="Q207" s="13"/>
      <c r="R207" s="13"/>
      <c r="S207" s="13"/>
      <c r="T207" s="13"/>
      <c r="U207" s="13"/>
      <c r="V207" s="13"/>
      <c r="W207" s="13"/>
      <c r="X207" s="13"/>
      <c r="Y207" s="13"/>
      <c r="Z207" s="13"/>
      <c r="AA207" s="13"/>
    </row>
    <row r="208" ht="16.5" hidden="1" customHeight="1">
      <c r="A208" s="250">
        <v>205.0</v>
      </c>
      <c r="B208" s="251" t="s">
        <v>2589</v>
      </c>
      <c r="C208" s="230" t="s">
        <v>3277</v>
      </c>
      <c r="D208" s="231" t="s">
        <v>3278</v>
      </c>
      <c r="E208" s="235" t="s">
        <v>3252</v>
      </c>
      <c r="F208" s="236" t="s">
        <v>152</v>
      </c>
      <c r="G208" s="231" t="s">
        <v>3279</v>
      </c>
      <c r="H208" s="243" t="b">
        <v>0</v>
      </c>
      <c r="I208" s="233" t="s">
        <v>3270</v>
      </c>
      <c r="J208" s="233" t="s">
        <v>2555</v>
      </c>
      <c r="K208" s="209" t="b">
        <v>0</v>
      </c>
      <c r="L208" s="35"/>
      <c r="M208" s="35"/>
      <c r="N208" s="13"/>
      <c r="O208" s="13"/>
      <c r="P208" s="13"/>
      <c r="Q208" s="13"/>
      <c r="R208" s="13"/>
      <c r="S208" s="13"/>
      <c r="T208" s="13"/>
      <c r="U208" s="13"/>
      <c r="V208" s="13"/>
      <c r="W208" s="13"/>
      <c r="X208" s="13"/>
      <c r="Y208" s="13"/>
      <c r="Z208" s="13"/>
      <c r="AA208" s="13"/>
    </row>
    <row r="209" ht="16.5" hidden="1" customHeight="1">
      <c r="A209" s="234">
        <v>206.0</v>
      </c>
      <c r="B209" s="229" t="s">
        <v>2589</v>
      </c>
      <c r="C209" s="230" t="s">
        <v>3280</v>
      </c>
      <c r="D209" s="231" t="s">
        <v>3281</v>
      </c>
      <c r="E209" s="235" t="s">
        <v>3282</v>
      </c>
      <c r="F209" s="240"/>
      <c r="G209" s="231" t="s">
        <v>3283</v>
      </c>
      <c r="H209" s="243" t="b">
        <v>0</v>
      </c>
      <c r="I209" s="233" t="s">
        <v>3270</v>
      </c>
      <c r="J209" s="233" t="s">
        <v>2555</v>
      </c>
      <c r="K209" s="279" t="b">
        <v>0</v>
      </c>
      <c r="L209" s="55"/>
      <c r="M209" s="55"/>
      <c r="N209" s="13"/>
      <c r="O209" s="13"/>
      <c r="P209" s="13"/>
      <c r="Q209" s="13"/>
      <c r="R209" s="13"/>
      <c r="S209" s="13"/>
      <c r="T209" s="13"/>
      <c r="U209" s="13"/>
      <c r="V209" s="13"/>
      <c r="W209" s="13"/>
      <c r="X209" s="13"/>
      <c r="Y209" s="13"/>
      <c r="Z209" s="13"/>
      <c r="AA209" s="13"/>
    </row>
    <row r="210" ht="16.5" hidden="1" customHeight="1">
      <c r="A210" s="234">
        <v>207.0</v>
      </c>
      <c r="B210" s="229" t="s">
        <v>2589</v>
      </c>
      <c r="C210" s="230" t="s">
        <v>3284</v>
      </c>
      <c r="D210" s="231" t="s">
        <v>3285</v>
      </c>
      <c r="E210" s="235" t="s">
        <v>3286</v>
      </c>
      <c r="F210" s="236" t="s">
        <v>3287</v>
      </c>
      <c r="G210" s="231" t="s">
        <v>3288</v>
      </c>
      <c r="H210" s="243" t="b">
        <v>0</v>
      </c>
      <c r="I210" s="233" t="s">
        <v>3270</v>
      </c>
      <c r="J210" s="233" t="s">
        <v>2555</v>
      </c>
      <c r="K210" s="279" t="b">
        <v>0</v>
      </c>
      <c r="L210" s="55"/>
      <c r="M210" s="55"/>
      <c r="N210" s="13"/>
      <c r="O210" s="13"/>
      <c r="P210" s="13"/>
      <c r="Q210" s="13"/>
      <c r="R210" s="13"/>
      <c r="S210" s="13"/>
      <c r="T210" s="13"/>
      <c r="U210" s="13"/>
      <c r="V210" s="13"/>
      <c r="W210" s="13"/>
      <c r="X210" s="13"/>
      <c r="Y210" s="13"/>
      <c r="Z210" s="13"/>
      <c r="AA210" s="13"/>
    </row>
    <row r="211" ht="16.5" hidden="1" customHeight="1">
      <c r="A211" s="234">
        <v>208.0</v>
      </c>
      <c r="B211" s="229" t="s">
        <v>2589</v>
      </c>
      <c r="C211" s="230" t="s">
        <v>3289</v>
      </c>
      <c r="D211" s="231" t="s">
        <v>3290</v>
      </c>
      <c r="E211" s="235" t="s">
        <v>3286</v>
      </c>
      <c r="F211" s="236" t="s">
        <v>3287</v>
      </c>
      <c r="G211" s="231" t="s">
        <v>3291</v>
      </c>
      <c r="H211" s="243" t="b">
        <v>0</v>
      </c>
      <c r="I211" s="233" t="s">
        <v>3292</v>
      </c>
      <c r="J211" s="233" t="s">
        <v>2555</v>
      </c>
      <c r="K211" s="279" t="b">
        <v>0</v>
      </c>
      <c r="L211" s="55"/>
      <c r="M211" s="55"/>
      <c r="N211" s="13"/>
      <c r="O211" s="13"/>
      <c r="P211" s="13"/>
      <c r="Q211" s="13"/>
      <c r="R211" s="13"/>
      <c r="S211" s="13"/>
      <c r="T211" s="13"/>
      <c r="U211" s="13"/>
      <c r="V211" s="13"/>
      <c r="W211" s="13"/>
      <c r="X211" s="13"/>
      <c r="Y211" s="13"/>
      <c r="Z211" s="13"/>
      <c r="AA211" s="13"/>
    </row>
    <row r="212" ht="16.5" hidden="1" customHeight="1">
      <c r="A212" s="234">
        <v>209.0</v>
      </c>
      <c r="B212" s="229" t="s">
        <v>2589</v>
      </c>
      <c r="C212" s="230" t="s">
        <v>3293</v>
      </c>
      <c r="D212" s="231" t="s">
        <v>3294</v>
      </c>
      <c r="E212" s="235" t="s">
        <v>3286</v>
      </c>
      <c r="F212" s="236" t="s">
        <v>3295</v>
      </c>
      <c r="G212" s="231" t="s">
        <v>3296</v>
      </c>
      <c r="H212" s="243" t="b">
        <v>0</v>
      </c>
      <c r="I212" s="233" t="s">
        <v>3292</v>
      </c>
      <c r="J212" s="233" t="s">
        <v>2555</v>
      </c>
      <c r="K212" s="279" t="b">
        <v>0</v>
      </c>
      <c r="L212" s="55"/>
      <c r="M212" s="55"/>
      <c r="N212" s="13"/>
      <c r="O212" s="13"/>
      <c r="P212" s="13"/>
      <c r="Q212" s="13"/>
      <c r="R212" s="13"/>
      <c r="S212" s="13"/>
      <c r="T212" s="13"/>
      <c r="U212" s="13"/>
      <c r="V212" s="13"/>
      <c r="W212" s="13"/>
      <c r="X212" s="13"/>
      <c r="Y212" s="13"/>
      <c r="Z212" s="13"/>
      <c r="AA212" s="13"/>
    </row>
    <row r="213" ht="16.5" hidden="1" customHeight="1">
      <c r="A213" s="234">
        <v>210.0</v>
      </c>
      <c r="B213" s="229" t="s">
        <v>2589</v>
      </c>
      <c r="C213" s="230" t="s">
        <v>3297</v>
      </c>
      <c r="D213" s="231" t="s">
        <v>3298</v>
      </c>
      <c r="E213" s="235" t="s">
        <v>3286</v>
      </c>
      <c r="F213" s="236" t="s">
        <v>3299</v>
      </c>
      <c r="G213" s="231" t="s">
        <v>3300</v>
      </c>
      <c r="H213" s="243" t="b">
        <v>0</v>
      </c>
      <c r="I213" s="233" t="s">
        <v>3292</v>
      </c>
      <c r="J213" s="233" t="s">
        <v>2555</v>
      </c>
      <c r="K213" s="279" t="b">
        <v>0</v>
      </c>
      <c r="L213" s="55"/>
      <c r="M213" s="55"/>
      <c r="N213" s="13"/>
      <c r="O213" s="13"/>
      <c r="P213" s="13"/>
      <c r="Q213" s="13"/>
      <c r="R213" s="13"/>
      <c r="S213" s="13"/>
      <c r="T213" s="13"/>
      <c r="U213" s="13"/>
      <c r="V213" s="13"/>
      <c r="W213" s="13"/>
      <c r="X213" s="13"/>
      <c r="Y213" s="13"/>
      <c r="Z213" s="13"/>
      <c r="AA213" s="13"/>
    </row>
    <row r="214" ht="16.5" hidden="1" customHeight="1">
      <c r="A214" s="234">
        <v>211.0</v>
      </c>
      <c r="B214" s="229" t="s">
        <v>2589</v>
      </c>
      <c r="C214" s="230" t="s">
        <v>3301</v>
      </c>
      <c r="D214" s="231" t="s">
        <v>3302</v>
      </c>
      <c r="E214" s="235" t="s">
        <v>3286</v>
      </c>
      <c r="F214" s="236" t="s">
        <v>3299</v>
      </c>
      <c r="G214" s="231" t="s">
        <v>3303</v>
      </c>
      <c r="H214" s="243" t="b">
        <v>0</v>
      </c>
      <c r="I214" s="233" t="s">
        <v>3292</v>
      </c>
      <c r="J214" s="233" t="s">
        <v>2555</v>
      </c>
      <c r="K214" s="279" t="b">
        <v>0</v>
      </c>
      <c r="L214" s="55"/>
      <c r="M214" s="55"/>
      <c r="N214" s="13"/>
      <c r="O214" s="13"/>
      <c r="P214" s="13"/>
      <c r="Q214" s="13"/>
      <c r="R214" s="13"/>
      <c r="S214" s="13"/>
      <c r="T214" s="13"/>
      <c r="U214" s="13"/>
      <c r="V214" s="13"/>
      <c r="W214" s="13"/>
      <c r="X214" s="13"/>
      <c r="Y214" s="13"/>
      <c r="Z214" s="13"/>
      <c r="AA214" s="13"/>
    </row>
    <row r="215" ht="16.5" hidden="1" customHeight="1">
      <c r="A215" s="234">
        <v>212.0</v>
      </c>
      <c r="B215" s="229" t="s">
        <v>2589</v>
      </c>
      <c r="C215" s="230" t="s">
        <v>3304</v>
      </c>
      <c r="D215" s="231" t="s">
        <v>3305</v>
      </c>
      <c r="E215" s="235" t="s">
        <v>3286</v>
      </c>
      <c r="F215" s="236" t="s">
        <v>3299</v>
      </c>
      <c r="G215" s="231" t="s">
        <v>3306</v>
      </c>
      <c r="H215" s="243" t="b">
        <v>0</v>
      </c>
      <c r="I215" s="233" t="s">
        <v>3292</v>
      </c>
      <c r="J215" s="233" t="s">
        <v>2555</v>
      </c>
      <c r="K215" s="279" t="b">
        <v>0</v>
      </c>
      <c r="L215" s="55"/>
      <c r="M215" s="55"/>
      <c r="N215" s="13"/>
      <c r="O215" s="13"/>
      <c r="P215" s="13"/>
      <c r="Q215" s="13"/>
      <c r="R215" s="13"/>
      <c r="S215" s="13"/>
      <c r="T215" s="13"/>
      <c r="U215" s="13"/>
      <c r="V215" s="13"/>
      <c r="W215" s="13"/>
      <c r="X215" s="13"/>
      <c r="Y215" s="13"/>
      <c r="Z215" s="13"/>
      <c r="AA215" s="13"/>
    </row>
    <row r="216" ht="16.5" hidden="1" customHeight="1">
      <c r="A216" s="234">
        <v>213.0</v>
      </c>
      <c r="B216" s="229" t="s">
        <v>2589</v>
      </c>
      <c r="C216" s="230" t="s">
        <v>3307</v>
      </c>
      <c r="D216" s="231" t="s">
        <v>3308</v>
      </c>
      <c r="E216" s="235" t="s">
        <v>3286</v>
      </c>
      <c r="F216" s="236" t="s">
        <v>3299</v>
      </c>
      <c r="G216" s="231" t="s">
        <v>3309</v>
      </c>
      <c r="H216" s="243" t="b">
        <v>0</v>
      </c>
      <c r="I216" s="233" t="s">
        <v>3292</v>
      </c>
      <c r="J216" s="233" t="s">
        <v>2555</v>
      </c>
      <c r="K216" s="279" t="b">
        <v>0</v>
      </c>
      <c r="L216" s="55"/>
      <c r="M216" s="55"/>
      <c r="N216" s="13"/>
      <c r="O216" s="13"/>
      <c r="P216" s="13"/>
      <c r="Q216" s="13"/>
      <c r="R216" s="13"/>
      <c r="S216" s="13"/>
      <c r="T216" s="13"/>
      <c r="U216" s="13"/>
      <c r="V216" s="13"/>
      <c r="W216" s="13"/>
      <c r="X216" s="13"/>
      <c r="Y216" s="13"/>
      <c r="Z216" s="13"/>
      <c r="AA216" s="13"/>
    </row>
    <row r="217" ht="16.5" hidden="1" customHeight="1">
      <c r="A217" s="229">
        <v>214.0</v>
      </c>
      <c r="B217" s="229" t="s">
        <v>2589</v>
      </c>
      <c r="C217" s="230" t="s">
        <v>3310</v>
      </c>
      <c r="D217" s="231" t="s">
        <v>3311</v>
      </c>
      <c r="E217" s="231" t="s">
        <v>3312</v>
      </c>
      <c r="F217" s="231" t="s">
        <v>3313</v>
      </c>
      <c r="G217" s="231" t="s">
        <v>3314</v>
      </c>
      <c r="H217" s="280"/>
      <c r="I217" s="280"/>
      <c r="J217" s="233" t="s">
        <v>2561</v>
      </c>
      <c r="K217" s="281" t="b">
        <v>0</v>
      </c>
      <c r="L217" s="55"/>
      <c r="M217" s="55"/>
      <c r="N217" s="13"/>
      <c r="O217" s="13"/>
      <c r="P217" s="13"/>
      <c r="Q217" s="13"/>
      <c r="R217" s="13"/>
      <c r="S217" s="13"/>
      <c r="T217" s="13"/>
      <c r="U217" s="13"/>
      <c r="V217" s="13"/>
      <c r="W217" s="13"/>
      <c r="X217" s="13"/>
      <c r="Y217" s="13"/>
      <c r="Z217" s="13"/>
      <c r="AA217" s="13"/>
    </row>
    <row r="218" ht="16.5" hidden="1" customHeight="1">
      <c r="A218" s="234">
        <v>215.0</v>
      </c>
      <c r="B218" s="229" t="s">
        <v>2656</v>
      </c>
      <c r="C218" s="230" t="s">
        <v>3315</v>
      </c>
      <c r="D218" s="231" t="s">
        <v>421</v>
      </c>
      <c r="E218" s="235" t="s">
        <v>3316</v>
      </c>
      <c r="F218" s="236" t="s">
        <v>423</v>
      </c>
      <c r="G218" s="231" t="s">
        <v>3317</v>
      </c>
      <c r="H218" s="282" t="b">
        <v>0</v>
      </c>
      <c r="I218" s="280"/>
      <c r="J218" s="233" t="s">
        <v>2555</v>
      </c>
      <c r="K218" s="279" t="b">
        <v>0</v>
      </c>
      <c r="L218" s="55"/>
      <c r="M218" s="55"/>
      <c r="N218" s="13"/>
      <c r="O218" s="13"/>
      <c r="P218" s="13"/>
      <c r="Q218" s="13"/>
      <c r="R218" s="13"/>
      <c r="S218" s="13"/>
      <c r="T218" s="13"/>
      <c r="U218" s="13"/>
      <c r="V218" s="13"/>
      <c r="W218" s="13"/>
      <c r="X218" s="13"/>
      <c r="Y218" s="13"/>
      <c r="Z218" s="13"/>
      <c r="AA218" s="13"/>
    </row>
    <row r="219" ht="16.5" hidden="1" customHeight="1">
      <c r="A219" s="229">
        <v>216.0</v>
      </c>
      <c r="B219" s="283" t="s">
        <v>2568</v>
      </c>
      <c r="C219" s="284" t="s">
        <v>3318</v>
      </c>
      <c r="D219" s="247" t="s">
        <v>3319</v>
      </c>
      <c r="E219" s="247" t="s">
        <v>3320</v>
      </c>
      <c r="F219" s="247" t="s">
        <v>2582</v>
      </c>
      <c r="G219" s="247" t="s">
        <v>2572</v>
      </c>
      <c r="H219" s="285"/>
      <c r="I219" s="285">
        <v>45999.0</v>
      </c>
      <c r="J219" s="233" t="s">
        <v>2561</v>
      </c>
      <c r="K219" s="281" t="b">
        <v>0</v>
      </c>
      <c r="L219" s="55"/>
      <c r="M219" s="55"/>
      <c r="N219" s="13"/>
      <c r="O219" s="13"/>
      <c r="P219" s="13"/>
      <c r="Q219" s="13"/>
      <c r="R219" s="13"/>
      <c r="S219" s="13"/>
      <c r="T219" s="13"/>
      <c r="U219" s="13"/>
      <c r="V219" s="13"/>
      <c r="W219" s="13"/>
      <c r="X219" s="13"/>
      <c r="Y219" s="13"/>
      <c r="Z219" s="13"/>
      <c r="AA219" s="13"/>
    </row>
    <row r="220" ht="16.5" hidden="1" customHeight="1">
      <c r="A220" s="234">
        <v>217.0</v>
      </c>
      <c r="B220" s="283" t="s">
        <v>2695</v>
      </c>
      <c r="C220" s="284" t="s">
        <v>3321</v>
      </c>
      <c r="D220" s="247" t="s">
        <v>3322</v>
      </c>
      <c r="E220" s="245" t="s">
        <v>3323</v>
      </c>
      <c r="F220" s="246" t="s">
        <v>2582</v>
      </c>
      <c r="G220" s="247" t="s">
        <v>2572</v>
      </c>
      <c r="H220" s="237" t="b">
        <v>0</v>
      </c>
      <c r="I220" s="285">
        <v>45999.0</v>
      </c>
      <c r="J220" s="233" t="s">
        <v>2555</v>
      </c>
      <c r="K220" s="279" t="b">
        <v>0</v>
      </c>
      <c r="L220" s="55"/>
      <c r="M220" s="55"/>
      <c r="N220" s="13"/>
      <c r="O220" s="13"/>
      <c r="P220" s="13"/>
      <c r="Q220" s="13"/>
      <c r="R220" s="13"/>
      <c r="S220" s="13"/>
      <c r="T220" s="13"/>
      <c r="U220" s="13"/>
      <c r="V220" s="13"/>
      <c r="W220" s="13"/>
      <c r="X220" s="13"/>
      <c r="Y220" s="13"/>
      <c r="Z220" s="13"/>
      <c r="AA220" s="13"/>
    </row>
    <row r="221" ht="16.5" hidden="1" customHeight="1">
      <c r="A221" s="234">
        <v>218.0</v>
      </c>
      <c r="B221" s="283" t="s">
        <v>2609</v>
      </c>
      <c r="C221" s="284" t="s">
        <v>3324</v>
      </c>
      <c r="D221" s="247" t="s">
        <v>3325</v>
      </c>
      <c r="E221" s="245" t="s">
        <v>3326</v>
      </c>
      <c r="F221" s="246" t="s">
        <v>162</v>
      </c>
      <c r="G221" s="247" t="s">
        <v>3327</v>
      </c>
      <c r="H221" s="237" t="b">
        <v>0</v>
      </c>
      <c r="I221" s="285">
        <v>45999.0</v>
      </c>
      <c r="J221" s="233" t="s">
        <v>2555</v>
      </c>
      <c r="K221" s="279" t="b">
        <v>0</v>
      </c>
      <c r="L221" s="55"/>
      <c r="M221" s="55"/>
      <c r="N221" s="13"/>
      <c r="O221" s="13"/>
      <c r="P221" s="13"/>
      <c r="Q221" s="13"/>
      <c r="R221" s="13"/>
      <c r="S221" s="13"/>
      <c r="T221" s="13"/>
      <c r="U221" s="13"/>
      <c r="V221" s="13"/>
      <c r="W221" s="13"/>
      <c r="X221" s="13"/>
      <c r="Y221" s="13"/>
      <c r="Z221" s="13"/>
      <c r="AA221" s="13"/>
    </row>
    <row r="222" ht="16.5" hidden="1" customHeight="1">
      <c r="A222" s="234">
        <v>219.0</v>
      </c>
      <c r="B222" s="283" t="s">
        <v>2609</v>
      </c>
      <c r="C222" s="284" t="s">
        <v>3328</v>
      </c>
      <c r="D222" s="247" t="s">
        <v>3329</v>
      </c>
      <c r="E222" s="245" t="s">
        <v>3326</v>
      </c>
      <c r="F222" s="246" t="s">
        <v>3330</v>
      </c>
      <c r="G222" s="247" t="s">
        <v>3329</v>
      </c>
      <c r="H222" s="237" t="b">
        <v>0</v>
      </c>
      <c r="I222" s="285">
        <v>45999.0</v>
      </c>
      <c r="J222" s="233" t="s">
        <v>2555</v>
      </c>
      <c r="K222" s="279" t="b">
        <v>0</v>
      </c>
      <c r="L222" s="55"/>
      <c r="M222" s="55"/>
      <c r="N222" s="13"/>
      <c r="O222" s="13"/>
      <c r="P222" s="13"/>
      <c r="Q222" s="13"/>
      <c r="R222" s="13"/>
      <c r="S222" s="13"/>
      <c r="T222" s="13"/>
      <c r="U222" s="13"/>
      <c r="V222" s="13"/>
      <c r="W222" s="13"/>
      <c r="X222" s="13"/>
      <c r="Y222" s="13"/>
      <c r="Z222" s="13"/>
      <c r="AA222" s="13"/>
    </row>
    <row r="223" ht="16.5" hidden="1" customHeight="1">
      <c r="A223" s="234">
        <v>220.0</v>
      </c>
      <c r="B223" s="283" t="s">
        <v>2609</v>
      </c>
      <c r="C223" s="284" t="s">
        <v>3331</v>
      </c>
      <c r="D223" s="247" t="s">
        <v>3332</v>
      </c>
      <c r="E223" s="245" t="s">
        <v>3326</v>
      </c>
      <c r="F223" s="246" t="s">
        <v>800</v>
      </c>
      <c r="G223" s="247" t="s">
        <v>3332</v>
      </c>
      <c r="H223" s="237" t="b">
        <v>0</v>
      </c>
      <c r="I223" s="285">
        <v>45999.0</v>
      </c>
      <c r="J223" s="233" t="s">
        <v>2555</v>
      </c>
      <c r="K223" s="279" t="b">
        <v>0</v>
      </c>
      <c r="L223" s="55"/>
      <c r="M223" s="55"/>
      <c r="N223" s="13"/>
      <c r="O223" s="13"/>
      <c r="P223" s="13"/>
      <c r="Q223" s="13"/>
      <c r="R223" s="13"/>
      <c r="S223" s="13"/>
      <c r="T223" s="13"/>
      <c r="U223" s="13"/>
      <c r="V223" s="13"/>
      <c r="W223" s="13"/>
      <c r="X223" s="13"/>
      <c r="Y223" s="13"/>
      <c r="Z223" s="13"/>
      <c r="AA223" s="13"/>
    </row>
    <row r="224" ht="16.5" hidden="1" customHeight="1">
      <c r="A224" s="234">
        <v>221.0</v>
      </c>
      <c r="B224" s="283" t="s">
        <v>2656</v>
      </c>
      <c r="C224" s="284" t="s">
        <v>3333</v>
      </c>
      <c r="D224" s="247" t="s">
        <v>3334</v>
      </c>
      <c r="E224" s="245" t="s">
        <v>3335</v>
      </c>
      <c r="F224" s="246" t="s">
        <v>173</v>
      </c>
      <c r="G224" s="247" t="s">
        <v>2572</v>
      </c>
      <c r="H224" s="237" t="b">
        <v>0</v>
      </c>
      <c r="I224" s="285">
        <v>45999.0</v>
      </c>
      <c r="J224" s="233" t="s">
        <v>2555</v>
      </c>
      <c r="K224" s="279" t="b">
        <v>0</v>
      </c>
      <c r="L224" s="55"/>
      <c r="M224" s="55"/>
      <c r="N224" s="13"/>
      <c r="O224" s="13"/>
      <c r="P224" s="13"/>
      <c r="Q224" s="13"/>
      <c r="R224" s="13"/>
      <c r="S224" s="13"/>
      <c r="T224" s="13"/>
      <c r="U224" s="13"/>
      <c r="V224" s="13"/>
      <c r="W224" s="13"/>
      <c r="X224" s="13"/>
      <c r="Y224" s="13"/>
      <c r="Z224" s="13"/>
      <c r="AA224" s="13"/>
    </row>
    <row r="225" ht="16.5" hidden="1" customHeight="1">
      <c r="A225" s="234">
        <v>222.0</v>
      </c>
      <c r="B225" s="283" t="s">
        <v>2568</v>
      </c>
      <c r="C225" s="284" t="s">
        <v>3336</v>
      </c>
      <c r="D225" s="247" t="s">
        <v>3337</v>
      </c>
      <c r="E225" s="245" t="s">
        <v>3338</v>
      </c>
      <c r="F225" s="246" t="s">
        <v>173</v>
      </c>
      <c r="G225" s="247" t="s">
        <v>2572</v>
      </c>
      <c r="H225" s="237" t="b">
        <v>0</v>
      </c>
      <c r="I225" s="285">
        <v>45999.0</v>
      </c>
      <c r="J225" s="233" t="s">
        <v>2555</v>
      </c>
      <c r="K225" s="279" t="b">
        <v>0</v>
      </c>
      <c r="L225" s="55"/>
      <c r="M225" s="55"/>
      <c r="N225" s="13"/>
      <c r="O225" s="13"/>
      <c r="P225" s="13"/>
      <c r="Q225" s="13"/>
      <c r="R225" s="13"/>
      <c r="S225" s="13"/>
      <c r="T225" s="13"/>
      <c r="U225" s="13"/>
      <c r="V225" s="13"/>
      <c r="W225" s="13"/>
      <c r="X225" s="13"/>
      <c r="Y225" s="13"/>
      <c r="Z225" s="13"/>
      <c r="AA225" s="13"/>
    </row>
    <row r="226" ht="16.5" hidden="1" customHeight="1">
      <c r="A226" s="234">
        <v>223.0</v>
      </c>
      <c r="B226" s="283" t="s">
        <v>2568</v>
      </c>
      <c r="C226" s="284" t="s">
        <v>3339</v>
      </c>
      <c r="D226" s="247" t="s">
        <v>3340</v>
      </c>
      <c r="E226" s="245" t="s">
        <v>3341</v>
      </c>
      <c r="F226" s="246" t="s">
        <v>173</v>
      </c>
      <c r="G226" s="247" t="s">
        <v>2572</v>
      </c>
      <c r="H226" s="237" t="b">
        <v>0</v>
      </c>
      <c r="I226" s="285">
        <v>45999.0</v>
      </c>
      <c r="J226" s="233" t="s">
        <v>2555</v>
      </c>
      <c r="K226" s="279" t="b">
        <v>0</v>
      </c>
      <c r="L226" s="55"/>
      <c r="M226" s="55"/>
      <c r="N226" s="13"/>
      <c r="O226" s="13"/>
      <c r="P226" s="13"/>
      <c r="Q226" s="13"/>
      <c r="R226" s="13"/>
      <c r="S226" s="13"/>
      <c r="T226" s="13"/>
      <c r="U226" s="13"/>
      <c r="V226" s="13"/>
      <c r="W226" s="13"/>
      <c r="X226" s="13"/>
      <c r="Y226" s="13"/>
      <c r="Z226" s="13"/>
      <c r="AA226" s="13"/>
    </row>
    <row r="227" ht="16.5" hidden="1" customHeight="1">
      <c r="A227" s="234">
        <v>224.0</v>
      </c>
      <c r="B227" s="283" t="s">
        <v>2656</v>
      </c>
      <c r="C227" s="284" t="s">
        <v>3342</v>
      </c>
      <c r="D227" s="247" t="s">
        <v>3343</v>
      </c>
      <c r="E227" s="245" t="s">
        <v>3344</v>
      </c>
      <c r="F227" s="246" t="s">
        <v>290</v>
      </c>
      <c r="G227" s="247" t="s">
        <v>2572</v>
      </c>
      <c r="H227" s="237" t="b">
        <v>0</v>
      </c>
      <c r="I227" s="285">
        <v>45999.0</v>
      </c>
      <c r="J227" s="233" t="s">
        <v>2555</v>
      </c>
      <c r="K227" s="279" t="b">
        <v>0</v>
      </c>
      <c r="L227" s="55"/>
      <c r="M227" s="55"/>
      <c r="N227" s="13"/>
      <c r="O227" s="13"/>
      <c r="P227" s="13"/>
      <c r="Q227" s="13"/>
      <c r="R227" s="13"/>
      <c r="S227" s="13"/>
      <c r="T227" s="13"/>
      <c r="U227" s="13"/>
      <c r="V227" s="13"/>
      <c r="W227" s="13"/>
      <c r="X227" s="13"/>
      <c r="Y227" s="13"/>
      <c r="Z227" s="13"/>
      <c r="AA227" s="13"/>
    </row>
    <row r="228" ht="16.5" hidden="1" customHeight="1">
      <c r="A228" s="234">
        <v>225.0</v>
      </c>
      <c r="B228" s="283" t="s">
        <v>2554</v>
      </c>
      <c r="C228" s="284" t="s">
        <v>3345</v>
      </c>
      <c r="D228" s="247" t="s">
        <v>3346</v>
      </c>
      <c r="E228" s="245" t="s">
        <v>3347</v>
      </c>
      <c r="F228" s="246" t="s">
        <v>173</v>
      </c>
      <c r="G228" s="247" t="s">
        <v>3348</v>
      </c>
      <c r="H228" s="237" t="b">
        <v>0</v>
      </c>
      <c r="I228" s="285">
        <v>45999.0</v>
      </c>
      <c r="J228" s="233" t="s">
        <v>2555</v>
      </c>
      <c r="K228" s="279" t="b">
        <v>0</v>
      </c>
      <c r="L228" s="55"/>
      <c r="M228" s="55"/>
      <c r="N228" s="13"/>
      <c r="O228" s="13"/>
      <c r="P228" s="13"/>
      <c r="Q228" s="13"/>
      <c r="R228" s="13"/>
      <c r="S228" s="13"/>
      <c r="T228" s="13"/>
      <c r="U228" s="13"/>
      <c r="V228" s="13"/>
      <c r="W228" s="13"/>
      <c r="X228" s="13"/>
      <c r="Y228" s="13"/>
      <c r="Z228" s="13"/>
      <c r="AA228" s="13"/>
    </row>
    <row r="229" ht="16.5" hidden="1" customHeight="1">
      <c r="A229" s="229">
        <v>226.0</v>
      </c>
      <c r="B229" s="283" t="s">
        <v>2589</v>
      </c>
      <c r="C229" s="284" t="s">
        <v>3349</v>
      </c>
      <c r="D229" s="247" t="s">
        <v>3350</v>
      </c>
      <c r="E229" s="247" t="s">
        <v>2582</v>
      </c>
      <c r="F229" s="247" t="s">
        <v>2582</v>
      </c>
      <c r="G229" s="247" t="s">
        <v>2572</v>
      </c>
      <c r="H229" s="285"/>
      <c r="I229" s="285">
        <v>45999.0</v>
      </c>
      <c r="J229" s="233" t="s">
        <v>2561</v>
      </c>
      <c r="K229" s="281" t="b">
        <v>0</v>
      </c>
      <c r="L229" s="55"/>
      <c r="M229" s="55"/>
      <c r="N229" s="13"/>
      <c r="O229" s="13"/>
      <c r="P229" s="13"/>
      <c r="Q229" s="13"/>
      <c r="R229" s="13"/>
      <c r="S229" s="13"/>
      <c r="T229" s="13"/>
      <c r="U229" s="13"/>
      <c r="V229" s="13"/>
      <c r="W229" s="13"/>
      <c r="X229" s="13"/>
      <c r="Y229" s="13"/>
      <c r="Z229" s="13"/>
      <c r="AA229" s="13"/>
    </row>
    <row r="230" ht="16.5" hidden="1" customHeight="1">
      <c r="A230" s="234">
        <v>227.0</v>
      </c>
      <c r="B230" s="229" t="s">
        <v>2562</v>
      </c>
      <c r="C230" s="230" t="s">
        <v>3351</v>
      </c>
      <c r="D230" s="231" t="s">
        <v>3352</v>
      </c>
      <c r="E230" s="235" t="s">
        <v>3353</v>
      </c>
      <c r="F230" s="236" t="s">
        <v>3354</v>
      </c>
      <c r="G230" s="231" t="s">
        <v>3355</v>
      </c>
      <c r="H230" s="286" t="b">
        <v>0</v>
      </c>
      <c r="I230" s="55"/>
      <c r="J230" s="233" t="s">
        <v>2555</v>
      </c>
      <c r="K230" s="279" t="b">
        <v>0</v>
      </c>
      <c r="L230" s="55"/>
      <c r="M230" s="55"/>
      <c r="N230" s="13"/>
      <c r="O230" s="13"/>
      <c r="P230" s="13"/>
      <c r="Q230" s="13"/>
      <c r="R230" s="13"/>
      <c r="S230" s="13"/>
      <c r="T230" s="13"/>
      <c r="U230" s="13"/>
      <c r="V230" s="13"/>
      <c r="W230" s="13"/>
      <c r="X230" s="13"/>
      <c r="Y230" s="13"/>
      <c r="Z230" s="13"/>
      <c r="AA230" s="13"/>
    </row>
    <row r="231" ht="16.5" hidden="1" customHeight="1">
      <c r="A231" s="234">
        <v>228.0</v>
      </c>
      <c r="B231" s="229" t="s">
        <v>2562</v>
      </c>
      <c r="C231" s="230" t="s">
        <v>3356</v>
      </c>
      <c r="D231" s="231" t="s">
        <v>3357</v>
      </c>
      <c r="E231" s="235" t="s">
        <v>3358</v>
      </c>
      <c r="F231" s="236" t="s">
        <v>3359</v>
      </c>
      <c r="G231" s="231" t="s">
        <v>3360</v>
      </c>
      <c r="H231" s="286" t="b">
        <v>0</v>
      </c>
      <c r="I231" s="55"/>
      <c r="J231" s="233" t="s">
        <v>2555</v>
      </c>
      <c r="K231" s="279" t="b">
        <v>0</v>
      </c>
      <c r="L231" s="55"/>
      <c r="M231" s="55"/>
      <c r="N231" s="13"/>
      <c r="O231" s="13"/>
      <c r="P231" s="13"/>
      <c r="Q231" s="13"/>
      <c r="R231" s="13"/>
      <c r="S231" s="13"/>
      <c r="T231" s="13"/>
      <c r="U231" s="13"/>
      <c r="V231" s="13"/>
      <c r="W231" s="13"/>
      <c r="X231" s="13"/>
      <c r="Y231" s="13"/>
      <c r="Z231" s="13"/>
      <c r="AA231" s="13"/>
    </row>
    <row r="232" ht="16.5" hidden="1" customHeight="1">
      <c r="A232" s="234">
        <v>229.0</v>
      </c>
      <c r="B232" s="229" t="s">
        <v>2562</v>
      </c>
      <c r="C232" s="230" t="s">
        <v>3361</v>
      </c>
      <c r="D232" s="231" t="s">
        <v>3362</v>
      </c>
      <c r="E232" s="235" t="s">
        <v>3363</v>
      </c>
      <c r="F232" s="236" t="s">
        <v>2694</v>
      </c>
      <c r="G232" s="231" t="s">
        <v>3364</v>
      </c>
      <c r="H232" s="286" t="b">
        <v>0</v>
      </c>
      <c r="I232" s="55"/>
      <c r="J232" s="233" t="s">
        <v>2555</v>
      </c>
      <c r="K232" s="279" t="b">
        <v>0</v>
      </c>
      <c r="L232" s="55"/>
      <c r="M232" s="55"/>
      <c r="N232" s="13"/>
      <c r="O232" s="13"/>
      <c r="P232" s="13"/>
      <c r="Q232" s="13"/>
      <c r="R232" s="13"/>
      <c r="S232" s="13"/>
      <c r="T232" s="13"/>
      <c r="U232" s="13"/>
      <c r="V232" s="13"/>
      <c r="W232" s="13"/>
      <c r="X232" s="13"/>
      <c r="Y232" s="13"/>
      <c r="Z232" s="13"/>
      <c r="AA232" s="13"/>
    </row>
    <row r="233" ht="16.5" hidden="1" customHeight="1">
      <c r="A233" s="234">
        <v>230.0</v>
      </c>
      <c r="B233" s="229" t="s">
        <v>2562</v>
      </c>
      <c r="C233" s="230" t="s">
        <v>3365</v>
      </c>
      <c r="D233" s="231" t="s">
        <v>3366</v>
      </c>
      <c r="E233" s="235" t="s">
        <v>3367</v>
      </c>
      <c r="F233" s="236" t="s">
        <v>3368</v>
      </c>
      <c r="G233" s="231" t="s">
        <v>3369</v>
      </c>
      <c r="H233" s="286" t="b">
        <v>0</v>
      </c>
      <c r="I233" s="55"/>
      <c r="J233" s="233" t="s">
        <v>2555</v>
      </c>
      <c r="K233" s="279" t="b">
        <v>0</v>
      </c>
      <c r="L233" s="55"/>
      <c r="M233" s="55"/>
      <c r="N233" s="13"/>
      <c r="O233" s="13"/>
      <c r="P233" s="13"/>
      <c r="Q233" s="13"/>
      <c r="R233" s="13"/>
      <c r="S233" s="13"/>
      <c r="T233" s="13"/>
      <c r="U233" s="13"/>
      <c r="V233" s="13"/>
      <c r="W233" s="13"/>
      <c r="X233" s="13"/>
      <c r="Y233" s="13"/>
      <c r="Z233" s="13"/>
      <c r="AA233" s="13"/>
    </row>
    <row r="234" ht="16.5" hidden="1" customHeight="1">
      <c r="A234" s="229">
        <v>231.0</v>
      </c>
      <c r="B234" s="229" t="s">
        <v>2562</v>
      </c>
      <c r="C234" s="230" t="s">
        <v>3370</v>
      </c>
      <c r="D234" s="231" t="s">
        <v>3371</v>
      </c>
      <c r="E234" s="231" t="s">
        <v>3372</v>
      </c>
      <c r="F234" s="264"/>
      <c r="G234" s="264"/>
      <c r="H234" s="55"/>
      <c r="I234" s="55"/>
      <c r="J234" s="233" t="s">
        <v>2561</v>
      </c>
      <c r="K234" s="281" t="b">
        <v>0</v>
      </c>
      <c r="L234" s="55"/>
      <c r="M234" s="55"/>
      <c r="N234" s="13"/>
      <c r="O234" s="13"/>
      <c r="P234" s="13"/>
      <c r="Q234" s="13"/>
      <c r="R234" s="13"/>
      <c r="S234" s="13"/>
      <c r="T234" s="13"/>
      <c r="U234" s="13"/>
      <c r="V234" s="13"/>
      <c r="W234" s="13"/>
      <c r="X234" s="13"/>
      <c r="Y234" s="13"/>
      <c r="Z234" s="13"/>
      <c r="AA234" s="13"/>
    </row>
    <row r="235" ht="16.5" hidden="1" customHeight="1">
      <c r="A235" s="234">
        <v>232.0</v>
      </c>
      <c r="B235" s="229" t="s">
        <v>2562</v>
      </c>
      <c r="C235" s="230" t="s">
        <v>3373</v>
      </c>
      <c r="D235" s="278" t="s">
        <v>3374</v>
      </c>
      <c r="E235" s="235" t="s">
        <v>3375</v>
      </c>
      <c r="F235" s="236" t="s">
        <v>3354</v>
      </c>
      <c r="G235" s="278" t="s">
        <v>3374</v>
      </c>
      <c r="H235" s="286" t="b">
        <v>0</v>
      </c>
      <c r="I235" s="55"/>
      <c r="J235" s="233" t="s">
        <v>2555</v>
      </c>
      <c r="K235" s="279" t="b">
        <v>0</v>
      </c>
      <c r="L235" s="55"/>
      <c r="M235" s="55"/>
      <c r="N235" s="13"/>
      <c r="O235" s="13"/>
      <c r="P235" s="13"/>
      <c r="Q235" s="13"/>
      <c r="R235" s="13"/>
      <c r="S235" s="13"/>
      <c r="T235" s="13"/>
      <c r="U235" s="13"/>
      <c r="V235" s="13"/>
      <c r="W235" s="13"/>
      <c r="X235" s="13"/>
      <c r="Y235" s="13"/>
      <c r="Z235" s="13"/>
      <c r="AA235" s="13"/>
    </row>
    <row r="236" ht="16.5" hidden="1" customHeight="1">
      <c r="A236" s="234">
        <v>233.0</v>
      </c>
      <c r="B236" s="287" t="s">
        <v>2609</v>
      </c>
      <c r="C236" s="230" t="s">
        <v>3376</v>
      </c>
      <c r="D236" s="231" t="s">
        <v>3377</v>
      </c>
      <c r="E236" s="235" t="s">
        <v>3378</v>
      </c>
      <c r="F236" s="236" t="s">
        <v>3379</v>
      </c>
      <c r="G236" s="264"/>
      <c r="H236" s="286" t="b">
        <v>0</v>
      </c>
      <c r="I236" s="55"/>
      <c r="J236" s="233" t="s">
        <v>2555</v>
      </c>
      <c r="K236" s="279" t="b">
        <v>0</v>
      </c>
      <c r="L236" s="55"/>
      <c r="M236" s="55"/>
      <c r="N236" s="13"/>
      <c r="O236" s="13"/>
      <c r="P236" s="13"/>
      <c r="Q236" s="13"/>
      <c r="R236" s="13"/>
      <c r="S236" s="13"/>
      <c r="T236" s="13"/>
      <c r="U236" s="13"/>
      <c r="V236" s="13"/>
      <c r="W236" s="13"/>
      <c r="X236" s="13"/>
      <c r="Y236" s="13"/>
      <c r="Z236" s="13"/>
      <c r="AA236" s="13"/>
    </row>
    <row r="237" ht="16.5" hidden="1" customHeight="1">
      <c r="A237" s="234">
        <v>234.0</v>
      </c>
      <c r="B237" s="287" t="s">
        <v>2609</v>
      </c>
      <c r="C237" s="230" t="s">
        <v>3380</v>
      </c>
      <c r="D237" s="231" t="s">
        <v>3381</v>
      </c>
      <c r="E237" s="235" t="s">
        <v>3382</v>
      </c>
      <c r="F237" s="236" t="s">
        <v>3383</v>
      </c>
      <c r="G237" s="231" t="s">
        <v>3384</v>
      </c>
      <c r="H237" s="286" t="b">
        <v>0</v>
      </c>
      <c r="I237" s="55"/>
      <c r="J237" s="233" t="s">
        <v>2555</v>
      </c>
      <c r="K237" s="279" t="b">
        <v>0</v>
      </c>
      <c r="L237" s="55"/>
      <c r="M237" s="55"/>
      <c r="N237" s="13"/>
      <c r="O237" s="13"/>
      <c r="P237" s="13"/>
      <c r="Q237" s="13"/>
      <c r="R237" s="13"/>
      <c r="S237" s="13"/>
      <c r="T237" s="13"/>
      <c r="U237" s="13"/>
      <c r="V237" s="13"/>
      <c r="W237" s="13"/>
      <c r="X237" s="13"/>
      <c r="Y237" s="13"/>
      <c r="Z237" s="13"/>
      <c r="AA237" s="13"/>
    </row>
    <row r="238" ht="16.5" hidden="1" customHeight="1">
      <c r="A238" s="234">
        <v>235.0</v>
      </c>
      <c r="B238" s="287" t="s">
        <v>2609</v>
      </c>
      <c r="C238" s="230" t="s">
        <v>3385</v>
      </c>
      <c r="D238" s="231" t="s">
        <v>3386</v>
      </c>
      <c r="E238" s="235" t="s">
        <v>3382</v>
      </c>
      <c r="F238" s="236" t="s">
        <v>3383</v>
      </c>
      <c r="G238" s="231" t="s">
        <v>3387</v>
      </c>
      <c r="H238" s="286" t="b">
        <v>0</v>
      </c>
      <c r="I238" s="55"/>
      <c r="J238" s="233" t="s">
        <v>2555</v>
      </c>
      <c r="K238" s="279" t="b">
        <v>0</v>
      </c>
      <c r="L238" s="55"/>
      <c r="M238" s="55"/>
      <c r="N238" s="13"/>
      <c r="O238" s="13"/>
      <c r="P238" s="13"/>
      <c r="Q238" s="13"/>
      <c r="R238" s="13"/>
      <c r="S238" s="13"/>
      <c r="T238" s="13"/>
      <c r="U238" s="13"/>
      <c r="V238" s="13"/>
      <c r="W238" s="13"/>
      <c r="X238" s="13"/>
      <c r="Y238" s="13"/>
      <c r="Z238" s="13"/>
      <c r="AA238" s="13"/>
    </row>
    <row r="239" ht="16.5" hidden="1" customHeight="1">
      <c r="A239" s="234">
        <v>236.0</v>
      </c>
      <c r="B239" s="283" t="s">
        <v>2554</v>
      </c>
      <c r="C239" s="284" t="s">
        <v>3388</v>
      </c>
      <c r="D239" s="247" t="s">
        <v>3389</v>
      </c>
      <c r="E239" s="245" t="s">
        <v>3390</v>
      </c>
      <c r="F239" s="246" t="s">
        <v>3391</v>
      </c>
      <c r="G239" s="288"/>
      <c r="H239" s="289" t="b">
        <v>0</v>
      </c>
      <c r="I239" s="58" t="s">
        <v>3392</v>
      </c>
      <c r="J239" s="233" t="s">
        <v>2555</v>
      </c>
      <c r="K239" s="279" t="b">
        <v>0</v>
      </c>
      <c r="L239" s="55"/>
      <c r="M239" s="55"/>
      <c r="N239" s="13"/>
      <c r="O239" s="13"/>
      <c r="P239" s="13"/>
      <c r="Q239" s="13"/>
      <c r="R239" s="13"/>
      <c r="S239" s="13"/>
      <c r="T239" s="13"/>
      <c r="U239" s="13"/>
      <c r="V239" s="13"/>
      <c r="W239" s="13"/>
      <c r="X239" s="13"/>
      <c r="Y239" s="13"/>
      <c r="Z239" s="13"/>
      <c r="AA239" s="13"/>
    </row>
    <row r="240" ht="16.5" hidden="1" customHeight="1">
      <c r="A240" s="234">
        <v>237.0</v>
      </c>
      <c r="B240" s="283" t="s">
        <v>2554</v>
      </c>
      <c r="C240" s="284" t="s">
        <v>3393</v>
      </c>
      <c r="D240" s="247" t="s">
        <v>3394</v>
      </c>
      <c r="E240" s="245" t="s">
        <v>3390</v>
      </c>
      <c r="F240" s="246" t="s">
        <v>3395</v>
      </c>
      <c r="G240" s="290" t="s">
        <v>3396</v>
      </c>
      <c r="H240" s="289" t="b">
        <v>0</v>
      </c>
      <c r="I240" s="58" t="s">
        <v>3392</v>
      </c>
      <c r="J240" s="233" t="s">
        <v>2555</v>
      </c>
      <c r="K240" s="279" t="b">
        <v>0</v>
      </c>
      <c r="L240" s="55"/>
      <c r="M240" s="55"/>
      <c r="N240" s="13"/>
      <c r="O240" s="13"/>
      <c r="P240" s="13"/>
      <c r="Q240" s="13"/>
      <c r="R240" s="13"/>
      <c r="S240" s="13"/>
      <c r="T240" s="13"/>
      <c r="U240" s="13"/>
      <c r="V240" s="13"/>
      <c r="W240" s="13"/>
      <c r="X240" s="13"/>
      <c r="Y240" s="13"/>
      <c r="Z240" s="13"/>
      <c r="AA240" s="13"/>
    </row>
    <row r="241" ht="16.5" hidden="1" customHeight="1">
      <c r="A241" s="234">
        <v>238.0</v>
      </c>
      <c r="B241" s="283" t="s">
        <v>2554</v>
      </c>
      <c r="C241" s="284" t="s">
        <v>3397</v>
      </c>
      <c r="D241" s="247" t="s">
        <v>3398</v>
      </c>
      <c r="E241" s="245" t="s">
        <v>3399</v>
      </c>
      <c r="F241" s="246" t="s">
        <v>3400</v>
      </c>
      <c r="G241" s="247" t="s">
        <v>3401</v>
      </c>
      <c r="H241" s="289" t="b">
        <v>0</v>
      </c>
      <c r="I241" s="58" t="s">
        <v>3402</v>
      </c>
      <c r="J241" s="233" t="s">
        <v>2555</v>
      </c>
      <c r="K241" s="279" t="b">
        <v>0</v>
      </c>
      <c r="L241" s="55"/>
      <c r="M241" s="55"/>
      <c r="N241" s="13"/>
      <c r="O241" s="13"/>
      <c r="P241" s="13"/>
      <c r="Q241" s="13"/>
      <c r="R241" s="13"/>
      <c r="S241" s="13"/>
      <c r="T241" s="13"/>
      <c r="U241" s="13"/>
      <c r="V241" s="13"/>
      <c r="W241" s="13"/>
      <c r="X241" s="13"/>
      <c r="Y241" s="13"/>
      <c r="Z241" s="13"/>
      <c r="AA241" s="13"/>
    </row>
    <row r="242" ht="16.5" hidden="1" customHeight="1">
      <c r="A242" s="229">
        <v>239.0</v>
      </c>
      <c r="B242" s="283" t="s">
        <v>2554</v>
      </c>
      <c r="C242" s="284" t="s">
        <v>3403</v>
      </c>
      <c r="D242" s="247" t="s">
        <v>3404</v>
      </c>
      <c r="E242" s="247" t="s">
        <v>3405</v>
      </c>
      <c r="F242" s="247">
        <v>193.0</v>
      </c>
      <c r="G242" s="247" t="s">
        <v>3406</v>
      </c>
      <c r="H242" s="58"/>
      <c r="I242" s="58" t="s">
        <v>3402</v>
      </c>
      <c r="J242" s="233" t="s">
        <v>2561</v>
      </c>
      <c r="K242" s="281" t="b">
        <v>0</v>
      </c>
      <c r="L242" s="55"/>
      <c r="M242" s="55"/>
      <c r="N242" s="13"/>
      <c r="O242" s="13"/>
      <c r="P242" s="13"/>
      <c r="Q242" s="13"/>
      <c r="R242" s="13"/>
      <c r="S242" s="13"/>
      <c r="T242" s="13"/>
      <c r="U242" s="13"/>
      <c r="V242" s="13"/>
      <c r="W242" s="13"/>
      <c r="X242" s="13"/>
      <c r="Y242" s="13"/>
      <c r="Z242" s="13"/>
      <c r="AA242" s="13"/>
    </row>
    <row r="243" ht="16.5" hidden="1" customHeight="1">
      <c r="A243" s="234">
        <v>240.0</v>
      </c>
      <c r="B243" s="283" t="s">
        <v>2554</v>
      </c>
      <c r="C243" s="284" t="s">
        <v>3407</v>
      </c>
      <c r="D243" s="247" t="s">
        <v>3408</v>
      </c>
      <c r="E243" s="245" t="s">
        <v>3390</v>
      </c>
      <c r="F243" s="246" t="s">
        <v>3409</v>
      </c>
      <c r="G243" s="247" t="s">
        <v>3410</v>
      </c>
      <c r="H243" s="289" t="b">
        <v>0</v>
      </c>
      <c r="I243" s="58" t="s">
        <v>3411</v>
      </c>
      <c r="J243" s="233" t="s">
        <v>2555</v>
      </c>
      <c r="K243" s="279" t="b">
        <v>0</v>
      </c>
      <c r="L243" s="55"/>
      <c r="M243" s="55"/>
      <c r="N243" s="13"/>
      <c r="O243" s="13"/>
      <c r="P243" s="13"/>
      <c r="Q243" s="13"/>
      <c r="R243" s="13"/>
      <c r="S243" s="13"/>
      <c r="T243" s="13"/>
      <c r="U243" s="13"/>
      <c r="V243" s="13"/>
      <c r="W243" s="13"/>
      <c r="X243" s="13"/>
      <c r="Y243" s="13"/>
      <c r="Z243" s="13"/>
      <c r="AA243" s="13"/>
    </row>
    <row r="244" ht="16.5" hidden="1" customHeight="1">
      <c r="A244" s="234">
        <v>241.0</v>
      </c>
      <c r="B244" s="283" t="s">
        <v>2554</v>
      </c>
      <c r="C244" s="284" t="s">
        <v>3412</v>
      </c>
      <c r="D244" s="247" t="s">
        <v>3413</v>
      </c>
      <c r="E244" s="245" t="s">
        <v>3390</v>
      </c>
      <c r="F244" s="246" t="s">
        <v>3414</v>
      </c>
      <c r="G244" s="247" t="s">
        <v>3415</v>
      </c>
      <c r="H244" s="289" t="b">
        <v>0</v>
      </c>
      <c r="I244" s="58" t="s">
        <v>3411</v>
      </c>
      <c r="J244" s="233" t="s">
        <v>2555</v>
      </c>
      <c r="K244" s="279" t="b">
        <v>0</v>
      </c>
      <c r="L244" s="55"/>
      <c r="M244" s="55"/>
      <c r="N244" s="13"/>
      <c r="O244" s="13"/>
      <c r="P244" s="13"/>
      <c r="Q244" s="13"/>
      <c r="R244" s="13"/>
      <c r="S244" s="13"/>
      <c r="T244" s="13"/>
      <c r="U244" s="13"/>
      <c r="V244" s="13"/>
      <c r="W244" s="13"/>
      <c r="X244" s="13"/>
      <c r="Y244" s="13"/>
      <c r="Z244" s="13"/>
      <c r="AA244" s="13"/>
    </row>
    <row r="245" ht="16.5" hidden="1" customHeight="1">
      <c r="A245" s="234">
        <v>242.0</v>
      </c>
      <c r="B245" s="283" t="s">
        <v>2554</v>
      </c>
      <c r="C245" s="284" t="s">
        <v>3416</v>
      </c>
      <c r="D245" s="247" t="s">
        <v>3417</v>
      </c>
      <c r="E245" s="245" t="s">
        <v>3390</v>
      </c>
      <c r="F245" s="246" t="s">
        <v>3418</v>
      </c>
      <c r="G245" s="247" t="s">
        <v>3419</v>
      </c>
      <c r="H245" s="289" t="b">
        <v>0</v>
      </c>
      <c r="I245" s="58" t="s">
        <v>3420</v>
      </c>
      <c r="J245" s="233" t="s">
        <v>2555</v>
      </c>
      <c r="K245" s="279" t="b">
        <v>0</v>
      </c>
      <c r="L245" s="55"/>
      <c r="M245" s="55"/>
      <c r="N245" s="13"/>
      <c r="O245" s="13"/>
      <c r="P245" s="13"/>
      <c r="Q245" s="13"/>
      <c r="R245" s="13"/>
      <c r="S245" s="13"/>
      <c r="T245" s="13"/>
      <c r="U245" s="13"/>
      <c r="V245" s="13"/>
      <c r="W245" s="13"/>
      <c r="X245" s="13"/>
      <c r="Y245" s="13"/>
      <c r="Z245" s="13"/>
      <c r="AA245" s="13"/>
    </row>
    <row r="246" ht="16.5" hidden="1" customHeight="1">
      <c r="A246" s="234">
        <v>243.0</v>
      </c>
      <c r="B246" s="283" t="s">
        <v>2554</v>
      </c>
      <c r="C246" s="284" t="s">
        <v>3421</v>
      </c>
      <c r="D246" s="247" t="s">
        <v>3422</v>
      </c>
      <c r="E246" s="245" t="s">
        <v>3423</v>
      </c>
      <c r="F246" s="291"/>
      <c r="G246" s="247" t="s">
        <v>3424</v>
      </c>
      <c r="H246" s="289" t="b">
        <v>0</v>
      </c>
      <c r="I246" s="58" t="s">
        <v>3420</v>
      </c>
      <c r="J246" s="233" t="s">
        <v>2555</v>
      </c>
      <c r="K246" s="279" t="b">
        <v>0</v>
      </c>
      <c r="L246" s="55"/>
      <c r="M246" s="55"/>
      <c r="N246" s="13"/>
      <c r="O246" s="13"/>
      <c r="P246" s="13"/>
      <c r="Q246" s="13"/>
      <c r="R246" s="13"/>
      <c r="S246" s="13"/>
      <c r="T246" s="13"/>
      <c r="U246" s="13"/>
      <c r="V246" s="13"/>
      <c r="W246" s="13"/>
      <c r="X246" s="13"/>
      <c r="Y246" s="13"/>
      <c r="Z246" s="13"/>
      <c r="AA246" s="13"/>
    </row>
    <row r="247" ht="16.5" hidden="1" customHeight="1">
      <c r="A247" s="229">
        <v>244.0</v>
      </c>
      <c r="B247" s="283" t="s">
        <v>2554</v>
      </c>
      <c r="C247" s="284" t="s">
        <v>3425</v>
      </c>
      <c r="D247" s="247" t="s">
        <v>3426</v>
      </c>
      <c r="E247" s="247" t="s">
        <v>3405</v>
      </c>
      <c r="F247" s="247">
        <v>192.0</v>
      </c>
      <c r="G247" s="247" t="s">
        <v>3427</v>
      </c>
      <c r="H247" s="58"/>
      <c r="I247" s="58" t="s">
        <v>3428</v>
      </c>
      <c r="J247" s="233" t="s">
        <v>2561</v>
      </c>
      <c r="K247" s="281" t="b">
        <v>0</v>
      </c>
      <c r="L247" s="55"/>
      <c r="M247" s="55"/>
      <c r="N247" s="13"/>
      <c r="O247" s="13"/>
      <c r="P247" s="13"/>
      <c r="Q247" s="13"/>
      <c r="R247" s="13"/>
      <c r="S247" s="13"/>
      <c r="T247" s="13"/>
      <c r="U247" s="13"/>
      <c r="V247" s="13"/>
      <c r="W247" s="13"/>
      <c r="X247" s="13"/>
      <c r="Y247" s="13"/>
      <c r="Z247" s="13"/>
      <c r="AA247" s="13"/>
    </row>
    <row r="248" ht="16.5" hidden="1" customHeight="1">
      <c r="A248" s="234">
        <v>245.0</v>
      </c>
      <c r="B248" s="283" t="s">
        <v>2554</v>
      </c>
      <c r="C248" s="284" t="s">
        <v>3429</v>
      </c>
      <c r="D248" s="247" t="s">
        <v>3430</v>
      </c>
      <c r="E248" s="245" t="s">
        <v>3399</v>
      </c>
      <c r="F248" s="246" t="s">
        <v>3431</v>
      </c>
      <c r="G248" s="247" t="s">
        <v>3432</v>
      </c>
      <c r="H248" s="289" t="b">
        <v>0</v>
      </c>
      <c r="I248" s="58" t="s">
        <v>3428</v>
      </c>
      <c r="J248" s="233" t="s">
        <v>2555</v>
      </c>
      <c r="K248" s="279" t="b">
        <v>0</v>
      </c>
      <c r="L248" s="55"/>
      <c r="M248" s="55"/>
      <c r="N248" s="13"/>
      <c r="O248" s="13"/>
      <c r="P248" s="13"/>
      <c r="Q248" s="13"/>
      <c r="R248" s="13"/>
      <c r="S248" s="13"/>
      <c r="T248" s="13"/>
      <c r="U248" s="13"/>
      <c r="V248" s="13"/>
      <c r="W248" s="13"/>
      <c r="X248" s="13"/>
      <c r="Y248" s="13"/>
      <c r="Z248" s="13"/>
      <c r="AA248" s="13"/>
    </row>
    <row r="249" ht="16.5" hidden="1" customHeight="1">
      <c r="A249" s="229">
        <v>246.0</v>
      </c>
      <c r="B249" s="283" t="s">
        <v>2554</v>
      </c>
      <c r="C249" s="284" t="s">
        <v>3433</v>
      </c>
      <c r="D249" s="247" t="s">
        <v>3434</v>
      </c>
      <c r="E249" s="247" t="s">
        <v>3435</v>
      </c>
      <c r="F249" s="247" t="s">
        <v>3436</v>
      </c>
      <c r="G249" s="247" t="s">
        <v>3437</v>
      </c>
      <c r="H249" s="58"/>
      <c r="I249" s="58" t="s">
        <v>3438</v>
      </c>
      <c r="J249" s="233" t="s">
        <v>2561</v>
      </c>
      <c r="K249" s="281" t="b">
        <v>0</v>
      </c>
      <c r="L249" s="55"/>
      <c r="M249" s="55"/>
      <c r="N249" s="13"/>
      <c r="O249" s="13"/>
      <c r="P249" s="13"/>
      <c r="Q249" s="13"/>
      <c r="R249" s="13"/>
      <c r="S249" s="13"/>
      <c r="T249" s="13"/>
      <c r="U249" s="13"/>
      <c r="V249" s="13"/>
      <c r="W249" s="13"/>
      <c r="X249" s="13"/>
      <c r="Y249" s="13"/>
      <c r="Z249" s="13"/>
      <c r="AA249" s="13"/>
    </row>
    <row r="250" ht="16.5" hidden="1" customHeight="1">
      <c r="A250" s="229">
        <v>247.0</v>
      </c>
      <c r="B250" s="283" t="s">
        <v>2554</v>
      </c>
      <c r="C250" s="284" t="s">
        <v>3439</v>
      </c>
      <c r="D250" s="247" t="s">
        <v>3440</v>
      </c>
      <c r="E250" s="247" t="s">
        <v>3435</v>
      </c>
      <c r="F250" s="247" t="s">
        <v>3441</v>
      </c>
      <c r="G250" s="247" t="s">
        <v>3442</v>
      </c>
      <c r="H250" s="58"/>
      <c r="I250" s="58" t="s">
        <v>3438</v>
      </c>
      <c r="J250" s="233" t="s">
        <v>2561</v>
      </c>
      <c r="K250" s="281" t="b">
        <v>0</v>
      </c>
      <c r="L250" s="55"/>
      <c r="M250" s="55"/>
      <c r="N250" s="13"/>
      <c r="O250" s="13"/>
      <c r="P250" s="13"/>
      <c r="Q250" s="13"/>
      <c r="R250" s="13"/>
      <c r="S250" s="13"/>
      <c r="T250" s="13"/>
      <c r="U250" s="13"/>
      <c r="V250" s="13"/>
      <c r="W250" s="13"/>
      <c r="X250" s="13"/>
      <c r="Y250" s="13"/>
      <c r="Z250" s="13"/>
      <c r="AA250" s="13"/>
    </row>
    <row r="251" ht="16.5" hidden="1" customHeight="1">
      <c r="A251" s="229">
        <v>248.0</v>
      </c>
      <c r="B251" s="283" t="s">
        <v>2554</v>
      </c>
      <c r="C251" s="284" t="s">
        <v>3443</v>
      </c>
      <c r="D251" s="247" t="s">
        <v>3444</v>
      </c>
      <c r="E251" s="247" t="s">
        <v>3435</v>
      </c>
      <c r="F251" s="247" t="s">
        <v>3445</v>
      </c>
      <c r="G251" s="247" t="s">
        <v>3446</v>
      </c>
      <c r="H251" s="58"/>
      <c r="I251" s="58" t="s">
        <v>3447</v>
      </c>
      <c r="J251" s="233" t="s">
        <v>2561</v>
      </c>
      <c r="K251" s="281" t="b">
        <v>0</v>
      </c>
      <c r="L251" s="55"/>
      <c r="M251" s="55"/>
      <c r="N251" s="13"/>
      <c r="O251" s="13"/>
      <c r="P251" s="13"/>
      <c r="Q251" s="13"/>
      <c r="R251" s="13"/>
      <c r="S251" s="13"/>
      <c r="T251" s="13"/>
      <c r="U251" s="13"/>
      <c r="V251" s="13"/>
      <c r="W251" s="13"/>
      <c r="X251" s="13"/>
      <c r="Y251" s="13"/>
      <c r="Z251" s="13"/>
      <c r="AA251" s="13"/>
    </row>
    <row r="252" ht="16.5" hidden="1" customHeight="1">
      <c r="A252" s="229">
        <v>249.0</v>
      </c>
      <c r="B252" s="283" t="s">
        <v>2554</v>
      </c>
      <c r="C252" s="284" t="s">
        <v>3448</v>
      </c>
      <c r="D252" s="247" t="s">
        <v>3449</v>
      </c>
      <c r="E252" s="247" t="s">
        <v>3435</v>
      </c>
      <c r="F252" s="247">
        <v>3.0</v>
      </c>
      <c r="G252" s="247" t="s">
        <v>3449</v>
      </c>
      <c r="H252" s="58"/>
      <c r="I252" s="58" t="s">
        <v>3447</v>
      </c>
      <c r="J252" s="233" t="s">
        <v>2561</v>
      </c>
      <c r="K252" s="281" t="b">
        <v>0</v>
      </c>
      <c r="L252" s="55"/>
      <c r="M252" s="55"/>
      <c r="N252" s="13"/>
      <c r="O252" s="13"/>
      <c r="P252" s="13"/>
      <c r="Q252" s="13"/>
      <c r="R252" s="13"/>
      <c r="S252" s="13"/>
      <c r="T252" s="13"/>
      <c r="U252" s="13"/>
      <c r="V252" s="13"/>
      <c r="W252" s="13"/>
      <c r="X252" s="13"/>
      <c r="Y252" s="13"/>
      <c r="Z252" s="13"/>
      <c r="AA252" s="13"/>
    </row>
    <row r="253" ht="16.5" hidden="1" customHeight="1">
      <c r="A253" s="234">
        <v>250.0</v>
      </c>
      <c r="B253" s="283" t="s">
        <v>2554</v>
      </c>
      <c r="C253" s="284" t="s">
        <v>3450</v>
      </c>
      <c r="D253" s="247" t="s">
        <v>3451</v>
      </c>
      <c r="E253" s="245" t="s">
        <v>3390</v>
      </c>
      <c r="F253" s="246" t="s">
        <v>2527</v>
      </c>
      <c r="G253" s="247" t="s">
        <v>3452</v>
      </c>
      <c r="H253" s="289" t="b">
        <v>0</v>
      </c>
      <c r="I253" s="58" t="s">
        <v>3453</v>
      </c>
      <c r="J253" s="233" t="s">
        <v>2555</v>
      </c>
      <c r="K253" s="279" t="b">
        <v>0</v>
      </c>
      <c r="L253" s="55"/>
      <c r="M253" s="55"/>
      <c r="N253" s="13"/>
      <c r="O253" s="13"/>
      <c r="P253" s="13"/>
      <c r="Q253" s="13"/>
      <c r="R253" s="13"/>
      <c r="S253" s="13"/>
      <c r="T253" s="13"/>
      <c r="U253" s="13"/>
      <c r="V253" s="13"/>
      <c r="W253" s="13"/>
      <c r="X253" s="13"/>
      <c r="Y253" s="13"/>
      <c r="Z253" s="13"/>
      <c r="AA253" s="13"/>
    </row>
    <row r="254" ht="16.5" hidden="1" customHeight="1">
      <c r="A254" s="229">
        <v>251.0</v>
      </c>
      <c r="B254" s="283" t="s">
        <v>2554</v>
      </c>
      <c r="C254" s="284" t="s">
        <v>3454</v>
      </c>
      <c r="D254" s="247" t="s">
        <v>3455</v>
      </c>
      <c r="E254" s="247" t="s">
        <v>3405</v>
      </c>
      <c r="F254" s="247">
        <v>188.0</v>
      </c>
      <c r="G254" s="247" t="s">
        <v>3456</v>
      </c>
      <c r="H254" s="58"/>
      <c r="I254" s="58" t="s">
        <v>3453</v>
      </c>
      <c r="J254" s="233" t="s">
        <v>2561</v>
      </c>
      <c r="K254" s="281" t="b">
        <v>0</v>
      </c>
      <c r="L254" s="55"/>
      <c r="M254" s="55"/>
      <c r="N254" s="13"/>
      <c r="O254" s="13"/>
      <c r="P254" s="13"/>
      <c r="Q254" s="13"/>
      <c r="R254" s="13"/>
      <c r="S254" s="13"/>
      <c r="T254" s="13"/>
      <c r="U254" s="13"/>
      <c r="V254" s="13"/>
      <c r="W254" s="13"/>
      <c r="X254" s="13"/>
      <c r="Y254" s="13"/>
      <c r="Z254" s="13"/>
      <c r="AA254" s="13"/>
    </row>
    <row r="255" ht="16.5" hidden="1" customHeight="1">
      <c r="A255" s="234">
        <v>252.0</v>
      </c>
      <c r="B255" s="283" t="s">
        <v>2554</v>
      </c>
      <c r="C255" s="284" t="s">
        <v>3457</v>
      </c>
      <c r="D255" s="247" t="s">
        <v>3458</v>
      </c>
      <c r="E255" s="245" t="s">
        <v>3390</v>
      </c>
      <c r="F255" s="246" t="s">
        <v>2527</v>
      </c>
      <c r="G255" s="247" t="s">
        <v>3459</v>
      </c>
      <c r="H255" s="289" t="b">
        <v>0</v>
      </c>
      <c r="I255" s="58" t="s">
        <v>3460</v>
      </c>
      <c r="J255" s="233" t="s">
        <v>2555</v>
      </c>
      <c r="K255" s="279" t="b">
        <v>0</v>
      </c>
      <c r="L255" s="55"/>
      <c r="M255" s="55"/>
      <c r="N255" s="13"/>
      <c r="O255" s="13"/>
      <c r="P255" s="13"/>
      <c r="Q255" s="13"/>
      <c r="R255" s="13"/>
      <c r="S255" s="13"/>
      <c r="T255" s="13"/>
      <c r="U255" s="13"/>
      <c r="V255" s="13"/>
      <c r="W255" s="13"/>
      <c r="X255" s="13"/>
      <c r="Y255" s="13"/>
      <c r="Z255" s="13"/>
      <c r="AA255" s="13"/>
    </row>
    <row r="256" ht="16.5" hidden="1" customHeight="1">
      <c r="A256" s="234">
        <v>253.0</v>
      </c>
      <c r="B256" s="283" t="s">
        <v>2554</v>
      </c>
      <c r="C256" s="284" t="s">
        <v>3461</v>
      </c>
      <c r="D256" s="247" t="s">
        <v>3462</v>
      </c>
      <c r="E256" s="245" t="s">
        <v>3390</v>
      </c>
      <c r="F256" s="246" t="s">
        <v>3049</v>
      </c>
      <c r="G256" s="247" t="s">
        <v>3463</v>
      </c>
      <c r="H256" s="289" t="b">
        <v>0</v>
      </c>
      <c r="I256" s="58" t="s">
        <v>3460</v>
      </c>
      <c r="J256" s="233" t="s">
        <v>2555</v>
      </c>
      <c r="K256" s="279" t="b">
        <v>0</v>
      </c>
      <c r="L256" s="55"/>
      <c r="M256" s="55"/>
      <c r="N256" s="13"/>
      <c r="O256" s="13"/>
      <c r="P256" s="13"/>
      <c r="Q256" s="13"/>
      <c r="R256" s="13"/>
      <c r="S256" s="13"/>
      <c r="T256" s="13"/>
      <c r="U256" s="13"/>
      <c r="V256" s="13"/>
      <c r="W256" s="13"/>
      <c r="X256" s="13"/>
      <c r="Y256" s="13"/>
      <c r="Z256" s="13"/>
      <c r="AA256" s="13"/>
    </row>
    <row r="257" ht="16.5" hidden="1" customHeight="1">
      <c r="A257" s="229">
        <v>254.0</v>
      </c>
      <c r="B257" s="283" t="s">
        <v>2554</v>
      </c>
      <c r="C257" s="284" t="s">
        <v>3464</v>
      </c>
      <c r="D257" s="247" t="s">
        <v>3465</v>
      </c>
      <c r="E257" s="247" t="s">
        <v>3435</v>
      </c>
      <c r="F257" s="247">
        <v>4.0</v>
      </c>
      <c r="G257" s="247" t="s">
        <v>3465</v>
      </c>
      <c r="H257" s="58"/>
      <c r="I257" s="58" t="s">
        <v>3466</v>
      </c>
      <c r="J257" s="233" t="s">
        <v>2561</v>
      </c>
      <c r="K257" s="281" t="b">
        <v>0</v>
      </c>
      <c r="L257" s="55"/>
      <c r="M257" s="55"/>
      <c r="N257" s="13"/>
      <c r="O257" s="13"/>
      <c r="P257" s="13"/>
      <c r="Q257" s="13"/>
      <c r="R257" s="13"/>
      <c r="S257" s="13"/>
      <c r="T257" s="13"/>
      <c r="U257" s="13"/>
      <c r="V257" s="13"/>
      <c r="W257" s="13"/>
      <c r="X257" s="13"/>
      <c r="Y257" s="13"/>
      <c r="Z257" s="13"/>
      <c r="AA257" s="13"/>
    </row>
    <row r="258" ht="16.5" hidden="1" customHeight="1">
      <c r="A258" s="234">
        <v>255.0</v>
      </c>
      <c r="B258" s="283" t="s">
        <v>2554</v>
      </c>
      <c r="C258" s="284" t="s">
        <v>3467</v>
      </c>
      <c r="D258" s="247" t="s">
        <v>3468</v>
      </c>
      <c r="E258" s="245" t="s">
        <v>3399</v>
      </c>
      <c r="F258" s="246" t="s">
        <v>2533</v>
      </c>
      <c r="G258" s="247" t="s">
        <v>3469</v>
      </c>
      <c r="H258" s="289" t="b">
        <v>0</v>
      </c>
      <c r="I258" s="58" t="s">
        <v>3466</v>
      </c>
      <c r="J258" s="233" t="s">
        <v>2555</v>
      </c>
      <c r="K258" s="279" t="b">
        <v>0</v>
      </c>
      <c r="L258" s="55"/>
      <c r="M258" s="55"/>
      <c r="N258" s="13"/>
      <c r="O258" s="13"/>
      <c r="P258" s="13"/>
      <c r="Q258" s="13"/>
      <c r="R258" s="13"/>
      <c r="S258" s="13"/>
      <c r="T258" s="13"/>
      <c r="U258" s="13"/>
      <c r="V258" s="13"/>
      <c r="W258" s="13"/>
      <c r="X258" s="13"/>
      <c r="Y258" s="13"/>
      <c r="Z258" s="13"/>
      <c r="AA258" s="13"/>
    </row>
    <row r="259" ht="16.5" hidden="1" customHeight="1">
      <c r="A259" s="234">
        <v>256.0</v>
      </c>
      <c r="B259" s="283" t="s">
        <v>2554</v>
      </c>
      <c r="C259" s="284" t="s">
        <v>3470</v>
      </c>
      <c r="D259" s="247" t="s">
        <v>3471</v>
      </c>
      <c r="E259" s="245" t="s">
        <v>3472</v>
      </c>
      <c r="F259" s="246" t="s">
        <v>3473</v>
      </c>
      <c r="G259" s="247" t="s">
        <v>3474</v>
      </c>
      <c r="H259" s="289" t="b">
        <v>0</v>
      </c>
      <c r="I259" s="58" t="s">
        <v>3475</v>
      </c>
      <c r="J259" s="233" t="s">
        <v>2555</v>
      </c>
      <c r="K259" s="279" t="b">
        <v>0</v>
      </c>
      <c r="L259" s="55"/>
      <c r="M259" s="55"/>
      <c r="N259" s="13"/>
      <c r="O259" s="13"/>
      <c r="P259" s="13"/>
      <c r="Q259" s="13"/>
      <c r="R259" s="13"/>
      <c r="S259" s="13"/>
      <c r="T259" s="13"/>
      <c r="U259" s="13"/>
      <c r="V259" s="13"/>
      <c r="W259" s="13"/>
      <c r="X259" s="13"/>
      <c r="Y259" s="13"/>
      <c r="Z259" s="13"/>
      <c r="AA259" s="13"/>
    </row>
    <row r="260" ht="16.5" hidden="1" customHeight="1">
      <c r="A260" s="234">
        <v>257.0</v>
      </c>
      <c r="B260" s="283" t="s">
        <v>2554</v>
      </c>
      <c r="C260" s="284" t="s">
        <v>3476</v>
      </c>
      <c r="D260" s="247" t="s">
        <v>3477</v>
      </c>
      <c r="E260" s="245" t="s">
        <v>3390</v>
      </c>
      <c r="F260" s="246" t="s">
        <v>3473</v>
      </c>
      <c r="G260" s="247" t="s">
        <v>3474</v>
      </c>
      <c r="H260" s="289" t="b">
        <v>0</v>
      </c>
      <c r="I260" s="58" t="s">
        <v>3475</v>
      </c>
      <c r="J260" s="233" t="s">
        <v>2555</v>
      </c>
      <c r="K260" s="279" t="b">
        <v>0</v>
      </c>
      <c r="L260" s="55"/>
      <c r="M260" s="55"/>
      <c r="N260" s="13"/>
      <c r="O260" s="13"/>
      <c r="P260" s="13"/>
      <c r="Q260" s="13"/>
      <c r="R260" s="13"/>
      <c r="S260" s="13"/>
      <c r="T260" s="13"/>
      <c r="U260" s="13"/>
      <c r="V260" s="13"/>
      <c r="W260" s="13"/>
      <c r="X260" s="13"/>
      <c r="Y260" s="13"/>
      <c r="Z260" s="13"/>
      <c r="AA260" s="13"/>
    </row>
    <row r="261" ht="16.5" hidden="1" customHeight="1">
      <c r="A261" s="234">
        <v>258.0</v>
      </c>
      <c r="B261" s="283" t="s">
        <v>2554</v>
      </c>
      <c r="C261" s="284" t="s">
        <v>3478</v>
      </c>
      <c r="D261" s="247" t="s">
        <v>3479</v>
      </c>
      <c r="E261" s="245" t="s">
        <v>3390</v>
      </c>
      <c r="F261" s="246" t="s">
        <v>3473</v>
      </c>
      <c r="G261" s="247" t="s">
        <v>3474</v>
      </c>
      <c r="H261" s="289" t="b">
        <v>0</v>
      </c>
      <c r="I261" s="58" t="s">
        <v>3475</v>
      </c>
      <c r="J261" s="233" t="s">
        <v>2555</v>
      </c>
      <c r="K261" s="279" t="b">
        <v>0</v>
      </c>
      <c r="L261" s="55"/>
      <c r="M261" s="55"/>
      <c r="N261" s="13"/>
      <c r="O261" s="13"/>
      <c r="P261" s="13"/>
      <c r="Q261" s="13"/>
      <c r="R261" s="13"/>
      <c r="S261" s="13"/>
      <c r="T261" s="13"/>
      <c r="U261" s="13"/>
      <c r="V261" s="13"/>
      <c r="W261" s="13"/>
      <c r="X261" s="13"/>
      <c r="Y261" s="13"/>
      <c r="Z261" s="13"/>
      <c r="AA261" s="13"/>
    </row>
    <row r="262" ht="16.5" hidden="1" customHeight="1">
      <c r="A262" s="234">
        <v>259.0</v>
      </c>
      <c r="B262" s="283" t="s">
        <v>2554</v>
      </c>
      <c r="C262" s="284" t="s">
        <v>3480</v>
      </c>
      <c r="D262" s="247" t="s">
        <v>3481</v>
      </c>
      <c r="E262" s="245" t="s">
        <v>3390</v>
      </c>
      <c r="F262" s="246" t="s">
        <v>3473</v>
      </c>
      <c r="G262" s="247" t="s">
        <v>3474</v>
      </c>
      <c r="H262" s="289" t="b">
        <v>0</v>
      </c>
      <c r="I262" s="58" t="s">
        <v>3475</v>
      </c>
      <c r="J262" s="233" t="s">
        <v>2555</v>
      </c>
      <c r="K262" s="279" t="b">
        <v>0</v>
      </c>
      <c r="L262" s="55"/>
      <c r="M262" s="55"/>
      <c r="N262" s="13"/>
      <c r="O262" s="13"/>
      <c r="P262" s="13"/>
      <c r="Q262" s="13"/>
      <c r="R262" s="13"/>
      <c r="S262" s="13"/>
      <c r="T262" s="13"/>
      <c r="U262" s="13"/>
      <c r="V262" s="13"/>
      <c r="W262" s="13"/>
      <c r="X262" s="13"/>
      <c r="Y262" s="13"/>
      <c r="Z262" s="13"/>
      <c r="AA262" s="13"/>
    </row>
    <row r="263" ht="16.5" hidden="1" customHeight="1">
      <c r="A263" s="229">
        <v>260.0</v>
      </c>
      <c r="B263" s="283" t="s">
        <v>2554</v>
      </c>
      <c r="C263" s="284" t="s">
        <v>3482</v>
      </c>
      <c r="D263" s="247" t="s">
        <v>3483</v>
      </c>
      <c r="E263" s="288"/>
      <c r="F263" s="288"/>
      <c r="G263" s="288"/>
      <c r="H263" s="58"/>
      <c r="I263" s="58" t="s">
        <v>3475</v>
      </c>
      <c r="J263" s="233" t="s">
        <v>2561</v>
      </c>
      <c r="K263" s="281" t="b">
        <v>0</v>
      </c>
      <c r="L263" s="55"/>
      <c r="M263" s="55"/>
      <c r="N263" s="13"/>
      <c r="O263" s="13"/>
      <c r="P263" s="13"/>
      <c r="Q263" s="13"/>
      <c r="R263" s="13"/>
      <c r="S263" s="13"/>
      <c r="T263" s="13"/>
      <c r="U263" s="13"/>
      <c r="V263" s="13"/>
      <c r="W263" s="13"/>
      <c r="X263" s="13"/>
      <c r="Y263" s="13"/>
      <c r="Z263" s="13"/>
      <c r="AA263" s="13"/>
    </row>
    <row r="264" ht="16.5" hidden="1" customHeight="1">
      <c r="A264" s="229">
        <v>261.0</v>
      </c>
      <c r="B264" s="283" t="s">
        <v>2554</v>
      </c>
      <c r="C264" s="284" t="s">
        <v>3484</v>
      </c>
      <c r="D264" s="247" t="s">
        <v>3485</v>
      </c>
      <c r="E264" s="288"/>
      <c r="F264" s="288"/>
      <c r="G264" s="288"/>
      <c r="H264" s="58"/>
      <c r="I264" s="58" t="s">
        <v>3475</v>
      </c>
      <c r="J264" s="233" t="s">
        <v>2561</v>
      </c>
      <c r="K264" s="281" t="b">
        <v>0</v>
      </c>
      <c r="L264" s="55"/>
      <c r="M264" s="55"/>
      <c r="N264" s="13"/>
      <c r="O264" s="13"/>
      <c r="P264" s="13"/>
      <c r="Q264" s="13"/>
      <c r="R264" s="13"/>
      <c r="S264" s="13"/>
      <c r="T264" s="13"/>
      <c r="U264" s="13"/>
      <c r="V264" s="13"/>
      <c r="W264" s="13"/>
      <c r="X264" s="13"/>
      <c r="Y264" s="13"/>
      <c r="Z264" s="13"/>
      <c r="AA264" s="13"/>
    </row>
    <row r="265" ht="16.5" hidden="1" customHeight="1">
      <c r="A265" s="234">
        <v>262.0</v>
      </c>
      <c r="B265" s="283" t="s">
        <v>2554</v>
      </c>
      <c r="C265" s="284" t="s">
        <v>3486</v>
      </c>
      <c r="D265" s="247" t="s">
        <v>3487</v>
      </c>
      <c r="E265" s="245" t="s">
        <v>3488</v>
      </c>
      <c r="F265" s="291"/>
      <c r="G265" s="247" t="s">
        <v>3487</v>
      </c>
      <c r="H265" s="289" t="b">
        <v>0</v>
      </c>
      <c r="I265" s="58" t="s">
        <v>3489</v>
      </c>
      <c r="J265" s="233" t="s">
        <v>2555</v>
      </c>
      <c r="K265" s="279" t="b">
        <v>0</v>
      </c>
      <c r="L265" s="55"/>
      <c r="M265" s="55"/>
      <c r="N265" s="13"/>
      <c r="O265" s="13"/>
      <c r="P265" s="13"/>
      <c r="Q265" s="13"/>
      <c r="R265" s="13"/>
      <c r="S265" s="13"/>
      <c r="T265" s="13"/>
      <c r="U265" s="13"/>
      <c r="V265" s="13"/>
      <c r="W265" s="13"/>
      <c r="X265" s="13"/>
      <c r="Y265" s="13"/>
      <c r="Z265" s="13"/>
      <c r="AA265" s="13"/>
    </row>
    <row r="266" ht="16.5" hidden="1" customHeight="1">
      <c r="A266" s="229">
        <v>263.0</v>
      </c>
      <c r="B266" s="283" t="s">
        <v>2554</v>
      </c>
      <c r="C266" s="284" t="s">
        <v>3490</v>
      </c>
      <c r="D266" s="247" t="s">
        <v>3491</v>
      </c>
      <c r="E266" s="247" t="s">
        <v>3405</v>
      </c>
      <c r="F266" s="247">
        <v>193.0</v>
      </c>
      <c r="G266" s="247" t="s">
        <v>3492</v>
      </c>
      <c r="H266" s="58"/>
      <c r="I266" s="58" t="s">
        <v>3475</v>
      </c>
      <c r="J266" s="233" t="s">
        <v>2561</v>
      </c>
      <c r="K266" s="281" t="b">
        <v>0</v>
      </c>
      <c r="L266" s="55"/>
      <c r="M266" s="55"/>
      <c r="N266" s="13"/>
      <c r="O266" s="13"/>
      <c r="P266" s="13"/>
      <c r="Q266" s="13"/>
      <c r="R266" s="13"/>
      <c r="S266" s="13"/>
      <c r="T266" s="13"/>
      <c r="U266" s="13"/>
      <c r="V266" s="13"/>
      <c r="W266" s="13"/>
      <c r="X266" s="13"/>
      <c r="Y266" s="13"/>
      <c r="Z266" s="13"/>
      <c r="AA266" s="13"/>
    </row>
    <row r="267" ht="16.5" hidden="1" customHeight="1">
      <c r="A267" s="234">
        <v>264.0</v>
      </c>
      <c r="B267" s="283" t="s">
        <v>2554</v>
      </c>
      <c r="C267" s="284" t="s">
        <v>3493</v>
      </c>
      <c r="D267" s="247" t="s">
        <v>3494</v>
      </c>
      <c r="E267" s="245" t="s">
        <v>3495</v>
      </c>
      <c r="F267" s="246" t="s">
        <v>933</v>
      </c>
      <c r="G267" s="247" t="s">
        <v>3496</v>
      </c>
      <c r="H267" s="289" t="b">
        <v>0</v>
      </c>
      <c r="I267" s="58" t="s">
        <v>3489</v>
      </c>
      <c r="J267" s="233" t="s">
        <v>2555</v>
      </c>
      <c r="K267" s="279" t="b">
        <v>0</v>
      </c>
      <c r="L267" s="55"/>
      <c r="M267" s="55"/>
      <c r="N267" s="13"/>
      <c r="O267" s="13"/>
      <c r="P267" s="13"/>
      <c r="Q267" s="13"/>
      <c r="R267" s="13"/>
      <c r="S267" s="13"/>
      <c r="T267" s="13"/>
      <c r="U267" s="13"/>
      <c r="V267" s="13"/>
      <c r="W267" s="13"/>
      <c r="X267" s="13"/>
      <c r="Y267" s="13"/>
      <c r="Z267" s="13"/>
      <c r="AA267" s="13"/>
    </row>
    <row r="268" ht="16.5" hidden="1" customHeight="1">
      <c r="A268" s="234">
        <v>265.0</v>
      </c>
      <c r="B268" s="283" t="s">
        <v>2562</v>
      </c>
      <c r="C268" s="230" t="s">
        <v>3497</v>
      </c>
      <c r="D268" s="231" t="s">
        <v>3498</v>
      </c>
      <c r="E268" s="235" t="s">
        <v>3499</v>
      </c>
      <c r="F268" s="236" t="s">
        <v>3500</v>
      </c>
      <c r="G268" s="239" t="s">
        <v>3501</v>
      </c>
      <c r="H268" s="286" t="b">
        <v>0</v>
      </c>
      <c r="I268" s="55"/>
      <c r="J268" s="233" t="s">
        <v>2555</v>
      </c>
      <c r="K268" s="279" t="b">
        <v>0</v>
      </c>
      <c r="L268" s="55"/>
      <c r="M268" s="55"/>
      <c r="N268" s="13"/>
      <c r="O268" s="13"/>
      <c r="P268" s="13"/>
      <c r="Q268" s="13"/>
      <c r="R268" s="13"/>
      <c r="S268" s="13"/>
      <c r="T268" s="13"/>
      <c r="U268" s="13"/>
      <c r="V268" s="13"/>
      <c r="W268" s="13"/>
      <c r="X268" s="13"/>
      <c r="Y268" s="13"/>
      <c r="Z268" s="13"/>
      <c r="AA268" s="13"/>
    </row>
    <row r="269" ht="16.5" hidden="1" customHeight="1">
      <c r="A269" s="234">
        <v>266.0</v>
      </c>
      <c r="B269" s="283" t="s">
        <v>2562</v>
      </c>
      <c r="C269" s="230" t="s">
        <v>3502</v>
      </c>
      <c r="D269" s="231" t="s">
        <v>3503</v>
      </c>
      <c r="E269" s="235" t="s">
        <v>3504</v>
      </c>
      <c r="F269" s="236" t="s">
        <v>173</v>
      </c>
      <c r="G269" s="231" t="s">
        <v>3503</v>
      </c>
      <c r="H269" s="286" t="b">
        <v>0</v>
      </c>
      <c r="I269" s="55"/>
      <c r="J269" s="233" t="s">
        <v>2555</v>
      </c>
      <c r="K269" s="279" t="b">
        <v>0</v>
      </c>
      <c r="L269" s="55"/>
      <c r="M269" s="55"/>
      <c r="N269" s="13"/>
      <c r="O269" s="13"/>
      <c r="P269" s="13"/>
      <c r="Q269" s="13"/>
      <c r="R269" s="13"/>
      <c r="S269" s="13"/>
      <c r="T269" s="13"/>
      <c r="U269" s="13"/>
      <c r="V269" s="13"/>
      <c r="W269" s="13"/>
      <c r="X269" s="13"/>
      <c r="Y269" s="13"/>
      <c r="Z269" s="13"/>
      <c r="AA269" s="13"/>
    </row>
    <row r="270" ht="16.5" hidden="1" customHeight="1">
      <c r="A270" s="234">
        <v>267.0</v>
      </c>
      <c r="B270" s="283" t="s">
        <v>2562</v>
      </c>
      <c r="C270" s="230" t="s">
        <v>3505</v>
      </c>
      <c r="D270" s="231" t="s">
        <v>3506</v>
      </c>
      <c r="E270" s="235" t="s">
        <v>3507</v>
      </c>
      <c r="F270" s="236" t="s">
        <v>3508</v>
      </c>
      <c r="G270" s="231" t="s">
        <v>3509</v>
      </c>
      <c r="H270" s="286" t="b">
        <v>0</v>
      </c>
      <c r="I270" s="55"/>
      <c r="J270" s="233" t="s">
        <v>2555</v>
      </c>
      <c r="K270" s="279" t="b">
        <v>0</v>
      </c>
      <c r="L270" s="55"/>
      <c r="M270" s="55"/>
      <c r="N270" s="13"/>
      <c r="O270" s="13"/>
      <c r="P270" s="13"/>
      <c r="Q270" s="13"/>
      <c r="R270" s="13"/>
      <c r="S270" s="13"/>
      <c r="T270" s="13"/>
      <c r="U270" s="13"/>
      <c r="V270" s="13"/>
      <c r="W270" s="13"/>
      <c r="X270" s="13"/>
      <c r="Y270" s="13"/>
      <c r="Z270" s="13"/>
      <c r="AA270" s="13"/>
    </row>
    <row r="271" ht="16.5" customHeight="1">
      <c r="A271" s="10"/>
      <c r="B271" s="10"/>
      <c r="C271" s="13"/>
      <c r="D271" s="13"/>
      <c r="E271" s="13"/>
      <c r="F271" s="185"/>
      <c r="G271" s="13"/>
      <c r="H271" s="13"/>
      <c r="I271" s="13"/>
      <c r="J271" s="13"/>
      <c r="K271" s="13"/>
      <c r="L271" s="13"/>
      <c r="M271" s="13"/>
      <c r="N271" s="13"/>
      <c r="O271" s="13"/>
      <c r="P271" s="13"/>
      <c r="Q271" s="13"/>
      <c r="R271" s="13"/>
      <c r="S271" s="13"/>
      <c r="T271" s="13"/>
      <c r="U271" s="13"/>
      <c r="V271" s="13"/>
      <c r="W271" s="13"/>
      <c r="X271" s="13"/>
      <c r="Y271" s="13"/>
      <c r="Z271" s="13"/>
      <c r="AA271" s="13"/>
    </row>
    <row r="272" ht="16.5" customHeight="1">
      <c r="A272" s="10"/>
      <c r="B272" s="10"/>
      <c r="C272" s="13"/>
      <c r="D272" s="13"/>
      <c r="E272" s="13"/>
      <c r="F272" s="185"/>
      <c r="G272" s="13"/>
      <c r="H272" s="13"/>
      <c r="I272" s="13"/>
      <c r="J272" s="13"/>
      <c r="K272" s="13"/>
      <c r="L272" s="13"/>
      <c r="M272" s="13"/>
      <c r="N272" s="13"/>
      <c r="O272" s="13"/>
      <c r="P272" s="13"/>
      <c r="Q272" s="13"/>
      <c r="R272" s="13"/>
      <c r="S272" s="13"/>
      <c r="T272" s="13"/>
      <c r="U272" s="13"/>
      <c r="V272" s="13"/>
      <c r="W272" s="13"/>
      <c r="X272" s="13"/>
      <c r="Y272" s="13"/>
      <c r="Z272" s="13"/>
      <c r="AA272" s="13"/>
    </row>
    <row r="273" ht="16.5" customHeight="1">
      <c r="A273" s="10"/>
      <c r="B273" s="10"/>
      <c r="C273" s="13"/>
      <c r="D273" s="13"/>
      <c r="E273" s="13"/>
      <c r="F273" s="185"/>
      <c r="G273" s="13"/>
      <c r="H273" s="13"/>
      <c r="I273" s="13"/>
      <c r="J273" s="13"/>
      <c r="K273" s="13"/>
      <c r="L273" s="13"/>
      <c r="M273" s="13"/>
      <c r="N273" s="13"/>
      <c r="O273" s="13"/>
      <c r="P273" s="13"/>
      <c r="Q273" s="13"/>
      <c r="R273" s="13"/>
      <c r="S273" s="13"/>
      <c r="T273" s="13"/>
      <c r="U273" s="13"/>
      <c r="V273" s="13"/>
      <c r="W273" s="13"/>
      <c r="X273" s="13"/>
      <c r="Y273" s="13"/>
      <c r="Z273" s="13"/>
      <c r="AA273" s="13"/>
    </row>
    <row r="274" ht="16.5" customHeight="1">
      <c r="A274" s="10"/>
      <c r="B274" s="10"/>
      <c r="C274" s="13"/>
      <c r="D274" s="13"/>
      <c r="E274" s="13"/>
      <c r="F274" s="185"/>
      <c r="G274" s="13"/>
      <c r="H274" s="13"/>
      <c r="I274" s="13"/>
      <c r="J274" s="13"/>
      <c r="K274" s="13"/>
      <c r="L274" s="13"/>
      <c r="M274" s="13"/>
      <c r="N274" s="13"/>
      <c r="O274" s="13"/>
      <c r="P274" s="13"/>
      <c r="Q274" s="13"/>
      <c r="R274" s="13"/>
      <c r="S274" s="13"/>
      <c r="T274" s="13"/>
      <c r="U274" s="13"/>
      <c r="V274" s="13"/>
      <c r="W274" s="13"/>
      <c r="X274" s="13"/>
      <c r="Y274" s="13"/>
      <c r="Z274" s="13"/>
      <c r="AA274" s="13"/>
    </row>
    <row r="275" ht="16.5" customHeight="1">
      <c r="A275" s="10"/>
      <c r="B275" s="10"/>
      <c r="C275" s="13"/>
      <c r="D275" s="13"/>
      <c r="E275" s="13"/>
      <c r="F275" s="185"/>
      <c r="G275" s="13"/>
      <c r="H275" s="13"/>
      <c r="I275" s="13"/>
      <c r="J275" s="13"/>
      <c r="K275" s="13"/>
      <c r="L275" s="13"/>
      <c r="M275" s="13"/>
      <c r="N275" s="13"/>
      <c r="O275" s="13"/>
      <c r="P275" s="13"/>
      <c r="Q275" s="13"/>
      <c r="R275" s="13"/>
      <c r="S275" s="13"/>
      <c r="T275" s="13"/>
      <c r="U275" s="13"/>
      <c r="V275" s="13"/>
      <c r="W275" s="13"/>
      <c r="X275" s="13"/>
      <c r="Y275" s="13"/>
      <c r="Z275" s="13"/>
      <c r="AA275" s="13"/>
    </row>
    <row r="276" ht="16.5" customHeight="1">
      <c r="A276" s="10"/>
      <c r="B276" s="10"/>
      <c r="C276" s="13"/>
      <c r="D276" s="13"/>
      <c r="E276" s="13"/>
      <c r="F276" s="185"/>
      <c r="G276" s="13"/>
      <c r="H276" s="13"/>
      <c r="I276" s="13"/>
      <c r="J276" s="13"/>
      <c r="K276" s="13"/>
      <c r="L276" s="13"/>
      <c r="M276" s="13"/>
      <c r="N276" s="13"/>
      <c r="O276" s="13"/>
      <c r="P276" s="13"/>
      <c r="Q276" s="13"/>
      <c r="R276" s="13"/>
      <c r="S276" s="13"/>
      <c r="T276" s="13"/>
      <c r="U276" s="13"/>
      <c r="V276" s="13"/>
      <c r="W276" s="13"/>
      <c r="X276" s="13"/>
      <c r="Y276" s="13"/>
      <c r="Z276" s="13"/>
      <c r="AA276" s="13"/>
    </row>
    <row r="277" ht="16.5" customHeight="1">
      <c r="A277" s="10"/>
      <c r="B277" s="10"/>
      <c r="C277" s="13"/>
      <c r="D277" s="13"/>
      <c r="E277" s="13"/>
      <c r="F277" s="185"/>
      <c r="G277" s="13"/>
      <c r="H277" s="13"/>
      <c r="I277" s="13"/>
      <c r="J277" s="13"/>
      <c r="K277" s="13"/>
      <c r="L277" s="13"/>
      <c r="M277" s="13"/>
      <c r="N277" s="13"/>
      <c r="O277" s="13"/>
      <c r="P277" s="13"/>
      <c r="Q277" s="13"/>
      <c r="R277" s="13"/>
      <c r="S277" s="13"/>
      <c r="T277" s="13"/>
      <c r="U277" s="13"/>
      <c r="V277" s="13"/>
      <c r="W277" s="13"/>
      <c r="X277" s="13"/>
      <c r="Y277" s="13"/>
      <c r="Z277" s="13"/>
      <c r="AA277" s="13"/>
    </row>
    <row r="278" ht="16.5" customHeight="1">
      <c r="A278" s="10"/>
      <c r="B278" s="10"/>
      <c r="C278" s="13"/>
      <c r="D278" s="13"/>
      <c r="E278" s="13"/>
      <c r="F278" s="185"/>
      <c r="G278" s="13"/>
      <c r="H278" s="13"/>
      <c r="I278" s="13"/>
      <c r="J278" s="13"/>
      <c r="K278" s="13"/>
      <c r="L278" s="13"/>
      <c r="M278" s="13"/>
      <c r="N278" s="13"/>
      <c r="O278" s="13"/>
      <c r="P278" s="13"/>
      <c r="Q278" s="13"/>
      <c r="R278" s="13"/>
      <c r="S278" s="13"/>
      <c r="T278" s="13"/>
      <c r="U278" s="13"/>
      <c r="V278" s="13"/>
      <c r="W278" s="13"/>
      <c r="X278" s="13"/>
      <c r="Y278" s="13"/>
      <c r="Z278" s="13"/>
      <c r="AA278" s="13"/>
    </row>
    <row r="279" ht="16.5" customHeight="1">
      <c r="A279" s="10"/>
      <c r="B279" s="10"/>
      <c r="C279" s="13"/>
      <c r="D279" s="13"/>
      <c r="E279" s="13"/>
      <c r="F279" s="185"/>
      <c r="G279" s="13"/>
      <c r="H279" s="13"/>
      <c r="I279" s="13"/>
      <c r="J279" s="13"/>
      <c r="K279" s="13"/>
      <c r="L279" s="13"/>
      <c r="M279" s="13"/>
      <c r="N279" s="13"/>
      <c r="O279" s="13"/>
      <c r="P279" s="13"/>
      <c r="Q279" s="13"/>
      <c r="R279" s="13"/>
      <c r="S279" s="13"/>
      <c r="T279" s="13"/>
      <c r="U279" s="13"/>
      <c r="V279" s="13"/>
      <c r="W279" s="13"/>
      <c r="X279" s="13"/>
      <c r="Y279" s="13"/>
      <c r="Z279" s="13"/>
      <c r="AA279" s="13"/>
    </row>
    <row r="280" ht="16.5" customHeight="1">
      <c r="A280" s="10"/>
      <c r="B280" s="10"/>
      <c r="C280" s="13"/>
      <c r="D280" s="13"/>
      <c r="E280" s="13"/>
      <c r="F280" s="185"/>
      <c r="G280" s="13"/>
      <c r="H280" s="13"/>
      <c r="I280" s="13"/>
      <c r="J280" s="13"/>
      <c r="K280" s="13"/>
      <c r="L280" s="13"/>
      <c r="M280" s="13"/>
      <c r="N280" s="13"/>
      <c r="O280" s="13"/>
      <c r="P280" s="13"/>
      <c r="Q280" s="13"/>
      <c r="R280" s="13"/>
      <c r="S280" s="13"/>
      <c r="T280" s="13"/>
      <c r="U280" s="13"/>
      <c r="V280" s="13"/>
      <c r="W280" s="13"/>
      <c r="X280" s="13"/>
      <c r="Y280" s="13"/>
      <c r="Z280" s="13"/>
      <c r="AA280" s="13"/>
    </row>
    <row r="281" ht="16.5" customHeight="1">
      <c r="A281" s="10"/>
      <c r="B281" s="10"/>
      <c r="C281" s="13"/>
      <c r="D281" s="13"/>
      <c r="E281" s="13"/>
      <c r="F281" s="185"/>
      <c r="G281" s="13"/>
      <c r="H281" s="13"/>
      <c r="I281" s="13"/>
      <c r="J281" s="13"/>
      <c r="K281" s="13"/>
      <c r="L281" s="13"/>
      <c r="M281" s="13"/>
      <c r="N281" s="13"/>
      <c r="O281" s="13"/>
      <c r="P281" s="13"/>
      <c r="Q281" s="13"/>
      <c r="R281" s="13"/>
      <c r="S281" s="13"/>
      <c r="T281" s="13"/>
      <c r="U281" s="13"/>
      <c r="V281" s="13"/>
      <c r="W281" s="13"/>
      <c r="X281" s="13"/>
      <c r="Y281" s="13"/>
      <c r="Z281" s="13"/>
      <c r="AA281" s="13"/>
    </row>
    <row r="282" ht="16.5" customHeight="1">
      <c r="A282" s="10"/>
      <c r="B282" s="10"/>
      <c r="C282" s="13"/>
      <c r="D282" s="13"/>
      <c r="E282" s="13"/>
      <c r="F282" s="185"/>
      <c r="G282" s="13"/>
      <c r="H282" s="13"/>
      <c r="I282" s="13"/>
      <c r="J282" s="13"/>
      <c r="K282" s="13"/>
      <c r="L282" s="13"/>
      <c r="M282" s="13"/>
      <c r="N282" s="13"/>
      <c r="O282" s="13"/>
      <c r="P282" s="13"/>
      <c r="Q282" s="13"/>
      <c r="R282" s="13"/>
      <c r="S282" s="13"/>
      <c r="T282" s="13"/>
      <c r="U282" s="13"/>
      <c r="V282" s="13"/>
      <c r="W282" s="13"/>
      <c r="X282" s="13"/>
      <c r="Y282" s="13"/>
      <c r="Z282" s="13"/>
      <c r="AA282" s="13"/>
    </row>
    <row r="283" ht="16.5" customHeight="1">
      <c r="A283" s="10"/>
      <c r="B283" s="10"/>
      <c r="C283" s="13"/>
      <c r="D283" s="13"/>
      <c r="E283" s="13"/>
      <c r="F283" s="185"/>
      <c r="G283" s="13"/>
      <c r="H283" s="13"/>
      <c r="I283" s="13"/>
      <c r="J283" s="13"/>
      <c r="K283" s="13"/>
      <c r="L283" s="13"/>
      <c r="M283" s="13"/>
      <c r="N283" s="13"/>
      <c r="O283" s="13"/>
      <c r="P283" s="13"/>
      <c r="Q283" s="13"/>
      <c r="R283" s="13"/>
      <c r="S283" s="13"/>
      <c r="T283" s="13"/>
      <c r="U283" s="13"/>
      <c r="V283" s="13"/>
      <c r="W283" s="13"/>
      <c r="X283" s="13"/>
      <c r="Y283" s="13"/>
      <c r="Z283" s="13"/>
      <c r="AA283" s="13"/>
    </row>
    <row r="284" ht="16.5" customHeight="1">
      <c r="A284" s="10"/>
      <c r="B284" s="10"/>
      <c r="C284" s="13"/>
      <c r="D284" s="13"/>
      <c r="E284" s="13"/>
      <c r="F284" s="185"/>
      <c r="G284" s="13"/>
      <c r="H284" s="13"/>
      <c r="I284" s="13"/>
      <c r="J284" s="13"/>
      <c r="K284" s="13"/>
      <c r="L284" s="13"/>
      <c r="M284" s="13"/>
      <c r="N284" s="13"/>
      <c r="O284" s="13"/>
      <c r="P284" s="13"/>
      <c r="Q284" s="13"/>
      <c r="R284" s="13"/>
      <c r="S284" s="13"/>
      <c r="T284" s="13"/>
      <c r="U284" s="13"/>
      <c r="V284" s="13"/>
      <c r="W284" s="13"/>
      <c r="X284" s="13"/>
      <c r="Y284" s="13"/>
      <c r="Z284" s="13"/>
      <c r="AA284" s="13"/>
    </row>
    <row r="285" ht="16.5" customHeight="1">
      <c r="A285" s="10"/>
      <c r="B285" s="10"/>
      <c r="C285" s="13"/>
      <c r="D285" s="13"/>
      <c r="E285" s="13"/>
      <c r="F285" s="185"/>
      <c r="G285" s="13"/>
      <c r="H285" s="13"/>
      <c r="I285" s="13"/>
      <c r="J285" s="13"/>
      <c r="K285" s="13"/>
      <c r="L285" s="13"/>
      <c r="M285" s="13"/>
      <c r="N285" s="13"/>
      <c r="O285" s="13"/>
      <c r="P285" s="13"/>
      <c r="Q285" s="13"/>
      <c r="R285" s="13"/>
      <c r="S285" s="13"/>
      <c r="T285" s="13"/>
      <c r="U285" s="13"/>
      <c r="V285" s="13"/>
      <c r="W285" s="13"/>
      <c r="X285" s="13"/>
      <c r="Y285" s="13"/>
      <c r="Z285" s="13"/>
      <c r="AA285" s="13"/>
    </row>
    <row r="286" ht="16.5" customHeight="1">
      <c r="A286" s="10"/>
      <c r="B286" s="10"/>
      <c r="C286" s="13"/>
      <c r="D286" s="13"/>
      <c r="E286" s="13"/>
      <c r="F286" s="185"/>
      <c r="G286" s="13"/>
      <c r="H286" s="13"/>
      <c r="I286" s="13"/>
      <c r="J286" s="13"/>
      <c r="K286" s="13"/>
      <c r="L286" s="13"/>
      <c r="M286" s="13"/>
      <c r="N286" s="13"/>
      <c r="O286" s="13"/>
      <c r="P286" s="13"/>
      <c r="Q286" s="13"/>
      <c r="R286" s="13"/>
      <c r="S286" s="13"/>
      <c r="T286" s="13"/>
      <c r="U286" s="13"/>
      <c r="V286" s="13"/>
      <c r="W286" s="13"/>
      <c r="X286" s="13"/>
      <c r="Y286" s="13"/>
      <c r="Z286" s="13"/>
      <c r="AA286" s="13"/>
    </row>
    <row r="287" ht="16.5" customHeight="1">
      <c r="A287" s="10"/>
      <c r="B287" s="10"/>
      <c r="C287" s="13"/>
      <c r="D287" s="13"/>
      <c r="E287" s="13"/>
      <c r="F287" s="185"/>
      <c r="G287" s="13"/>
      <c r="H287" s="13"/>
      <c r="I287" s="13"/>
      <c r="J287" s="13"/>
      <c r="K287" s="13"/>
      <c r="L287" s="13"/>
      <c r="M287" s="13"/>
      <c r="N287" s="13"/>
      <c r="O287" s="13"/>
      <c r="P287" s="13"/>
      <c r="Q287" s="13"/>
      <c r="R287" s="13"/>
      <c r="S287" s="13"/>
      <c r="T287" s="13"/>
      <c r="U287" s="13"/>
      <c r="V287" s="13"/>
      <c r="W287" s="13"/>
      <c r="X287" s="13"/>
      <c r="Y287" s="13"/>
      <c r="Z287" s="13"/>
      <c r="AA287" s="13"/>
    </row>
    <row r="288" ht="16.5" customHeight="1">
      <c r="A288" s="10"/>
      <c r="B288" s="10"/>
      <c r="C288" s="13"/>
      <c r="D288" s="13"/>
      <c r="E288" s="13"/>
      <c r="F288" s="185"/>
      <c r="G288" s="13"/>
      <c r="H288" s="13"/>
      <c r="I288" s="13"/>
      <c r="J288" s="13"/>
      <c r="K288" s="13"/>
      <c r="L288" s="13"/>
      <c r="M288" s="13"/>
      <c r="N288" s="13"/>
      <c r="O288" s="13"/>
      <c r="P288" s="13"/>
      <c r="Q288" s="13"/>
      <c r="R288" s="13"/>
      <c r="S288" s="13"/>
      <c r="T288" s="13"/>
      <c r="U288" s="13"/>
      <c r="V288" s="13"/>
      <c r="W288" s="13"/>
      <c r="X288" s="13"/>
      <c r="Y288" s="13"/>
      <c r="Z288" s="13"/>
      <c r="AA288" s="13"/>
    </row>
    <row r="289" ht="16.5" customHeight="1">
      <c r="A289" s="10"/>
      <c r="B289" s="10"/>
      <c r="C289" s="13"/>
      <c r="D289" s="13"/>
      <c r="E289" s="13"/>
      <c r="F289" s="185"/>
      <c r="G289" s="13"/>
      <c r="H289" s="13"/>
      <c r="I289" s="13"/>
      <c r="J289" s="13"/>
      <c r="K289" s="13"/>
      <c r="L289" s="13"/>
      <c r="M289" s="13"/>
      <c r="N289" s="13"/>
      <c r="O289" s="13"/>
      <c r="P289" s="13"/>
      <c r="Q289" s="13"/>
      <c r="R289" s="13"/>
      <c r="S289" s="13"/>
      <c r="T289" s="13"/>
      <c r="U289" s="13"/>
      <c r="V289" s="13"/>
      <c r="W289" s="13"/>
      <c r="X289" s="13"/>
      <c r="Y289" s="13"/>
      <c r="Z289" s="13"/>
      <c r="AA289" s="13"/>
    </row>
    <row r="290" ht="16.5" customHeight="1">
      <c r="A290" s="10"/>
      <c r="B290" s="10"/>
      <c r="C290" s="13"/>
      <c r="D290" s="13"/>
      <c r="E290" s="13"/>
      <c r="F290" s="185"/>
      <c r="G290" s="13"/>
      <c r="H290" s="13"/>
      <c r="I290" s="13"/>
      <c r="J290" s="13"/>
      <c r="K290" s="13"/>
      <c r="L290" s="13"/>
      <c r="M290" s="13"/>
      <c r="N290" s="13"/>
      <c r="O290" s="13"/>
      <c r="P290" s="13"/>
      <c r="Q290" s="13"/>
      <c r="R290" s="13"/>
      <c r="S290" s="13"/>
      <c r="T290" s="13"/>
      <c r="U290" s="13"/>
      <c r="V290" s="13"/>
      <c r="W290" s="13"/>
      <c r="X290" s="13"/>
      <c r="Y290" s="13"/>
      <c r="Z290" s="13"/>
      <c r="AA290" s="13"/>
    </row>
    <row r="291" ht="16.5" customHeight="1">
      <c r="A291" s="10"/>
      <c r="B291" s="10"/>
      <c r="C291" s="13"/>
      <c r="D291" s="13"/>
      <c r="E291" s="13"/>
      <c r="F291" s="185"/>
      <c r="G291" s="13"/>
      <c r="H291" s="13"/>
      <c r="I291" s="13"/>
      <c r="J291" s="13"/>
      <c r="K291" s="13"/>
      <c r="L291" s="13"/>
      <c r="M291" s="13"/>
      <c r="N291" s="13"/>
      <c r="O291" s="13"/>
      <c r="P291" s="13"/>
      <c r="Q291" s="13"/>
      <c r="R291" s="13"/>
      <c r="S291" s="13"/>
      <c r="T291" s="13"/>
      <c r="U291" s="13"/>
      <c r="V291" s="13"/>
      <c r="W291" s="13"/>
      <c r="X291" s="13"/>
      <c r="Y291" s="13"/>
      <c r="Z291" s="13"/>
      <c r="AA291" s="13"/>
    </row>
    <row r="292" ht="16.5" customHeight="1">
      <c r="A292" s="10"/>
      <c r="B292" s="10"/>
      <c r="C292" s="13"/>
      <c r="D292" s="13"/>
      <c r="E292" s="13"/>
      <c r="F292" s="185"/>
      <c r="G292" s="13"/>
      <c r="H292" s="13"/>
      <c r="I292" s="13"/>
      <c r="J292" s="13"/>
      <c r="K292" s="13"/>
      <c r="L292" s="13"/>
      <c r="M292" s="13"/>
      <c r="N292" s="13"/>
      <c r="O292" s="13"/>
      <c r="P292" s="13"/>
      <c r="Q292" s="13"/>
      <c r="R292" s="13"/>
      <c r="S292" s="13"/>
      <c r="T292" s="13"/>
      <c r="U292" s="13"/>
      <c r="V292" s="13"/>
      <c r="W292" s="13"/>
      <c r="X292" s="13"/>
      <c r="Y292" s="13"/>
      <c r="Z292" s="13"/>
      <c r="AA292" s="13"/>
    </row>
    <row r="293" ht="16.5" customHeight="1">
      <c r="A293" s="10"/>
      <c r="B293" s="10"/>
      <c r="C293" s="13"/>
      <c r="D293" s="13"/>
      <c r="E293" s="13"/>
      <c r="F293" s="185"/>
      <c r="G293" s="13"/>
      <c r="H293" s="13"/>
      <c r="I293" s="13"/>
      <c r="J293" s="13"/>
      <c r="K293" s="13"/>
      <c r="L293" s="13"/>
      <c r="M293" s="13"/>
      <c r="N293" s="13"/>
      <c r="O293" s="13"/>
      <c r="P293" s="13"/>
      <c r="Q293" s="13"/>
      <c r="R293" s="13"/>
      <c r="S293" s="13"/>
      <c r="T293" s="13"/>
      <c r="U293" s="13"/>
      <c r="V293" s="13"/>
      <c r="W293" s="13"/>
      <c r="X293" s="13"/>
      <c r="Y293" s="13"/>
      <c r="Z293" s="13"/>
      <c r="AA293" s="13"/>
    </row>
    <row r="294" ht="16.5" customHeight="1">
      <c r="A294" s="10"/>
      <c r="B294" s="10"/>
      <c r="C294" s="13"/>
      <c r="D294" s="13"/>
      <c r="E294" s="13"/>
      <c r="F294" s="185"/>
      <c r="G294" s="13"/>
      <c r="H294" s="13"/>
      <c r="I294" s="13"/>
      <c r="J294" s="13"/>
      <c r="K294" s="13"/>
      <c r="L294" s="13"/>
      <c r="M294" s="13"/>
      <c r="N294" s="13"/>
      <c r="O294" s="13"/>
      <c r="P294" s="13"/>
      <c r="Q294" s="13"/>
      <c r="R294" s="13"/>
      <c r="S294" s="13"/>
      <c r="T294" s="13"/>
      <c r="U294" s="13"/>
      <c r="V294" s="13"/>
      <c r="W294" s="13"/>
      <c r="X294" s="13"/>
      <c r="Y294" s="13"/>
      <c r="Z294" s="13"/>
      <c r="AA294" s="13"/>
    </row>
    <row r="295" ht="16.5" customHeight="1">
      <c r="A295" s="10"/>
      <c r="B295" s="10"/>
      <c r="C295" s="13"/>
      <c r="D295" s="13"/>
      <c r="E295" s="13"/>
      <c r="F295" s="185"/>
      <c r="G295" s="13"/>
      <c r="H295" s="13"/>
      <c r="I295" s="13"/>
      <c r="J295" s="13"/>
      <c r="K295" s="13"/>
      <c r="L295" s="13"/>
      <c r="M295" s="13"/>
      <c r="N295" s="13"/>
      <c r="O295" s="13"/>
      <c r="P295" s="13"/>
      <c r="Q295" s="13"/>
      <c r="R295" s="13"/>
      <c r="S295" s="13"/>
      <c r="T295" s="13"/>
      <c r="U295" s="13"/>
      <c r="V295" s="13"/>
      <c r="W295" s="13"/>
      <c r="X295" s="13"/>
      <c r="Y295" s="13"/>
      <c r="Z295" s="13"/>
      <c r="AA295" s="13"/>
    </row>
    <row r="296" ht="16.5" customHeight="1">
      <c r="A296" s="10"/>
      <c r="B296" s="10"/>
      <c r="C296" s="13"/>
      <c r="D296" s="13"/>
      <c r="E296" s="13"/>
      <c r="F296" s="185"/>
      <c r="G296" s="13"/>
      <c r="H296" s="13"/>
      <c r="I296" s="13"/>
      <c r="J296" s="13"/>
      <c r="K296" s="13"/>
      <c r="L296" s="13"/>
      <c r="M296" s="13"/>
      <c r="N296" s="13"/>
      <c r="O296" s="13"/>
      <c r="P296" s="13"/>
      <c r="Q296" s="13"/>
      <c r="R296" s="13"/>
      <c r="S296" s="13"/>
      <c r="T296" s="13"/>
      <c r="U296" s="13"/>
      <c r="V296" s="13"/>
      <c r="W296" s="13"/>
      <c r="X296" s="13"/>
      <c r="Y296" s="13"/>
      <c r="Z296" s="13"/>
      <c r="AA296" s="13"/>
    </row>
    <row r="297" ht="16.5" customHeight="1">
      <c r="A297" s="10"/>
      <c r="B297" s="10"/>
      <c r="C297" s="13"/>
      <c r="D297" s="13"/>
      <c r="E297" s="13"/>
      <c r="F297" s="185"/>
      <c r="G297" s="13"/>
      <c r="H297" s="13"/>
      <c r="I297" s="13"/>
      <c r="J297" s="13"/>
      <c r="K297" s="13"/>
      <c r="L297" s="13"/>
      <c r="M297" s="13"/>
      <c r="N297" s="13"/>
      <c r="O297" s="13"/>
      <c r="P297" s="13"/>
      <c r="Q297" s="13"/>
      <c r="R297" s="13"/>
      <c r="S297" s="13"/>
      <c r="T297" s="13"/>
      <c r="U297" s="13"/>
      <c r="V297" s="13"/>
      <c r="W297" s="13"/>
      <c r="X297" s="13"/>
      <c r="Y297" s="13"/>
      <c r="Z297" s="13"/>
      <c r="AA297" s="13"/>
    </row>
    <row r="298" ht="16.5" customHeight="1">
      <c r="A298" s="10"/>
      <c r="B298" s="10"/>
      <c r="C298" s="13"/>
      <c r="D298" s="13"/>
      <c r="E298" s="13"/>
      <c r="F298" s="185"/>
      <c r="G298" s="13"/>
      <c r="H298" s="13"/>
      <c r="I298" s="13"/>
      <c r="J298" s="13"/>
      <c r="K298" s="13"/>
      <c r="L298" s="13"/>
      <c r="M298" s="13"/>
      <c r="N298" s="13"/>
      <c r="O298" s="13"/>
      <c r="P298" s="13"/>
      <c r="Q298" s="13"/>
      <c r="R298" s="13"/>
      <c r="S298" s="13"/>
      <c r="T298" s="13"/>
      <c r="U298" s="13"/>
      <c r="V298" s="13"/>
      <c r="W298" s="13"/>
      <c r="X298" s="13"/>
      <c r="Y298" s="13"/>
      <c r="Z298" s="13"/>
      <c r="AA298" s="13"/>
    </row>
    <row r="299" ht="16.5" customHeight="1">
      <c r="A299" s="10"/>
      <c r="B299" s="10"/>
      <c r="C299" s="13"/>
      <c r="D299" s="13"/>
      <c r="E299" s="13"/>
      <c r="F299" s="185"/>
      <c r="G299" s="13"/>
      <c r="H299" s="13"/>
      <c r="I299" s="13"/>
      <c r="J299" s="13"/>
      <c r="K299" s="13"/>
      <c r="L299" s="13"/>
      <c r="M299" s="13"/>
      <c r="N299" s="13"/>
      <c r="O299" s="13"/>
      <c r="P299" s="13"/>
      <c r="Q299" s="13"/>
      <c r="R299" s="13"/>
      <c r="S299" s="13"/>
      <c r="T299" s="13"/>
      <c r="U299" s="13"/>
      <c r="V299" s="13"/>
      <c r="W299" s="13"/>
      <c r="X299" s="13"/>
      <c r="Y299" s="13"/>
      <c r="Z299" s="13"/>
      <c r="AA299" s="13"/>
    </row>
    <row r="300" ht="16.5" customHeight="1">
      <c r="A300" s="10"/>
      <c r="B300" s="10"/>
      <c r="C300" s="13"/>
      <c r="D300" s="13"/>
      <c r="E300" s="13"/>
      <c r="F300" s="185"/>
      <c r="G300" s="13"/>
      <c r="H300" s="13"/>
      <c r="I300" s="13"/>
      <c r="J300" s="13"/>
      <c r="K300" s="13"/>
      <c r="L300" s="13"/>
      <c r="M300" s="13"/>
      <c r="N300" s="13"/>
      <c r="O300" s="13"/>
      <c r="P300" s="13"/>
      <c r="Q300" s="13"/>
      <c r="R300" s="13"/>
      <c r="S300" s="13"/>
      <c r="T300" s="13"/>
      <c r="U300" s="13"/>
      <c r="V300" s="13"/>
      <c r="W300" s="13"/>
      <c r="X300" s="13"/>
      <c r="Y300" s="13"/>
      <c r="Z300" s="13"/>
      <c r="AA300" s="13"/>
    </row>
    <row r="301" ht="16.5" customHeight="1">
      <c r="A301" s="10"/>
      <c r="B301" s="10"/>
      <c r="C301" s="13"/>
      <c r="D301" s="13"/>
      <c r="E301" s="13"/>
      <c r="F301" s="185"/>
      <c r="G301" s="13"/>
      <c r="H301" s="13"/>
      <c r="I301" s="13"/>
      <c r="J301" s="13"/>
      <c r="K301" s="13"/>
      <c r="L301" s="13"/>
      <c r="M301" s="13"/>
      <c r="N301" s="13"/>
      <c r="O301" s="13"/>
      <c r="P301" s="13"/>
      <c r="Q301" s="13"/>
      <c r="R301" s="13"/>
      <c r="S301" s="13"/>
      <c r="T301" s="13"/>
      <c r="U301" s="13"/>
      <c r="V301" s="13"/>
      <c r="W301" s="13"/>
      <c r="X301" s="13"/>
      <c r="Y301" s="13"/>
      <c r="Z301" s="13"/>
      <c r="AA301" s="13"/>
    </row>
    <row r="302" ht="16.5" customHeight="1">
      <c r="A302" s="10"/>
      <c r="B302" s="10"/>
      <c r="C302" s="13"/>
      <c r="D302" s="13"/>
      <c r="E302" s="13"/>
      <c r="F302" s="185"/>
      <c r="G302" s="13"/>
      <c r="H302" s="13"/>
      <c r="I302" s="13"/>
      <c r="J302" s="13"/>
      <c r="K302" s="13"/>
      <c r="L302" s="13"/>
      <c r="M302" s="13"/>
      <c r="N302" s="13"/>
      <c r="O302" s="13"/>
      <c r="P302" s="13"/>
      <c r="Q302" s="13"/>
      <c r="R302" s="13"/>
      <c r="S302" s="13"/>
      <c r="T302" s="13"/>
      <c r="U302" s="13"/>
      <c r="V302" s="13"/>
      <c r="W302" s="13"/>
      <c r="X302" s="13"/>
      <c r="Y302" s="13"/>
      <c r="Z302" s="13"/>
      <c r="AA302" s="13"/>
    </row>
    <row r="303" ht="16.5" customHeight="1">
      <c r="A303" s="10"/>
      <c r="B303" s="10"/>
      <c r="C303" s="13"/>
      <c r="D303" s="13"/>
      <c r="E303" s="13"/>
      <c r="F303" s="185"/>
      <c r="G303" s="13"/>
      <c r="H303" s="13"/>
      <c r="I303" s="13"/>
      <c r="J303" s="13"/>
      <c r="K303" s="13"/>
      <c r="L303" s="13"/>
      <c r="M303" s="13"/>
      <c r="N303" s="13"/>
      <c r="O303" s="13"/>
      <c r="P303" s="13"/>
      <c r="Q303" s="13"/>
      <c r="R303" s="13"/>
      <c r="S303" s="13"/>
      <c r="T303" s="13"/>
      <c r="U303" s="13"/>
      <c r="V303" s="13"/>
      <c r="W303" s="13"/>
      <c r="X303" s="13"/>
      <c r="Y303" s="13"/>
      <c r="Z303" s="13"/>
      <c r="AA303" s="13"/>
    </row>
    <row r="304" ht="16.5" customHeight="1">
      <c r="A304" s="10"/>
      <c r="B304" s="10"/>
      <c r="C304" s="13"/>
      <c r="D304" s="13"/>
      <c r="E304" s="13"/>
      <c r="F304" s="185"/>
      <c r="G304" s="13"/>
      <c r="H304" s="13"/>
      <c r="I304" s="13"/>
      <c r="J304" s="13"/>
      <c r="K304" s="13"/>
      <c r="L304" s="13"/>
      <c r="M304" s="13"/>
      <c r="N304" s="13"/>
      <c r="O304" s="13"/>
      <c r="P304" s="13"/>
      <c r="Q304" s="13"/>
      <c r="R304" s="13"/>
      <c r="S304" s="13"/>
      <c r="T304" s="13"/>
      <c r="U304" s="13"/>
      <c r="V304" s="13"/>
      <c r="W304" s="13"/>
      <c r="X304" s="13"/>
      <c r="Y304" s="13"/>
      <c r="Z304" s="13"/>
      <c r="AA304" s="13"/>
    </row>
    <row r="305" ht="16.5" customHeight="1">
      <c r="A305" s="10"/>
      <c r="B305" s="10"/>
      <c r="C305" s="13"/>
      <c r="D305" s="13"/>
      <c r="E305" s="13"/>
      <c r="F305" s="185"/>
      <c r="G305" s="13"/>
      <c r="H305" s="13"/>
      <c r="I305" s="13"/>
      <c r="J305" s="13"/>
      <c r="K305" s="13"/>
      <c r="L305" s="13"/>
      <c r="M305" s="13"/>
      <c r="N305" s="13"/>
      <c r="O305" s="13"/>
      <c r="P305" s="13"/>
      <c r="Q305" s="13"/>
      <c r="R305" s="13"/>
      <c r="S305" s="13"/>
      <c r="T305" s="13"/>
      <c r="U305" s="13"/>
      <c r="V305" s="13"/>
      <c r="W305" s="13"/>
      <c r="X305" s="13"/>
      <c r="Y305" s="13"/>
      <c r="Z305" s="13"/>
      <c r="AA305" s="13"/>
    </row>
    <row r="306" ht="16.5" customHeight="1">
      <c r="A306" s="10"/>
      <c r="B306" s="10"/>
      <c r="C306" s="13"/>
      <c r="D306" s="13"/>
      <c r="E306" s="13"/>
      <c r="F306" s="185"/>
      <c r="G306" s="13"/>
      <c r="H306" s="13"/>
      <c r="I306" s="13"/>
      <c r="J306" s="13"/>
      <c r="K306" s="13"/>
      <c r="L306" s="13"/>
      <c r="M306" s="13"/>
      <c r="N306" s="13"/>
      <c r="O306" s="13"/>
      <c r="P306" s="13"/>
      <c r="Q306" s="13"/>
      <c r="R306" s="13"/>
      <c r="S306" s="13"/>
      <c r="T306" s="13"/>
      <c r="U306" s="13"/>
      <c r="V306" s="13"/>
      <c r="W306" s="13"/>
      <c r="X306" s="13"/>
      <c r="Y306" s="13"/>
      <c r="Z306" s="13"/>
      <c r="AA306" s="13"/>
    </row>
    <row r="307" ht="16.5" customHeight="1">
      <c r="A307" s="10"/>
      <c r="B307" s="10"/>
      <c r="C307" s="13"/>
      <c r="D307" s="13"/>
      <c r="E307" s="13"/>
      <c r="F307" s="185"/>
      <c r="G307" s="13"/>
      <c r="H307" s="13"/>
      <c r="I307" s="13"/>
      <c r="J307" s="13"/>
      <c r="K307" s="13"/>
      <c r="L307" s="13"/>
      <c r="M307" s="13"/>
      <c r="N307" s="13"/>
      <c r="O307" s="13"/>
      <c r="P307" s="13"/>
      <c r="Q307" s="13"/>
      <c r="R307" s="13"/>
      <c r="S307" s="13"/>
      <c r="T307" s="13"/>
      <c r="U307" s="13"/>
      <c r="V307" s="13"/>
      <c r="W307" s="13"/>
      <c r="X307" s="13"/>
      <c r="Y307" s="13"/>
      <c r="Z307" s="13"/>
      <c r="AA307" s="13"/>
    </row>
    <row r="308" ht="16.5" customHeight="1">
      <c r="A308" s="10"/>
      <c r="B308" s="10"/>
      <c r="C308" s="13"/>
      <c r="D308" s="13"/>
      <c r="E308" s="13"/>
      <c r="F308" s="185"/>
      <c r="G308" s="13"/>
      <c r="H308" s="13"/>
      <c r="I308" s="13"/>
      <c r="J308" s="13"/>
      <c r="K308" s="13"/>
      <c r="L308" s="13"/>
      <c r="M308" s="13"/>
      <c r="N308" s="13"/>
      <c r="O308" s="13"/>
      <c r="P308" s="13"/>
      <c r="Q308" s="13"/>
      <c r="R308" s="13"/>
      <c r="S308" s="13"/>
      <c r="T308" s="13"/>
      <c r="U308" s="13"/>
      <c r="V308" s="13"/>
      <c r="W308" s="13"/>
      <c r="X308" s="13"/>
      <c r="Y308" s="13"/>
      <c r="Z308" s="13"/>
      <c r="AA308" s="13"/>
    </row>
    <row r="309" ht="16.5" customHeight="1">
      <c r="A309" s="10"/>
      <c r="B309" s="10"/>
      <c r="C309" s="13"/>
      <c r="D309" s="13"/>
      <c r="E309" s="13"/>
      <c r="F309" s="185"/>
      <c r="G309" s="13"/>
      <c r="H309" s="13"/>
      <c r="I309" s="13"/>
      <c r="J309" s="13"/>
      <c r="K309" s="13"/>
      <c r="L309" s="13"/>
      <c r="M309" s="13"/>
      <c r="N309" s="13"/>
      <c r="O309" s="13"/>
      <c r="P309" s="13"/>
      <c r="Q309" s="13"/>
      <c r="R309" s="13"/>
      <c r="S309" s="13"/>
      <c r="T309" s="13"/>
      <c r="U309" s="13"/>
      <c r="V309" s="13"/>
      <c r="W309" s="13"/>
      <c r="X309" s="13"/>
      <c r="Y309" s="13"/>
      <c r="Z309" s="13"/>
      <c r="AA309" s="13"/>
    </row>
    <row r="310" ht="16.5" customHeight="1">
      <c r="A310" s="10"/>
      <c r="B310" s="10"/>
      <c r="C310" s="13"/>
      <c r="D310" s="13"/>
      <c r="E310" s="13"/>
      <c r="F310" s="185"/>
      <c r="G310" s="13"/>
      <c r="H310" s="13"/>
      <c r="I310" s="13"/>
      <c r="J310" s="13"/>
      <c r="K310" s="13"/>
      <c r="L310" s="13"/>
      <c r="M310" s="13"/>
      <c r="N310" s="13"/>
      <c r="O310" s="13"/>
      <c r="P310" s="13"/>
      <c r="Q310" s="13"/>
      <c r="R310" s="13"/>
      <c r="S310" s="13"/>
      <c r="T310" s="13"/>
      <c r="U310" s="13"/>
      <c r="V310" s="13"/>
      <c r="W310" s="13"/>
      <c r="X310" s="13"/>
      <c r="Y310" s="13"/>
      <c r="Z310" s="13"/>
      <c r="AA310" s="13"/>
    </row>
    <row r="311" ht="16.5" customHeight="1">
      <c r="A311" s="10"/>
      <c r="B311" s="10"/>
      <c r="C311" s="13"/>
      <c r="D311" s="13"/>
      <c r="E311" s="13"/>
      <c r="F311" s="185"/>
      <c r="G311" s="13"/>
      <c r="H311" s="13"/>
      <c r="I311" s="13"/>
      <c r="J311" s="13"/>
      <c r="K311" s="13"/>
      <c r="L311" s="13"/>
      <c r="M311" s="13"/>
      <c r="N311" s="13"/>
      <c r="O311" s="13"/>
      <c r="P311" s="13"/>
      <c r="Q311" s="13"/>
      <c r="R311" s="13"/>
      <c r="S311" s="13"/>
      <c r="T311" s="13"/>
      <c r="U311" s="13"/>
      <c r="V311" s="13"/>
      <c r="W311" s="13"/>
      <c r="X311" s="13"/>
      <c r="Y311" s="13"/>
      <c r="Z311" s="13"/>
      <c r="AA311" s="13"/>
    </row>
    <row r="312" ht="16.5" customHeight="1">
      <c r="A312" s="10"/>
      <c r="B312" s="10"/>
      <c r="C312" s="13"/>
      <c r="D312" s="13"/>
      <c r="E312" s="13"/>
      <c r="F312" s="185"/>
      <c r="G312" s="13"/>
      <c r="H312" s="13"/>
      <c r="I312" s="13"/>
      <c r="J312" s="13"/>
      <c r="K312" s="13"/>
      <c r="L312" s="13"/>
      <c r="M312" s="13"/>
      <c r="N312" s="13"/>
      <c r="O312" s="13"/>
      <c r="P312" s="13"/>
      <c r="Q312" s="13"/>
      <c r="R312" s="13"/>
      <c r="S312" s="13"/>
      <c r="T312" s="13"/>
      <c r="U312" s="13"/>
      <c r="V312" s="13"/>
      <c r="W312" s="13"/>
      <c r="X312" s="13"/>
      <c r="Y312" s="13"/>
      <c r="Z312" s="13"/>
      <c r="AA312" s="13"/>
    </row>
    <row r="313" ht="16.5" customHeight="1">
      <c r="A313" s="10"/>
      <c r="B313" s="10"/>
      <c r="C313" s="13"/>
      <c r="D313" s="13"/>
      <c r="E313" s="13"/>
      <c r="F313" s="185"/>
      <c r="G313" s="13"/>
      <c r="H313" s="13"/>
      <c r="I313" s="13"/>
      <c r="J313" s="13"/>
      <c r="K313" s="13"/>
      <c r="L313" s="13"/>
      <c r="M313" s="13"/>
      <c r="N313" s="13"/>
      <c r="O313" s="13"/>
      <c r="P313" s="13"/>
      <c r="Q313" s="13"/>
      <c r="R313" s="13"/>
      <c r="S313" s="13"/>
      <c r="T313" s="13"/>
      <c r="U313" s="13"/>
      <c r="V313" s="13"/>
      <c r="W313" s="13"/>
      <c r="X313" s="13"/>
      <c r="Y313" s="13"/>
      <c r="Z313" s="13"/>
      <c r="AA313" s="13"/>
    </row>
    <row r="314" ht="16.5" customHeight="1">
      <c r="A314" s="10"/>
      <c r="B314" s="10"/>
      <c r="C314" s="13"/>
      <c r="D314" s="13"/>
      <c r="E314" s="13"/>
      <c r="F314" s="185"/>
      <c r="G314" s="13"/>
      <c r="H314" s="13"/>
      <c r="I314" s="13"/>
      <c r="J314" s="13"/>
      <c r="K314" s="13"/>
      <c r="L314" s="13"/>
      <c r="M314" s="13"/>
      <c r="N314" s="13"/>
      <c r="O314" s="13"/>
      <c r="P314" s="13"/>
      <c r="Q314" s="13"/>
      <c r="R314" s="13"/>
      <c r="S314" s="13"/>
      <c r="T314" s="13"/>
      <c r="U314" s="13"/>
      <c r="V314" s="13"/>
      <c r="W314" s="13"/>
      <c r="X314" s="13"/>
      <c r="Y314" s="13"/>
      <c r="Z314" s="13"/>
      <c r="AA314" s="13"/>
    </row>
    <row r="315" ht="16.5" customHeight="1">
      <c r="A315" s="10"/>
      <c r="B315" s="10"/>
      <c r="C315" s="13"/>
      <c r="D315" s="13"/>
      <c r="E315" s="13"/>
      <c r="F315" s="185"/>
      <c r="G315" s="13"/>
      <c r="H315" s="13"/>
      <c r="I315" s="13"/>
      <c r="J315" s="13"/>
      <c r="K315" s="13"/>
      <c r="L315" s="13"/>
      <c r="M315" s="13"/>
      <c r="N315" s="13"/>
      <c r="O315" s="13"/>
      <c r="P315" s="13"/>
      <c r="Q315" s="13"/>
      <c r="R315" s="13"/>
      <c r="S315" s="13"/>
      <c r="T315" s="13"/>
      <c r="U315" s="13"/>
      <c r="V315" s="13"/>
      <c r="W315" s="13"/>
      <c r="X315" s="13"/>
      <c r="Y315" s="13"/>
      <c r="Z315" s="13"/>
      <c r="AA315" s="13"/>
    </row>
    <row r="316" ht="16.5" customHeight="1">
      <c r="A316" s="10"/>
      <c r="B316" s="10"/>
      <c r="C316" s="13"/>
      <c r="D316" s="13"/>
      <c r="E316" s="13"/>
      <c r="F316" s="185"/>
      <c r="G316" s="13"/>
      <c r="H316" s="13"/>
      <c r="I316" s="13"/>
      <c r="J316" s="13"/>
      <c r="K316" s="13"/>
      <c r="L316" s="13"/>
      <c r="M316" s="13"/>
      <c r="N316" s="13"/>
      <c r="O316" s="13"/>
      <c r="P316" s="13"/>
      <c r="Q316" s="13"/>
      <c r="R316" s="13"/>
      <c r="S316" s="13"/>
      <c r="T316" s="13"/>
      <c r="U316" s="13"/>
      <c r="V316" s="13"/>
      <c r="W316" s="13"/>
      <c r="X316" s="13"/>
      <c r="Y316" s="13"/>
      <c r="Z316" s="13"/>
      <c r="AA316" s="13"/>
    </row>
    <row r="317" ht="16.5" customHeight="1">
      <c r="A317" s="10"/>
      <c r="B317" s="10"/>
      <c r="C317" s="13"/>
      <c r="D317" s="13"/>
      <c r="E317" s="13"/>
      <c r="F317" s="185"/>
      <c r="G317" s="13"/>
      <c r="H317" s="13"/>
      <c r="I317" s="13"/>
      <c r="J317" s="13"/>
      <c r="K317" s="13"/>
      <c r="L317" s="13"/>
      <c r="M317" s="13"/>
      <c r="N317" s="13"/>
      <c r="O317" s="13"/>
      <c r="P317" s="13"/>
      <c r="Q317" s="13"/>
      <c r="R317" s="13"/>
      <c r="S317" s="13"/>
      <c r="T317" s="13"/>
      <c r="U317" s="13"/>
      <c r="V317" s="13"/>
      <c r="W317" s="13"/>
      <c r="X317" s="13"/>
      <c r="Y317" s="13"/>
      <c r="Z317" s="13"/>
      <c r="AA317" s="13"/>
    </row>
    <row r="318" ht="16.5" customHeight="1">
      <c r="A318" s="10"/>
      <c r="B318" s="10"/>
      <c r="C318" s="13"/>
      <c r="D318" s="13"/>
      <c r="E318" s="13"/>
      <c r="F318" s="185"/>
      <c r="G318" s="13"/>
      <c r="H318" s="13"/>
      <c r="I318" s="13"/>
      <c r="J318" s="13"/>
      <c r="K318" s="13"/>
      <c r="L318" s="13"/>
      <c r="M318" s="13"/>
      <c r="N318" s="13"/>
      <c r="O318" s="13"/>
      <c r="P318" s="13"/>
      <c r="Q318" s="13"/>
      <c r="R318" s="13"/>
      <c r="S318" s="13"/>
      <c r="T318" s="13"/>
      <c r="U318" s="13"/>
      <c r="V318" s="13"/>
      <c r="W318" s="13"/>
      <c r="X318" s="13"/>
      <c r="Y318" s="13"/>
      <c r="Z318" s="13"/>
      <c r="AA318" s="13"/>
    </row>
    <row r="319" ht="16.5" customHeight="1">
      <c r="A319" s="10"/>
      <c r="B319" s="10"/>
      <c r="C319" s="13"/>
      <c r="D319" s="13"/>
      <c r="E319" s="13"/>
      <c r="F319" s="185"/>
      <c r="G319" s="13"/>
      <c r="H319" s="13"/>
      <c r="I319" s="13"/>
      <c r="J319" s="13"/>
      <c r="K319" s="13"/>
      <c r="L319" s="13"/>
      <c r="M319" s="13"/>
      <c r="N319" s="13"/>
      <c r="O319" s="13"/>
      <c r="P319" s="13"/>
      <c r="Q319" s="13"/>
      <c r="R319" s="13"/>
      <c r="S319" s="13"/>
      <c r="T319" s="13"/>
      <c r="U319" s="13"/>
      <c r="V319" s="13"/>
      <c r="W319" s="13"/>
      <c r="X319" s="13"/>
      <c r="Y319" s="13"/>
      <c r="Z319" s="13"/>
      <c r="AA319" s="13"/>
    </row>
    <row r="320" ht="16.5" customHeight="1">
      <c r="A320" s="10"/>
      <c r="B320" s="10"/>
      <c r="C320" s="13"/>
      <c r="D320" s="13"/>
      <c r="E320" s="13"/>
      <c r="F320" s="185"/>
      <c r="G320" s="13"/>
      <c r="H320" s="13"/>
      <c r="I320" s="13"/>
      <c r="J320" s="13"/>
      <c r="K320" s="13"/>
      <c r="L320" s="13"/>
      <c r="M320" s="13"/>
      <c r="N320" s="13"/>
      <c r="O320" s="13"/>
      <c r="P320" s="13"/>
      <c r="Q320" s="13"/>
      <c r="R320" s="13"/>
      <c r="S320" s="13"/>
      <c r="T320" s="13"/>
      <c r="U320" s="13"/>
      <c r="V320" s="13"/>
      <c r="W320" s="13"/>
      <c r="X320" s="13"/>
      <c r="Y320" s="13"/>
      <c r="Z320" s="13"/>
      <c r="AA320" s="13"/>
    </row>
    <row r="321" ht="16.5" customHeight="1">
      <c r="A321" s="10"/>
      <c r="B321" s="10"/>
      <c r="C321" s="13"/>
      <c r="D321" s="13"/>
      <c r="E321" s="13"/>
      <c r="F321" s="185"/>
      <c r="G321" s="13"/>
      <c r="H321" s="13"/>
      <c r="I321" s="13"/>
      <c r="J321" s="13"/>
      <c r="K321" s="13"/>
      <c r="L321" s="13"/>
      <c r="M321" s="13"/>
      <c r="N321" s="13"/>
      <c r="O321" s="13"/>
      <c r="P321" s="13"/>
      <c r="Q321" s="13"/>
      <c r="R321" s="13"/>
      <c r="S321" s="13"/>
      <c r="T321" s="13"/>
      <c r="U321" s="13"/>
      <c r="V321" s="13"/>
      <c r="W321" s="13"/>
      <c r="X321" s="13"/>
      <c r="Y321" s="13"/>
      <c r="Z321" s="13"/>
      <c r="AA321" s="13"/>
    </row>
    <row r="322" ht="16.5" customHeight="1">
      <c r="A322" s="10"/>
      <c r="B322" s="10"/>
      <c r="C322" s="13"/>
      <c r="D322" s="13"/>
      <c r="E322" s="13"/>
      <c r="F322" s="185"/>
      <c r="G322" s="13"/>
      <c r="H322" s="13"/>
      <c r="I322" s="13"/>
      <c r="J322" s="13"/>
      <c r="K322" s="13"/>
      <c r="L322" s="13"/>
      <c r="M322" s="13"/>
      <c r="N322" s="13"/>
      <c r="O322" s="13"/>
      <c r="P322" s="13"/>
      <c r="Q322" s="13"/>
      <c r="R322" s="13"/>
      <c r="S322" s="13"/>
      <c r="T322" s="13"/>
      <c r="U322" s="13"/>
      <c r="V322" s="13"/>
      <c r="W322" s="13"/>
      <c r="X322" s="13"/>
      <c r="Y322" s="13"/>
      <c r="Z322" s="13"/>
      <c r="AA322" s="13"/>
    </row>
    <row r="323" ht="16.5" customHeight="1">
      <c r="A323" s="10"/>
      <c r="B323" s="10"/>
      <c r="C323" s="13"/>
      <c r="D323" s="13"/>
      <c r="E323" s="13"/>
      <c r="F323" s="185"/>
      <c r="G323" s="13"/>
      <c r="H323" s="13"/>
      <c r="I323" s="13"/>
      <c r="J323" s="13"/>
      <c r="K323" s="13"/>
      <c r="L323" s="13"/>
      <c r="M323" s="13"/>
      <c r="N323" s="13"/>
      <c r="O323" s="13"/>
      <c r="P323" s="13"/>
      <c r="Q323" s="13"/>
      <c r="R323" s="13"/>
      <c r="S323" s="13"/>
      <c r="T323" s="13"/>
      <c r="U323" s="13"/>
      <c r="V323" s="13"/>
      <c r="W323" s="13"/>
      <c r="X323" s="13"/>
      <c r="Y323" s="13"/>
      <c r="Z323" s="13"/>
      <c r="AA323" s="13"/>
    </row>
    <row r="324" ht="16.5" customHeight="1">
      <c r="A324" s="10"/>
      <c r="B324" s="10"/>
      <c r="C324" s="13"/>
      <c r="D324" s="13"/>
      <c r="E324" s="13"/>
      <c r="F324" s="185"/>
      <c r="G324" s="13"/>
      <c r="H324" s="13"/>
      <c r="I324" s="13"/>
      <c r="J324" s="13"/>
      <c r="K324" s="13"/>
      <c r="L324" s="13"/>
      <c r="M324" s="13"/>
      <c r="N324" s="13"/>
      <c r="O324" s="13"/>
      <c r="P324" s="13"/>
      <c r="Q324" s="13"/>
      <c r="R324" s="13"/>
      <c r="S324" s="13"/>
      <c r="T324" s="13"/>
      <c r="U324" s="13"/>
      <c r="V324" s="13"/>
      <c r="W324" s="13"/>
      <c r="X324" s="13"/>
      <c r="Y324" s="13"/>
      <c r="Z324" s="13"/>
      <c r="AA324" s="13"/>
    </row>
    <row r="325" ht="16.5" customHeight="1">
      <c r="A325" s="10"/>
      <c r="B325" s="10"/>
      <c r="C325" s="13"/>
      <c r="D325" s="13"/>
      <c r="E325" s="13"/>
      <c r="F325" s="185"/>
      <c r="G325" s="13"/>
      <c r="H325" s="13"/>
      <c r="I325" s="13"/>
      <c r="J325" s="13"/>
      <c r="K325" s="13"/>
      <c r="L325" s="13"/>
      <c r="M325" s="13"/>
      <c r="N325" s="13"/>
      <c r="O325" s="13"/>
      <c r="P325" s="13"/>
      <c r="Q325" s="13"/>
      <c r="R325" s="13"/>
      <c r="S325" s="13"/>
      <c r="T325" s="13"/>
      <c r="U325" s="13"/>
      <c r="V325" s="13"/>
      <c r="W325" s="13"/>
      <c r="X325" s="13"/>
      <c r="Y325" s="13"/>
      <c r="Z325" s="13"/>
      <c r="AA325" s="13"/>
    </row>
    <row r="326" ht="16.5" customHeight="1">
      <c r="A326" s="10"/>
      <c r="B326" s="10"/>
      <c r="C326" s="13"/>
      <c r="D326" s="13"/>
      <c r="E326" s="13"/>
      <c r="F326" s="185"/>
      <c r="G326" s="13"/>
      <c r="H326" s="13"/>
      <c r="I326" s="13"/>
      <c r="J326" s="13"/>
      <c r="K326" s="13"/>
      <c r="L326" s="13"/>
      <c r="M326" s="13"/>
      <c r="N326" s="13"/>
      <c r="O326" s="13"/>
      <c r="P326" s="13"/>
      <c r="Q326" s="13"/>
      <c r="R326" s="13"/>
      <c r="S326" s="13"/>
      <c r="T326" s="13"/>
      <c r="U326" s="13"/>
      <c r="V326" s="13"/>
      <c r="W326" s="13"/>
      <c r="X326" s="13"/>
      <c r="Y326" s="13"/>
      <c r="Z326" s="13"/>
      <c r="AA326" s="13"/>
    </row>
    <row r="327" ht="16.5" customHeight="1">
      <c r="A327" s="10"/>
      <c r="B327" s="10"/>
      <c r="C327" s="13"/>
      <c r="D327" s="13"/>
      <c r="E327" s="13"/>
      <c r="F327" s="185"/>
      <c r="G327" s="13"/>
      <c r="H327" s="13"/>
      <c r="I327" s="13"/>
      <c r="J327" s="13"/>
      <c r="K327" s="13"/>
      <c r="L327" s="13"/>
      <c r="M327" s="13"/>
      <c r="N327" s="13"/>
      <c r="O327" s="13"/>
      <c r="P327" s="13"/>
      <c r="Q327" s="13"/>
      <c r="R327" s="13"/>
      <c r="S327" s="13"/>
      <c r="T327" s="13"/>
      <c r="U327" s="13"/>
      <c r="V327" s="13"/>
      <c r="W327" s="13"/>
      <c r="X327" s="13"/>
      <c r="Y327" s="13"/>
      <c r="Z327" s="13"/>
      <c r="AA327" s="13"/>
    </row>
    <row r="328" ht="16.5" customHeight="1">
      <c r="A328" s="10"/>
      <c r="B328" s="10"/>
      <c r="C328" s="13"/>
      <c r="D328" s="13"/>
      <c r="E328" s="13"/>
      <c r="F328" s="185"/>
      <c r="G328" s="13"/>
      <c r="H328" s="13"/>
      <c r="I328" s="13"/>
      <c r="J328" s="13"/>
      <c r="K328" s="13"/>
      <c r="L328" s="13"/>
      <c r="M328" s="13"/>
      <c r="N328" s="13"/>
      <c r="O328" s="13"/>
      <c r="P328" s="13"/>
      <c r="Q328" s="13"/>
      <c r="R328" s="13"/>
      <c r="S328" s="13"/>
      <c r="T328" s="13"/>
      <c r="U328" s="13"/>
      <c r="V328" s="13"/>
      <c r="W328" s="13"/>
      <c r="X328" s="13"/>
      <c r="Y328" s="13"/>
      <c r="Z328" s="13"/>
      <c r="AA328" s="13"/>
    </row>
    <row r="329" ht="16.5" customHeight="1">
      <c r="A329" s="10"/>
      <c r="B329" s="10"/>
      <c r="C329" s="13"/>
      <c r="D329" s="13"/>
      <c r="E329" s="13"/>
      <c r="F329" s="185"/>
      <c r="G329" s="13"/>
      <c r="H329" s="13"/>
      <c r="I329" s="13"/>
      <c r="J329" s="13"/>
      <c r="K329" s="13"/>
      <c r="L329" s="13"/>
      <c r="M329" s="13"/>
      <c r="N329" s="13"/>
      <c r="O329" s="13"/>
      <c r="P329" s="13"/>
      <c r="Q329" s="13"/>
      <c r="R329" s="13"/>
      <c r="S329" s="13"/>
      <c r="T329" s="13"/>
      <c r="U329" s="13"/>
      <c r="V329" s="13"/>
      <c r="W329" s="13"/>
      <c r="X329" s="13"/>
      <c r="Y329" s="13"/>
      <c r="Z329" s="13"/>
      <c r="AA329" s="13"/>
    </row>
    <row r="330" ht="16.5" customHeight="1">
      <c r="A330" s="10"/>
      <c r="B330" s="10"/>
      <c r="C330" s="13"/>
      <c r="D330" s="13"/>
      <c r="E330" s="13"/>
      <c r="F330" s="185"/>
      <c r="G330" s="13"/>
      <c r="H330" s="13"/>
      <c r="I330" s="13"/>
      <c r="J330" s="13"/>
      <c r="K330" s="13"/>
      <c r="L330" s="13"/>
      <c r="M330" s="13"/>
      <c r="N330" s="13"/>
      <c r="O330" s="13"/>
      <c r="P330" s="13"/>
      <c r="Q330" s="13"/>
      <c r="R330" s="13"/>
      <c r="S330" s="13"/>
      <c r="T330" s="13"/>
      <c r="U330" s="13"/>
      <c r="V330" s="13"/>
      <c r="W330" s="13"/>
      <c r="X330" s="13"/>
      <c r="Y330" s="13"/>
      <c r="Z330" s="13"/>
      <c r="AA330" s="13"/>
    </row>
    <row r="331" ht="16.5" customHeight="1">
      <c r="A331" s="10"/>
      <c r="B331" s="10"/>
      <c r="C331" s="13"/>
      <c r="D331" s="13"/>
      <c r="E331" s="13"/>
      <c r="F331" s="185"/>
      <c r="G331" s="13"/>
      <c r="H331" s="13"/>
      <c r="I331" s="13"/>
      <c r="J331" s="13"/>
      <c r="K331" s="13"/>
      <c r="L331" s="13"/>
      <c r="M331" s="13"/>
      <c r="N331" s="13"/>
      <c r="O331" s="13"/>
      <c r="P331" s="13"/>
      <c r="Q331" s="13"/>
      <c r="R331" s="13"/>
      <c r="S331" s="13"/>
      <c r="T331" s="13"/>
      <c r="U331" s="13"/>
      <c r="V331" s="13"/>
      <c r="W331" s="13"/>
      <c r="X331" s="13"/>
      <c r="Y331" s="13"/>
      <c r="Z331" s="13"/>
      <c r="AA331" s="13"/>
    </row>
    <row r="332" ht="16.5" customHeight="1">
      <c r="A332" s="10"/>
      <c r="B332" s="10"/>
      <c r="C332" s="13"/>
      <c r="D332" s="13"/>
      <c r="E332" s="13"/>
      <c r="F332" s="185"/>
      <c r="G332" s="13"/>
      <c r="H332" s="13"/>
      <c r="I332" s="13"/>
      <c r="J332" s="13"/>
      <c r="K332" s="13"/>
      <c r="L332" s="13"/>
      <c r="M332" s="13"/>
      <c r="N332" s="13"/>
      <c r="O332" s="13"/>
      <c r="P332" s="13"/>
      <c r="Q332" s="13"/>
      <c r="R332" s="13"/>
      <c r="S332" s="13"/>
      <c r="T332" s="13"/>
      <c r="U332" s="13"/>
      <c r="V332" s="13"/>
      <c r="W332" s="13"/>
      <c r="X332" s="13"/>
      <c r="Y332" s="13"/>
      <c r="Z332" s="13"/>
      <c r="AA332" s="13"/>
    </row>
    <row r="333" ht="16.5" customHeight="1">
      <c r="A333" s="10"/>
      <c r="B333" s="10"/>
      <c r="C333" s="13"/>
      <c r="D333" s="13"/>
      <c r="E333" s="13"/>
      <c r="F333" s="185"/>
      <c r="G333" s="13"/>
      <c r="H333" s="13"/>
      <c r="I333" s="13"/>
      <c r="J333" s="13"/>
      <c r="K333" s="13"/>
      <c r="L333" s="13"/>
      <c r="M333" s="13"/>
      <c r="N333" s="13"/>
      <c r="O333" s="13"/>
      <c r="P333" s="13"/>
      <c r="Q333" s="13"/>
      <c r="R333" s="13"/>
      <c r="S333" s="13"/>
      <c r="T333" s="13"/>
      <c r="U333" s="13"/>
      <c r="V333" s="13"/>
      <c r="W333" s="13"/>
      <c r="X333" s="13"/>
      <c r="Y333" s="13"/>
      <c r="Z333" s="13"/>
      <c r="AA333" s="13"/>
    </row>
    <row r="334" ht="16.5" customHeight="1">
      <c r="A334" s="10"/>
      <c r="B334" s="10"/>
      <c r="C334" s="13"/>
      <c r="D334" s="13"/>
      <c r="E334" s="13"/>
      <c r="F334" s="185"/>
      <c r="G334" s="13"/>
      <c r="H334" s="13"/>
      <c r="I334" s="13"/>
      <c r="J334" s="13"/>
      <c r="K334" s="13"/>
      <c r="L334" s="13"/>
      <c r="M334" s="13"/>
      <c r="N334" s="13"/>
      <c r="O334" s="13"/>
      <c r="P334" s="13"/>
      <c r="Q334" s="13"/>
      <c r="R334" s="13"/>
      <c r="S334" s="13"/>
      <c r="T334" s="13"/>
      <c r="U334" s="13"/>
      <c r="V334" s="13"/>
      <c r="W334" s="13"/>
      <c r="X334" s="13"/>
      <c r="Y334" s="13"/>
      <c r="Z334" s="13"/>
      <c r="AA334" s="13"/>
    </row>
    <row r="335" ht="16.5" customHeight="1">
      <c r="A335" s="10"/>
      <c r="B335" s="10"/>
      <c r="C335" s="13"/>
      <c r="D335" s="13"/>
      <c r="E335" s="13"/>
      <c r="F335" s="185"/>
      <c r="G335" s="13"/>
      <c r="H335" s="13"/>
      <c r="I335" s="13"/>
      <c r="J335" s="13"/>
      <c r="K335" s="13"/>
      <c r="L335" s="13"/>
      <c r="M335" s="13"/>
      <c r="N335" s="13"/>
      <c r="O335" s="13"/>
      <c r="P335" s="13"/>
      <c r="Q335" s="13"/>
      <c r="R335" s="13"/>
      <c r="S335" s="13"/>
      <c r="T335" s="13"/>
      <c r="U335" s="13"/>
      <c r="V335" s="13"/>
      <c r="W335" s="13"/>
      <c r="X335" s="13"/>
      <c r="Y335" s="13"/>
      <c r="Z335" s="13"/>
      <c r="AA335" s="13"/>
    </row>
    <row r="336" ht="16.5" customHeight="1">
      <c r="A336" s="10"/>
      <c r="B336" s="10"/>
      <c r="C336" s="13"/>
      <c r="D336" s="13"/>
      <c r="E336" s="13"/>
      <c r="F336" s="185"/>
      <c r="G336" s="13"/>
      <c r="H336" s="13"/>
      <c r="I336" s="13"/>
      <c r="J336" s="13"/>
      <c r="K336" s="13"/>
      <c r="L336" s="13"/>
      <c r="M336" s="13"/>
      <c r="N336" s="13"/>
      <c r="O336" s="13"/>
      <c r="P336" s="13"/>
      <c r="Q336" s="13"/>
      <c r="R336" s="13"/>
      <c r="S336" s="13"/>
      <c r="T336" s="13"/>
      <c r="U336" s="13"/>
      <c r="V336" s="13"/>
      <c r="W336" s="13"/>
      <c r="X336" s="13"/>
      <c r="Y336" s="13"/>
      <c r="Z336" s="13"/>
      <c r="AA336" s="13"/>
    </row>
    <row r="337" ht="16.5" customHeight="1">
      <c r="A337" s="10"/>
      <c r="B337" s="10"/>
      <c r="C337" s="13"/>
      <c r="D337" s="13"/>
      <c r="E337" s="13"/>
      <c r="F337" s="185"/>
      <c r="G337" s="13"/>
      <c r="H337" s="13"/>
      <c r="I337" s="13"/>
      <c r="J337" s="13"/>
      <c r="K337" s="13"/>
      <c r="L337" s="13"/>
      <c r="M337" s="13"/>
      <c r="N337" s="13"/>
      <c r="O337" s="13"/>
      <c r="P337" s="13"/>
      <c r="Q337" s="13"/>
      <c r="R337" s="13"/>
      <c r="S337" s="13"/>
      <c r="T337" s="13"/>
      <c r="U337" s="13"/>
      <c r="V337" s="13"/>
      <c r="W337" s="13"/>
      <c r="X337" s="13"/>
      <c r="Y337" s="13"/>
      <c r="Z337" s="13"/>
      <c r="AA337" s="13"/>
    </row>
    <row r="338" ht="16.5" customHeight="1">
      <c r="A338" s="10"/>
      <c r="B338" s="10"/>
      <c r="C338" s="13"/>
      <c r="D338" s="13"/>
      <c r="E338" s="13"/>
      <c r="F338" s="185"/>
      <c r="G338" s="13"/>
      <c r="H338" s="13"/>
      <c r="I338" s="13"/>
      <c r="J338" s="13"/>
      <c r="K338" s="13"/>
      <c r="L338" s="13"/>
      <c r="M338" s="13"/>
      <c r="N338" s="13"/>
      <c r="O338" s="13"/>
      <c r="P338" s="13"/>
      <c r="Q338" s="13"/>
      <c r="R338" s="13"/>
      <c r="S338" s="13"/>
      <c r="T338" s="13"/>
      <c r="U338" s="13"/>
      <c r="V338" s="13"/>
      <c r="W338" s="13"/>
      <c r="X338" s="13"/>
      <c r="Y338" s="13"/>
      <c r="Z338" s="13"/>
      <c r="AA338" s="13"/>
    </row>
    <row r="339" ht="16.5" customHeight="1">
      <c r="A339" s="10"/>
      <c r="B339" s="10"/>
      <c r="C339" s="13"/>
      <c r="D339" s="13"/>
      <c r="E339" s="13"/>
      <c r="F339" s="185"/>
      <c r="G339" s="13"/>
      <c r="H339" s="13"/>
      <c r="I339" s="13"/>
      <c r="J339" s="13"/>
      <c r="K339" s="13"/>
      <c r="L339" s="13"/>
      <c r="M339" s="13"/>
      <c r="N339" s="13"/>
      <c r="O339" s="13"/>
      <c r="P339" s="13"/>
      <c r="Q339" s="13"/>
      <c r="R339" s="13"/>
      <c r="S339" s="13"/>
      <c r="T339" s="13"/>
      <c r="U339" s="13"/>
      <c r="V339" s="13"/>
      <c r="W339" s="13"/>
      <c r="X339" s="13"/>
      <c r="Y339" s="13"/>
      <c r="Z339" s="13"/>
      <c r="AA339" s="13"/>
    </row>
    <row r="340" ht="16.5" customHeight="1">
      <c r="A340" s="10"/>
      <c r="B340" s="10"/>
      <c r="C340" s="13"/>
      <c r="D340" s="13"/>
      <c r="E340" s="13"/>
      <c r="F340" s="185"/>
      <c r="G340" s="13"/>
      <c r="H340" s="13"/>
      <c r="I340" s="13"/>
      <c r="J340" s="13"/>
      <c r="K340" s="13"/>
      <c r="L340" s="13"/>
      <c r="M340" s="13"/>
      <c r="N340" s="13"/>
      <c r="O340" s="13"/>
      <c r="P340" s="13"/>
      <c r="Q340" s="13"/>
      <c r="R340" s="13"/>
      <c r="S340" s="13"/>
      <c r="T340" s="13"/>
      <c r="U340" s="13"/>
      <c r="V340" s="13"/>
      <c r="W340" s="13"/>
      <c r="X340" s="13"/>
      <c r="Y340" s="13"/>
      <c r="Z340" s="13"/>
      <c r="AA340" s="13"/>
    </row>
    <row r="341" ht="16.5" customHeight="1">
      <c r="A341" s="10"/>
      <c r="B341" s="10"/>
      <c r="C341" s="13"/>
      <c r="D341" s="13"/>
      <c r="E341" s="13"/>
      <c r="F341" s="185"/>
      <c r="G341" s="13"/>
      <c r="H341" s="13"/>
      <c r="I341" s="13"/>
      <c r="J341" s="13"/>
      <c r="K341" s="13"/>
      <c r="L341" s="13"/>
      <c r="M341" s="13"/>
      <c r="N341" s="13"/>
      <c r="O341" s="13"/>
      <c r="P341" s="13"/>
      <c r="Q341" s="13"/>
      <c r="R341" s="13"/>
      <c r="S341" s="13"/>
      <c r="T341" s="13"/>
      <c r="U341" s="13"/>
      <c r="V341" s="13"/>
      <c r="W341" s="13"/>
      <c r="X341" s="13"/>
      <c r="Y341" s="13"/>
      <c r="Z341" s="13"/>
      <c r="AA341" s="13"/>
    </row>
    <row r="342" ht="16.5" customHeight="1">
      <c r="A342" s="10"/>
      <c r="B342" s="10"/>
      <c r="C342" s="13"/>
      <c r="D342" s="13"/>
      <c r="E342" s="13"/>
      <c r="F342" s="185"/>
      <c r="G342" s="13"/>
      <c r="H342" s="13"/>
      <c r="I342" s="13"/>
      <c r="J342" s="13"/>
      <c r="K342" s="13"/>
      <c r="L342" s="13"/>
      <c r="M342" s="13"/>
      <c r="N342" s="13"/>
      <c r="O342" s="13"/>
      <c r="P342" s="13"/>
      <c r="Q342" s="13"/>
      <c r="R342" s="13"/>
      <c r="S342" s="13"/>
      <c r="T342" s="13"/>
      <c r="U342" s="13"/>
      <c r="V342" s="13"/>
      <c r="W342" s="13"/>
      <c r="X342" s="13"/>
      <c r="Y342" s="13"/>
      <c r="Z342" s="13"/>
      <c r="AA342" s="13"/>
    </row>
    <row r="343" ht="16.5" customHeight="1">
      <c r="A343" s="10"/>
      <c r="B343" s="10"/>
      <c r="C343" s="13"/>
      <c r="D343" s="13"/>
      <c r="E343" s="13"/>
      <c r="F343" s="185"/>
      <c r="G343" s="13"/>
      <c r="H343" s="13"/>
      <c r="I343" s="13"/>
      <c r="J343" s="13"/>
      <c r="K343" s="13"/>
      <c r="L343" s="13"/>
      <c r="M343" s="13"/>
      <c r="N343" s="13"/>
      <c r="O343" s="13"/>
      <c r="P343" s="13"/>
      <c r="Q343" s="13"/>
      <c r="R343" s="13"/>
      <c r="S343" s="13"/>
      <c r="T343" s="13"/>
      <c r="U343" s="13"/>
      <c r="V343" s="13"/>
      <c r="W343" s="13"/>
      <c r="X343" s="13"/>
      <c r="Y343" s="13"/>
      <c r="Z343" s="13"/>
      <c r="AA343" s="13"/>
    </row>
    <row r="344" ht="16.5" customHeight="1">
      <c r="A344" s="10"/>
      <c r="B344" s="10"/>
      <c r="C344" s="13"/>
      <c r="D344" s="13"/>
      <c r="E344" s="13"/>
      <c r="F344" s="185"/>
      <c r="G344" s="13"/>
      <c r="H344" s="13"/>
      <c r="I344" s="13"/>
      <c r="J344" s="13"/>
      <c r="K344" s="13"/>
      <c r="L344" s="13"/>
      <c r="M344" s="13"/>
      <c r="N344" s="13"/>
      <c r="O344" s="13"/>
      <c r="P344" s="13"/>
      <c r="Q344" s="13"/>
      <c r="R344" s="13"/>
      <c r="S344" s="13"/>
      <c r="T344" s="13"/>
      <c r="U344" s="13"/>
      <c r="V344" s="13"/>
      <c r="W344" s="13"/>
      <c r="X344" s="13"/>
      <c r="Y344" s="13"/>
      <c r="Z344" s="13"/>
      <c r="AA344" s="13"/>
    </row>
    <row r="345" ht="16.5" customHeight="1">
      <c r="A345" s="10"/>
      <c r="B345" s="10"/>
      <c r="C345" s="13"/>
      <c r="D345" s="13"/>
      <c r="E345" s="13"/>
      <c r="F345" s="185"/>
      <c r="G345" s="13"/>
      <c r="H345" s="13"/>
      <c r="I345" s="13"/>
      <c r="J345" s="13"/>
      <c r="K345" s="13"/>
      <c r="L345" s="13"/>
      <c r="M345" s="13"/>
      <c r="N345" s="13"/>
      <c r="O345" s="13"/>
      <c r="P345" s="13"/>
      <c r="Q345" s="13"/>
      <c r="R345" s="13"/>
      <c r="S345" s="13"/>
      <c r="T345" s="13"/>
      <c r="U345" s="13"/>
      <c r="V345" s="13"/>
      <c r="W345" s="13"/>
      <c r="X345" s="13"/>
      <c r="Y345" s="13"/>
      <c r="Z345" s="13"/>
      <c r="AA345" s="13"/>
    </row>
    <row r="346" ht="16.5" customHeight="1">
      <c r="A346" s="10"/>
      <c r="B346" s="10"/>
      <c r="C346" s="13"/>
      <c r="D346" s="13"/>
      <c r="E346" s="13"/>
      <c r="F346" s="185"/>
      <c r="G346" s="13"/>
      <c r="H346" s="13"/>
      <c r="I346" s="13"/>
      <c r="J346" s="13"/>
      <c r="K346" s="13"/>
      <c r="L346" s="13"/>
      <c r="M346" s="13"/>
      <c r="N346" s="13"/>
      <c r="O346" s="13"/>
      <c r="P346" s="13"/>
      <c r="Q346" s="13"/>
      <c r="R346" s="13"/>
      <c r="S346" s="13"/>
      <c r="T346" s="13"/>
      <c r="U346" s="13"/>
      <c r="V346" s="13"/>
      <c r="W346" s="13"/>
      <c r="X346" s="13"/>
      <c r="Y346" s="13"/>
      <c r="Z346" s="13"/>
      <c r="AA346" s="13"/>
    </row>
    <row r="347" ht="16.5" customHeight="1">
      <c r="A347" s="10"/>
      <c r="B347" s="10"/>
      <c r="C347" s="13"/>
      <c r="D347" s="13"/>
      <c r="E347" s="13"/>
      <c r="F347" s="185"/>
      <c r="G347" s="13"/>
      <c r="H347" s="13"/>
      <c r="I347" s="13"/>
      <c r="J347" s="13"/>
      <c r="K347" s="13"/>
      <c r="L347" s="13"/>
      <c r="M347" s="13"/>
      <c r="N347" s="13"/>
      <c r="O347" s="13"/>
      <c r="P347" s="13"/>
      <c r="Q347" s="13"/>
      <c r="R347" s="13"/>
      <c r="S347" s="13"/>
      <c r="T347" s="13"/>
      <c r="U347" s="13"/>
      <c r="V347" s="13"/>
      <c r="W347" s="13"/>
      <c r="X347" s="13"/>
      <c r="Y347" s="13"/>
      <c r="Z347" s="13"/>
      <c r="AA347" s="13"/>
    </row>
    <row r="348" ht="16.5" customHeight="1">
      <c r="A348" s="10"/>
      <c r="B348" s="10"/>
      <c r="C348" s="13"/>
      <c r="D348" s="13"/>
      <c r="E348" s="13"/>
      <c r="F348" s="185"/>
      <c r="G348" s="13"/>
      <c r="H348" s="13"/>
      <c r="I348" s="13"/>
      <c r="J348" s="13"/>
      <c r="K348" s="13"/>
      <c r="L348" s="13"/>
      <c r="M348" s="13"/>
      <c r="N348" s="13"/>
      <c r="O348" s="13"/>
      <c r="P348" s="13"/>
      <c r="Q348" s="13"/>
      <c r="R348" s="13"/>
      <c r="S348" s="13"/>
      <c r="T348" s="13"/>
      <c r="U348" s="13"/>
      <c r="V348" s="13"/>
      <c r="W348" s="13"/>
      <c r="X348" s="13"/>
      <c r="Y348" s="13"/>
      <c r="Z348" s="13"/>
      <c r="AA348" s="13"/>
    </row>
    <row r="349" ht="16.5" customHeight="1">
      <c r="A349" s="10"/>
      <c r="B349" s="10"/>
      <c r="C349" s="13"/>
      <c r="D349" s="13"/>
      <c r="E349" s="13"/>
      <c r="F349" s="185"/>
      <c r="G349" s="13"/>
      <c r="H349" s="13"/>
      <c r="I349" s="13"/>
      <c r="J349" s="13"/>
      <c r="K349" s="13"/>
      <c r="L349" s="13"/>
      <c r="M349" s="13"/>
      <c r="N349" s="13"/>
      <c r="O349" s="13"/>
      <c r="P349" s="13"/>
      <c r="Q349" s="13"/>
      <c r="R349" s="13"/>
      <c r="S349" s="13"/>
      <c r="T349" s="13"/>
      <c r="U349" s="13"/>
      <c r="V349" s="13"/>
      <c r="W349" s="13"/>
      <c r="X349" s="13"/>
      <c r="Y349" s="13"/>
      <c r="Z349" s="13"/>
      <c r="AA349" s="13"/>
    </row>
    <row r="350" ht="16.5" customHeight="1">
      <c r="A350" s="10"/>
      <c r="B350" s="10"/>
      <c r="C350" s="13"/>
      <c r="D350" s="13"/>
      <c r="E350" s="13"/>
      <c r="F350" s="185"/>
      <c r="G350" s="13"/>
      <c r="H350" s="13"/>
      <c r="I350" s="13"/>
      <c r="J350" s="13"/>
      <c r="K350" s="13"/>
      <c r="L350" s="13"/>
      <c r="M350" s="13"/>
      <c r="N350" s="13"/>
      <c r="O350" s="13"/>
      <c r="P350" s="13"/>
      <c r="Q350" s="13"/>
      <c r="R350" s="13"/>
      <c r="S350" s="13"/>
      <c r="T350" s="13"/>
      <c r="U350" s="13"/>
      <c r="V350" s="13"/>
      <c r="W350" s="13"/>
      <c r="X350" s="13"/>
      <c r="Y350" s="13"/>
      <c r="Z350" s="13"/>
      <c r="AA350" s="13"/>
    </row>
    <row r="351" ht="16.5" customHeight="1">
      <c r="A351" s="10"/>
      <c r="B351" s="10"/>
      <c r="C351" s="13"/>
      <c r="D351" s="13"/>
      <c r="E351" s="13"/>
      <c r="F351" s="185"/>
      <c r="G351" s="13"/>
      <c r="H351" s="13"/>
      <c r="I351" s="13"/>
      <c r="J351" s="13"/>
      <c r="K351" s="13"/>
      <c r="L351" s="13"/>
      <c r="M351" s="13"/>
      <c r="N351" s="13"/>
      <c r="O351" s="13"/>
      <c r="P351" s="13"/>
      <c r="Q351" s="13"/>
      <c r="R351" s="13"/>
      <c r="S351" s="13"/>
      <c r="T351" s="13"/>
      <c r="U351" s="13"/>
      <c r="V351" s="13"/>
      <c r="W351" s="13"/>
      <c r="X351" s="13"/>
      <c r="Y351" s="13"/>
      <c r="Z351" s="13"/>
      <c r="AA351" s="13"/>
    </row>
    <row r="352" ht="16.5" customHeight="1">
      <c r="A352" s="10"/>
      <c r="B352" s="10"/>
      <c r="C352" s="13"/>
      <c r="D352" s="13"/>
      <c r="E352" s="13"/>
      <c r="F352" s="185"/>
      <c r="G352" s="13"/>
      <c r="H352" s="13"/>
      <c r="I352" s="13"/>
      <c r="J352" s="13"/>
      <c r="K352" s="13"/>
      <c r="L352" s="13"/>
      <c r="M352" s="13"/>
      <c r="N352" s="13"/>
      <c r="O352" s="13"/>
      <c r="P352" s="13"/>
      <c r="Q352" s="13"/>
      <c r="R352" s="13"/>
      <c r="S352" s="13"/>
      <c r="T352" s="13"/>
      <c r="U352" s="13"/>
      <c r="V352" s="13"/>
      <c r="W352" s="13"/>
      <c r="X352" s="13"/>
      <c r="Y352" s="13"/>
      <c r="Z352" s="13"/>
      <c r="AA352" s="13"/>
    </row>
    <row r="353" ht="16.5" customHeight="1">
      <c r="A353" s="10"/>
      <c r="B353" s="10"/>
      <c r="C353" s="13"/>
      <c r="D353" s="13"/>
      <c r="E353" s="13"/>
      <c r="F353" s="185"/>
      <c r="G353" s="13"/>
      <c r="H353" s="13"/>
      <c r="I353" s="13"/>
      <c r="J353" s="13"/>
      <c r="K353" s="13"/>
      <c r="L353" s="13"/>
      <c r="M353" s="13"/>
      <c r="N353" s="13"/>
      <c r="O353" s="13"/>
      <c r="P353" s="13"/>
      <c r="Q353" s="13"/>
      <c r="R353" s="13"/>
      <c r="S353" s="13"/>
      <c r="T353" s="13"/>
      <c r="U353" s="13"/>
      <c r="V353" s="13"/>
      <c r="W353" s="13"/>
      <c r="X353" s="13"/>
      <c r="Y353" s="13"/>
      <c r="Z353" s="13"/>
      <c r="AA353" s="13"/>
    </row>
    <row r="354" ht="16.5" customHeight="1">
      <c r="A354" s="10"/>
      <c r="B354" s="10"/>
      <c r="C354" s="13"/>
      <c r="D354" s="13"/>
      <c r="E354" s="13"/>
      <c r="F354" s="185"/>
      <c r="G354" s="13"/>
      <c r="H354" s="13"/>
      <c r="I354" s="13"/>
      <c r="J354" s="13"/>
      <c r="K354" s="13"/>
      <c r="L354" s="13"/>
      <c r="M354" s="13"/>
      <c r="N354" s="13"/>
      <c r="O354" s="13"/>
      <c r="P354" s="13"/>
      <c r="Q354" s="13"/>
      <c r="R354" s="13"/>
      <c r="S354" s="13"/>
      <c r="T354" s="13"/>
      <c r="U354" s="13"/>
      <c r="V354" s="13"/>
      <c r="W354" s="13"/>
      <c r="X354" s="13"/>
      <c r="Y354" s="13"/>
      <c r="Z354" s="13"/>
      <c r="AA354" s="13"/>
    </row>
    <row r="355" ht="16.5" customHeight="1">
      <c r="A355" s="10"/>
      <c r="B355" s="10"/>
      <c r="C355" s="13"/>
      <c r="D355" s="13"/>
      <c r="E355" s="13"/>
      <c r="F355" s="185"/>
      <c r="G355" s="13"/>
      <c r="H355" s="13"/>
      <c r="I355" s="13"/>
      <c r="J355" s="13"/>
      <c r="K355" s="13"/>
      <c r="L355" s="13"/>
      <c r="M355" s="13"/>
      <c r="N355" s="13"/>
      <c r="O355" s="13"/>
      <c r="P355" s="13"/>
      <c r="Q355" s="13"/>
      <c r="R355" s="13"/>
      <c r="S355" s="13"/>
      <c r="T355" s="13"/>
      <c r="U355" s="13"/>
      <c r="V355" s="13"/>
      <c r="W355" s="13"/>
      <c r="X355" s="13"/>
      <c r="Y355" s="13"/>
      <c r="Z355" s="13"/>
      <c r="AA355" s="13"/>
    </row>
    <row r="356" ht="16.5" customHeight="1">
      <c r="A356" s="10"/>
      <c r="B356" s="10"/>
      <c r="C356" s="13"/>
      <c r="D356" s="13"/>
      <c r="E356" s="13"/>
      <c r="F356" s="185"/>
      <c r="G356" s="13"/>
      <c r="H356" s="13"/>
      <c r="I356" s="13"/>
      <c r="J356" s="13"/>
      <c r="K356" s="13"/>
      <c r="L356" s="13"/>
      <c r="M356" s="13"/>
      <c r="N356" s="13"/>
      <c r="O356" s="13"/>
      <c r="P356" s="13"/>
      <c r="Q356" s="13"/>
      <c r="R356" s="13"/>
      <c r="S356" s="13"/>
      <c r="T356" s="13"/>
      <c r="U356" s="13"/>
      <c r="V356" s="13"/>
      <c r="W356" s="13"/>
      <c r="X356" s="13"/>
      <c r="Y356" s="13"/>
      <c r="Z356" s="13"/>
      <c r="AA356" s="13"/>
    </row>
    <row r="357" ht="16.5" customHeight="1">
      <c r="A357" s="10"/>
      <c r="B357" s="10"/>
      <c r="C357" s="13"/>
      <c r="D357" s="13"/>
      <c r="E357" s="13"/>
      <c r="F357" s="185"/>
      <c r="G357" s="13"/>
      <c r="H357" s="13"/>
      <c r="I357" s="13"/>
      <c r="J357" s="13"/>
      <c r="K357" s="13"/>
      <c r="L357" s="13"/>
      <c r="M357" s="13"/>
      <c r="N357" s="13"/>
      <c r="O357" s="13"/>
      <c r="P357" s="13"/>
      <c r="Q357" s="13"/>
      <c r="R357" s="13"/>
      <c r="S357" s="13"/>
      <c r="T357" s="13"/>
      <c r="U357" s="13"/>
      <c r="V357" s="13"/>
      <c r="W357" s="13"/>
      <c r="X357" s="13"/>
      <c r="Y357" s="13"/>
      <c r="Z357" s="13"/>
      <c r="AA357" s="13"/>
    </row>
    <row r="358" ht="16.5" customHeight="1">
      <c r="A358" s="10"/>
      <c r="B358" s="10"/>
      <c r="C358" s="13"/>
      <c r="D358" s="13"/>
      <c r="E358" s="13"/>
      <c r="F358" s="185"/>
      <c r="G358" s="13"/>
      <c r="H358" s="13"/>
      <c r="I358" s="13"/>
      <c r="J358" s="13"/>
      <c r="K358" s="13"/>
      <c r="L358" s="13"/>
      <c r="M358" s="13"/>
      <c r="N358" s="13"/>
      <c r="O358" s="13"/>
      <c r="P358" s="13"/>
      <c r="Q358" s="13"/>
      <c r="R358" s="13"/>
      <c r="S358" s="13"/>
      <c r="T358" s="13"/>
      <c r="U358" s="13"/>
      <c r="V358" s="13"/>
      <c r="W358" s="13"/>
      <c r="X358" s="13"/>
      <c r="Y358" s="13"/>
      <c r="Z358" s="13"/>
      <c r="AA358" s="13"/>
    </row>
    <row r="359" ht="16.5" customHeight="1">
      <c r="A359" s="10"/>
      <c r="B359" s="10"/>
      <c r="C359" s="13"/>
      <c r="D359" s="13"/>
      <c r="E359" s="13"/>
      <c r="F359" s="185"/>
      <c r="G359" s="13"/>
      <c r="H359" s="13"/>
      <c r="I359" s="13"/>
      <c r="J359" s="13"/>
      <c r="K359" s="13"/>
      <c r="L359" s="13"/>
      <c r="M359" s="13"/>
      <c r="N359" s="13"/>
      <c r="O359" s="13"/>
      <c r="P359" s="13"/>
      <c r="Q359" s="13"/>
      <c r="R359" s="13"/>
      <c r="S359" s="13"/>
      <c r="T359" s="13"/>
      <c r="U359" s="13"/>
      <c r="V359" s="13"/>
      <c r="W359" s="13"/>
      <c r="X359" s="13"/>
      <c r="Y359" s="13"/>
      <c r="Z359" s="13"/>
      <c r="AA359" s="13"/>
    </row>
    <row r="360" ht="16.5" customHeight="1">
      <c r="A360" s="10"/>
      <c r="B360" s="10"/>
      <c r="C360" s="13"/>
      <c r="D360" s="13"/>
      <c r="E360" s="13"/>
      <c r="F360" s="185"/>
      <c r="G360" s="13"/>
      <c r="H360" s="13"/>
      <c r="I360" s="13"/>
      <c r="J360" s="13"/>
      <c r="K360" s="13"/>
      <c r="L360" s="13"/>
      <c r="M360" s="13"/>
      <c r="N360" s="13"/>
      <c r="O360" s="13"/>
      <c r="P360" s="13"/>
      <c r="Q360" s="13"/>
      <c r="R360" s="13"/>
      <c r="S360" s="13"/>
      <c r="T360" s="13"/>
      <c r="U360" s="13"/>
      <c r="V360" s="13"/>
      <c r="W360" s="13"/>
      <c r="X360" s="13"/>
      <c r="Y360" s="13"/>
      <c r="Z360" s="13"/>
      <c r="AA360" s="13"/>
    </row>
    <row r="361" ht="16.5" customHeight="1">
      <c r="A361" s="10"/>
      <c r="B361" s="10"/>
      <c r="C361" s="13"/>
      <c r="D361" s="13"/>
      <c r="E361" s="13"/>
      <c r="F361" s="185"/>
      <c r="G361" s="13"/>
      <c r="H361" s="13"/>
      <c r="I361" s="13"/>
      <c r="J361" s="13"/>
      <c r="K361" s="13"/>
      <c r="L361" s="13"/>
      <c r="M361" s="13"/>
      <c r="N361" s="13"/>
      <c r="O361" s="13"/>
      <c r="P361" s="13"/>
      <c r="Q361" s="13"/>
      <c r="R361" s="13"/>
      <c r="S361" s="13"/>
      <c r="T361" s="13"/>
      <c r="U361" s="13"/>
      <c r="V361" s="13"/>
      <c r="W361" s="13"/>
      <c r="X361" s="13"/>
      <c r="Y361" s="13"/>
      <c r="Z361" s="13"/>
      <c r="AA361" s="13"/>
    </row>
    <row r="362" ht="16.5" customHeight="1">
      <c r="A362" s="10"/>
      <c r="B362" s="10"/>
      <c r="C362" s="13"/>
      <c r="D362" s="13"/>
      <c r="E362" s="13"/>
      <c r="F362" s="185"/>
      <c r="G362" s="13"/>
      <c r="H362" s="13"/>
      <c r="I362" s="13"/>
      <c r="J362" s="13"/>
      <c r="K362" s="13"/>
      <c r="L362" s="13"/>
      <c r="M362" s="13"/>
      <c r="N362" s="13"/>
      <c r="O362" s="13"/>
      <c r="P362" s="13"/>
      <c r="Q362" s="13"/>
      <c r="R362" s="13"/>
      <c r="S362" s="13"/>
      <c r="T362" s="13"/>
      <c r="U362" s="13"/>
      <c r="V362" s="13"/>
      <c r="W362" s="13"/>
      <c r="X362" s="13"/>
      <c r="Y362" s="13"/>
      <c r="Z362" s="13"/>
      <c r="AA362" s="13"/>
    </row>
    <row r="363" ht="16.5" customHeight="1">
      <c r="A363" s="10"/>
      <c r="B363" s="10"/>
      <c r="C363" s="13"/>
      <c r="D363" s="13"/>
      <c r="E363" s="13"/>
      <c r="F363" s="185"/>
      <c r="G363" s="13"/>
      <c r="H363" s="13"/>
      <c r="I363" s="13"/>
      <c r="J363" s="13"/>
      <c r="K363" s="13"/>
      <c r="L363" s="13"/>
      <c r="M363" s="13"/>
      <c r="N363" s="13"/>
      <c r="O363" s="13"/>
      <c r="P363" s="13"/>
      <c r="Q363" s="13"/>
      <c r="R363" s="13"/>
      <c r="S363" s="13"/>
      <c r="T363" s="13"/>
      <c r="U363" s="13"/>
      <c r="V363" s="13"/>
      <c r="W363" s="13"/>
      <c r="X363" s="13"/>
      <c r="Y363" s="13"/>
      <c r="Z363" s="13"/>
      <c r="AA363" s="13"/>
    </row>
    <row r="364" ht="16.5" customHeight="1">
      <c r="A364" s="10"/>
      <c r="B364" s="10"/>
      <c r="C364" s="13"/>
      <c r="D364" s="13"/>
      <c r="E364" s="13"/>
      <c r="F364" s="185"/>
      <c r="G364" s="13"/>
      <c r="H364" s="13"/>
      <c r="I364" s="13"/>
      <c r="J364" s="13"/>
      <c r="K364" s="13"/>
      <c r="L364" s="13"/>
      <c r="M364" s="13"/>
      <c r="N364" s="13"/>
      <c r="O364" s="13"/>
      <c r="P364" s="13"/>
      <c r="Q364" s="13"/>
      <c r="R364" s="13"/>
      <c r="S364" s="13"/>
      <c r="T364" s="13"/>
      <c r="U364" s="13"/>
      <c r="V364" s="13"/>
      <c r="W364" s="13"/>
      <c r="X364" s="13"/>
      <c r="Y364" s="13"/>
      <c r="Z364" s="13"/>
      <c r="AA364" s="13"/>
    </row>
    <row r="365" ht="16.5" customHeight="1">
      <c r="A365" s="10"/>
      <c r="B365" s="10"/>
      <c r="C365" s="13"/>
      <c r="D365" s="13"/>
      <c r="E365" s="13"/>
      <c r="F365" s="185"/>
      <c r="G365" s="13"/>
      <c r="H365" s="13"/>
      <c r="I365" s="13"/>
      <c r="J365" s="13"/>
      <c r="K365" s="13"/>
      <c r="L365" s="13"/>
      <c r="M365" s="13"/>
      <c r="N365" s="13"/>
      <c r="O365" s="13"/>
      <c r="P365" s="13"/>
      <c r="Q365" s="13"/>
      <c r="R365" s="13"/>
      <c r="S365" s="13"/>
      <c r="T365" s="13"/>
      <c r="U365" s="13"/>
      <c r="V365" s="13"/>
      <c r="W365" s="13"/>
      <c r="X365" s="13"/>
      <c r="Y365" s="13"/>
      <c r="Z365" s="13"/>
      <c r="AA365" s="13"/>
    </row>
    <row r="366" ht="16.5" customHeight="1">
      <c r="A366" s="10"/>
      <c r="B366" s="10"/>
      <c r="C366" s="13"/>
      <c r="D366" s="13"/>
      <c r="E366" s="13"/>
      <c r="F366" s="185"/>
      <c r="G366" s="13"/>
      <c r="H366" s="13"/>
      <c r="I366" s="13"/>
      <c r="J366" s="13"/>
      <c r="K366" s="13"/>
      <c r="L366" s="13"/>
      <c r="M366" s="13"/>
      <c r="N366" s="13"/>
      <c r="O366" s="13"/>
      <c r="P366" s="13"/>
      <c r="Q366" s="13"/>
      <c r="R366" s="13"/>
      <c r="S366" s="13"/>
      <c r="T366" s="13"/>
      <c r="U366" s="13"/>
      <c r="V366" s="13"/>
      <c r="W366" s="13"/>
      <c r="X366" s="13"/>
      <c r="Y366" s="13"/>
      <c r="Z366" s="13"/>
      <c r="AA366" s="13"/>
    </row>
    <row r="367" ht="16.5" customHeight="1">
      <c r="A367" s="10"/>
      <c r="B367" s="10"/>
      <c r="C367" s="13"/>
      <c r="D367" s="13"/>
      <c r="E367" s="13"/>
      <c r="F367" s="185"/>
      <c r="G367" s="13"/>
      <c r="H367" s="13"/>
      <c r="I367" s="13"/>
      <c r="J367" s="13"/>
      <c r="K367" s="13"/>
      <c r="L367" s="13"/>
      <c r="M367" s="13"/>
      <c r="N367" s="13"/>
      <c r="O367" s="13"/>
      <c r="P367" s="13"/>
      <c r="Q367" s="13"/>
      <c r="R367" s="13"/>
      <c r="S367" s="13"/>
      <c r="T367" s="13"/>
      <c r="U367" s="13"/>
      <c r="V367" s="13"/>
      <c r="W367" s="13"/>
      <c r="X367" s="13"/>
      <c r="Y367" s="13"/>
      <c r="Z367" s="13"/>
      <c r="AA367" s="13"/>
    </row>
    <row r="368" ht="16.5" customHeight="1">
      <c r="A368" s="10"/>
      <c r="B368" s="10"/>
      <c r="C368" s="13"/>
      <c r="D368" s="13"/>
      <c r="E368" s="13"/>
      <c r="F368" s="185"/>
      <c r="G368" s="13"/>
      <c r="H368" s="13"/>
      <c r="I368" s="13"/>
      <c r="J368" s="13"/>
      <c r="K368" s="13"/>
      <c r="L368" s="13"/>
      <c r="M368" s="13"/>
      <c r="N368" s="13"/>
      <c r="O368" s="13"/>
      <c r="P368" s="13"/>
      <c r="Q368" s="13"/>
      <c r="R368" s="13"/>
      <c r="S368" s="13"/>
      <c r="T368" s="13"/>
      <c r="U368" s="13"/>
      <c r="V368" s="13"/>
      <c r="W368" s="13"/>
      <c r="X368" s="13"/>
      <c r="Y368" s="13"/>
      <c r="Z368" s="13"/>
      <c r="AA368" s="13"/>
    </row>
    <row r="369" ht="16.5" customHeight="1">
      <c r="A369" s="10"/>
      <c r="B369" s="10"/>
      <c r="C369" s="13"/>
      <c r="D369" s="13"/>
      <c r="E369" s="13"/>
      <c r="F369" s="185"/>
      <c r="G369" s="13"/>
      <c r="H369" s="13"/>
      <c r="I369" s="13"/>
      <c r="J369" s="13"/>
      <c r="K369" s="13"/>
      <c r="L369" s="13"/>
      <c r="M369" s="13"/>
      <c r="N369" s="13"/>
      <c r="O369" s="13"/>
      <c r="P369" s="13"/>
      <c r="Q369" s="13"/>
      <c r="R369" s="13"/>
      <c r="S369" s="13"/>
      <c r="T369" s="13"/>
      <c r="U369" s="13"/>
      <c r="V369" s="13"/>
      <c r="W369" s="13"/>
      <c r="X369" s="13"/>
      <c r="Y369" s="13"/>
      <c r="Z369" s="13"/>
      <c r="AA369" s="13"/>
    </row>
    <row r="370" ht="16.5" customHeight="1">
      <c r="A370" s="10"/>
      <c r="B370" s="10"/>
      <c r="C370" s="13"/>
      <c r="D370" s="13"/>
      <c r="E370" s="13"/>
      <c r="F370" s="185"/>
      <c r="G370" s="13"/>
      <c r="H370" s="13"/>
      <c r="I370" s="13"/>
      <c r="J370" s="13"/>
      <c r="K370" s="13"/>
      <c r="L370" s="13"/>
      <c r="M370" s="13"/>
      <c r="N370" s="13"/>
      <c r="O370" s="13"/>
      <c r="P370" s="13"/>
      <c r="Q370" s="13"/>
      <c r="R370" s="13"/>
      <c r="S370" s="13"/>
      <c r="T370" s="13"/>
      <c r="U370" s="13"/>
      <c r="V370" s="13"/>
      <c r="W370" s="13"/>
      <c r="X370" s="13"/>
      <c r="Y370" s="13"/>
      <c r="Z370" s="13"/>
      <c r="AA370" s="13"/>
    </row>
    <row r="371" ht="16.5" customHeight="1">
      <c r="A371" s="10"/>
      <c r="B371" s="10"/>
      <c r="C371" s="13"/>
      <c r="D371" s="13"/>
      <c r="E371" s="13"/>
      <c r="F371" s="185"/>
      <c r="G371" s="13"/>
      <c r="H371" s="13"/>
      <c r="I371" s="13"/>
      <c r="J371" s="13"/>
      <c r="K371" s="13"/>
      <c r="L371" s="13"/>
      <c r="M371" s="13"/>
      <c r="N371" s="13"/>
      <c r="O371" s="13"/>
      <c r="P371" s="13"/>
      <c r="Q371" s="13"/>
      <c r="R371" s="13"/>
      <c r="S371" s="13"/>
      <c r="T371" s="13"/>
      <c r="U371" s="13"/>
      <c r="V371" s="13"/>
      <c r="W371" s="13"/>
      <c r="X371" s="13"/>
      <c r="Y371" s="13"/>
      <c r="Z371" s="13"/>
      <c r="AA371" s="13"/>
    </row>
    <row r="372" ht="16.5" customHeight="1">
      <c r="A372" s="10"/>
      <c r="B372" s="10"/>
      <c r="C372" s="13"/>
      <c r="D372" s="13"/>
      <c r="E372" s="13"/>
      <c r="F372" s="185"/>
      <c r="G372" s="13"/>
      <c r="H372" s="13"/>
      <c r="I372" s="13"/>
      <c r="J372" s="13"/>
      <c r="K372" s="13"/>
      <c r="L372" s="13"/>
      <c r="M372" s="13"/>
      <c r="N372" s="13"/>
      <c r="O372" s="13"/>
      <c r="P372" s="13"/>
      <c r="Q372" s="13"/>
      <c r="R372" s="13"/>
      <c r="S372" s="13"/>
      <c r="T372" s="13"/>
      <c r="U372" s="13"/>
      <c r="V372" s="13"/>
      <c r="W372" s="13"/>
      <c r="X372" s="13"/>
      <c r="Y372" s="13"/>
      <c r="Z372" s="13"/>
      <c r="AA372" s="13"/>
    </row>
    <row r="373" ht="16.5" customHeight="1">
      <c r="A373" s="10"/>
      <c r="B373" s="10"/>
      <c r="C373" s="13"/>
      <c r="D373" s="13"/>
      <c r="E373" s="13"/>
      <c r="F373" s="185"/>
      <c r="G373" s="13"/>
      <c r="H373" s="13"/>
      <c r="I373" s="13"/>
      <c r="J373" s="13"/>
      <c r="K373" s="13"/>
      <c r="L373" s="13"/>
      <c r="M373" s="13"/>
      <c r="N373" s="13"/>
      <c r="O373" s="13"/>
      <c r="P373" s="13"/>
      <c r="Q373" s="13"/>
      <c r="R373" s="13"/>
      <c r="S373" s="13"/>
      <c r="T373" s="13"/>
      <c r="U373" s="13"/>
      <c r="V373" s="13"/>
      <c r="W373" s="13"/>
      <c r="X373" s="13"/>
      <c r="Y373" s="13"/>
      <c r="Z373" s="13"/>
      <c r="AA373" s="13"/>
    </row>
    <row r="374" ht="16.5" customHeight="1">
      <c r="A374" s="10"/>
      <c r="B374" s="10"/>
      <c r="C374" s="13"/>
      <c r="D374" s="13"/>
      <c r="E374" s="13"/>
      <c r="F374" s="185"/>
      <c r="G374" s="13"/>
      <c r="H374" s="13"/>
      <c r="I374" s="13"/>
      <c r="J374" s="13"/>
      <c r="K374" s="13"/>
      <c r="L374" s="13"/>
      <c r="M374" s="13"/>
      <c r="N374" s="13"/>
      <c r="O374" s="13"/>
      <c r="P374" s="13"/>
      <c r="Q374" s="13"/>
      <c r="R374" s="13"/>
      <c r="S374" s="13"/>
      <c r="T374" s="13"/>
      <c r="U374" s="13"/>
      <c r="V374" s="13"/>
      <c r="W374" s="13"/>
      <c r="X374" s="13"/>
      <c r="Y374" s="13"/>
      <c r="Z374" s="13"/>
      <c r="AA374" s="13"/>
    </row>
    <row r="375" ht="16.5" customHeight="1">
      <c r="A375" s="10"/>
      <c r="B375" s="10"/>
      <c r="C375" s="13"/>
      <c r="D375" s="13"/>
      <c r="E375" s="13"/>
      <c r="F375" s="185"/>
      <c r="G375" s="13"/>
      <c r="H375" s="13"/>
      <c r="I375" s="13"/>
      <c r="J375" s="13"/>
      <c r="K375" s="13"/>
      <c r="L375" s="13"/>
      <c r="M375" s="13"/>
      <c r="N375" s="13"/>
      <c r="O375" s="13"/>
      <c r="P375" s="13"/>
      <c r="Q375" s="13"/>
      <c r="R375" s="13"/>
      <c r="S375" s="13"/>
      <c r="T375" s="13"/>
      <c r="U375" s="13"/>
      <c r="V375" s="13"/>
      <c r="W375" s="13"/>
      <c r="X375" s="13"/>
      <c r="Y375" s="13"/>
      <c r="Z375" s="13"/>
      <c r="AA375" s="13"/>
    </row>
    <row r="376" ht="16.5" customHeight="1">
      <c r="A376" s="10"/>
      <c r="B376" s="10"/>
      <c r="C376" s="13"/>
      <c r="D376" s="13"/>
      <c r="E376" s="13"/>
      <c r="F376" s="185"/>
      <c r="G376" s="13"/>
      <c r="H376" s="13"/>
      <c r="I376" s="13"/>
      <c r="J376" s="13"/>
      <c r="K376" s="13"/>
      <c r="L376" s="13"/>
      <c r="M376" s="13"/>
      <c r="N376" s="13"/>
      <c r="O376" s="13"/>
      <c r="P376" s="13"/>
      <c r="Q376" s="13"/>
      <c r="R376" s="13"/>
      <c r="S376" s="13"/>
      <c r="T376" s="13"/>
      <c r="U376" s="13"/>
      <c r="V376" s="13"/>
      <c r="W376" s="13"/>
      <c r="X376" s="13"/>
      <c r="Y376" s="13"/>
      <c r="Z376" s="13"/>
      <c r="AA376" s="13"/>
    </row>
    <row r="377" ht="16.5" customHeight="1">
      <c r="A377" s="10"/>
      <c r="B377" s="10"/>
      <c r="C377" s="13"/>
      <c r="D377" s="13"/>
      <c r="E377" s="13"/>
      <c r="F377" s="185"/>
      <c r="G377" s="13"/>
      <c r="H377" s="13"/>
      <c r="I377" s="13"/>
      <c r="J377" s="13"/>
      <c r="K377" s="13"/>
      <c r="L377" s="13"/>
      <c r="M377" s="13"/>
      <c r="N377" s="13"/>
      <c r="O377" s="13"/>
      <c r="P377" s="13"/>
      <c r="Q377" s="13"/>
      <c r="R377" s="13"/>
      <c r="S377" s="13"/>
      <c r="T377" s="13"/>
      <c r="U377" s="13"/>
      <c r="V377" s="13"/>
      <c r="W377" s="13"/>
      <c r="X377" s="13"/>
      <c r="Y377" s="13"/>
      <c r="Z377" s="13"/>
      <c r="AA377" s="13"/>
    </row>
    <row r="378" ht="16.5" customHeight="1">
      <c r="A378" s="10"/>
      <c r="B378" s="10"/>
      <c r="C378" s="13"/>
      <c r="D378" s="13"/>
      <c r="E378" s="13"/>
      <c r="F378" s="185"/>
      <c r="G378" s="13"/>
      <c r="H378" s="13"/>
      <c r="I378" s="13"/>
      <c r="J378" s="13"/>
      <c r="K378" s="13"/>
      <c r="L378" s="13"/>
      <c r="M378" s="13"/>
      <c r="N378" s="13"/>
      <c r="O378" s="13"/>
      <c r="P378" s="13"/>
      <c r="Q378" s="13"/>
      <c r="R378" s="13"/>
      <c r="S378" s="13"/>
      <c r="T378" s="13"/>
      <c r="U378" s="13"/>
      <c r="V378" s="13"/>
      <c r="W378" s="13"/>
      <c r="X378" s="13"/>
      <c r="Y378" s="13"/>
      <c r="Z378" s="13"/>
      <c r="AA378" s="13"/>
    </row>
    <row r="379" ht="16.5" customHeight="1">
      <c r="A379" s="10"/>
      <c r="B379" s="10"/>
      <c r="C379" s="13"/>
      <c r="D379" s="13"/>
      <c r="E379" s="13"/>
      <c r="F379" s="185"/>
      <c r="G379" s="13"/>
      <c r="H379" s="13"/>
      <c r="I379" s="13"/>
      <c r="J379" s="13"/>
      <c r="K379" s="13"/>
      <c r="L379" s="13"/>
      <c r="M379" s="13"/>
      <c r="N379" s="13"/>
      <c r="O379" s="13"/>
      <c r="P379" s="13"/>
      <c r="Q379" s="13"/>
      <c r="R379" s="13"/>
      <c r="S379" s="13"/>
      <c r="T379" s="13"/>
      <c r="U379" s="13"/>
      <c r="V379" s="13"/>
      <c r="W379" s="13"/>
      <c r="X379" s="13"/>
      <c r="Y379" s="13"/>
      <c r="Z379" s="13"/>
      <c r="AA379" s="13"/>
    </row>
    <row r="380" ht="16.5" customHeight="1">
      <c r="A380" s="10"/>
      <c r="B380" s="10"/>
      <c r="C380" s="13"/>
      <c r="D380" s="13"/>
      <c r="E380" s="13"/>
      <c r="F380" s="185"/>
      <c r="G380" s="13"/>
      <c r="H380" s="13"/>
      <c r="I380" s="13"/>
      <c r="J380" s="13"/>
      <c r="K380" s="13"/>
      <c r="L380" s="13"/>
      <c r="M380" s="13"/>
      <c r="N380" s="13"/>
      <c r="O380" s="13"/>
      <c r="P380" s="13"/>
      <c r="Q380" s="13"/>
      <c r="R380" s="13"/>
      <c r="S380" s="13"/>
      <c r="T380" s="13"/>
      <c r="U380" s="13"/>
      <c r="V380" s="13"/>
      <c r="W380" s="13"/>
      <c r="X380" s="13"/>
      <c r="Y380" s="13"/>
      <c r="Z380" s="13"/>
      <c r="AA380" s="13"/>
    </row>
    <row r="381" ht="16.5" customHeight="1">
      <c r="A381" s="10"/>
      <c r="B381" s="10"/>
      <c r="C381" s="13"/>
      <c r="D381" s="13"/>
      <c r="E381" s="13"/>
      <c r="F381" s="185"/>
      <c r="G381" s="13"/>
      <c r="H381" s="13"/>
      <c r="I381" s="13"/>
      <c r="J381" s="13"/>
      <c r="K381" s="13"/>
      <c r="L381" s="13"/>
      <c r="M381" s="13"/>
      <c r="N381" s="13"/>
      <c r="O381" s="13"/>
      <c r="P381" s="13"/>
      <c r="Q381" s="13"/>
      <c r="R381" s="13"/>
      <c r="S381" s="13"/>
      <c r="T381" s="13"/>
      <c r="U381" s="13"/>
      <c r="V381" s="13"/>
      <c r="W381" s="13"/>
      <c r="X381" s="13"/>
      <c r="Y381" s="13"/>
      <c r="Z381" s="13"/>
      <c r="AA381" s="13"/>
    </row>
    <row r="382" ht="16.5" customHeight="1">
      <c r="A382" s="10"/>
      <c r="B382" s="10"/>
      <c r="C382" s="13"/>
      <c r="D382" s="13"/>
      <c r="E382" s="13"/>
      <c r="F382" s="185"/>
      <c r="G382" s="13"/>
      <c r="H382" s="13"/>
      <c r="I382" s="13"/>
      <c r="J382" s="13"/>
      <c r="K382" s="13"/>
      <c r="L382" s="13"/>
      <c r="M382" s="13"/>
      <c r="N382" s="13"/>
      <c r="O382" s="13"/>
      <c r="P382" s="13"/>
      <c r="Q382" s="13"/>
      <c r="R382" s="13"/>
      <c r="S382" s="13"/>
      <c r="T382" s="13"/>
      <c r="U382" s="13"/>
      <c r="V382" s="13"/>
      <c r="W382" s="13"/>
      <c r="X382" s="13"/>
      <c r="Y382" s="13"/>
      <c r="Z382" s="13"/>
      <c r="AA382" s="13"/>
    </row>
    <row r="383" ht="16.5" customHeight="1">
      <c r="A383" s="10"/>
      <c r="B383" s="10"/>
      <c r="C383" s="13"/>
      <c r="D383" s="13"/>
      <c r="E383" s="13"/>
      <c r="F383" s="185"/>
      <c r="G383" s="13"/>
      <c r="H383" s="13"/>
      <c r="I383" s="13"/>
      <c r="J383" s="13"/>
      <c r="K383" s="13"/>
      <c r="L383" s="13"/>
      <c r="M383" s="13"/>
      <c r="N383" s="13"/>
      <c r="O383" s="13"/>
      <c r="P383" s="13"/>
      <c r="Q383" s="13"/>
      <c r="R383" s="13"/>
      <c r="S383" s="13"/>
      <c r="T383" s="13"/>
      <c r="U383" s="13"/>
      <c r="V383" s="13"/>
      <c r="W383" s="13"/>
      <c r="X383" s="13"/>
      <c r="Y383" s="13"/>
      <c r="Z383" s="13"/>
      <c r="AA383" s="13"/>
    </row>
    <row r="384" ht="16.5" customHeight="1">
      <c r="A384" s="10"/>
      <c r="B384" s="10"/>
      <c r="C384" s="13"/>
      <c r="D384" s="13"/>
      <c r="E384" s="13"/>
      <c r="F384" s="185"/>
      <c r="G384" s="13"/>
      <c r="H384" s="13"/>
      <c r="I384" s="13"/>
      <c r="J384" s="13"/>
      <c r="K384" s="13"/>
      <c r="L384" s="13"/>
      <c r="M384" s="13"/>
      <c r="N384" s="13"/>
      <c r="O384" s="13"/>
      <c r="P384" s="13"/>
      <c r="Q384" s="13"/>
      <c r="R384" s="13"/>
      <c r="S384" s="13"/>
      <c r="T384" s="13"/>
      <c r="U384" s="13"/>
      <c r="V384" s="13"/>
      <c r="W384" s="13"/>
      <c r="X384" s="13"/>
      <c r="Y384" s="13"/>
      <c r="Z384" s="13"/>
      <c r="AA384" s="13"/>
    </row>
    <row r="385" ht="16.5" customHeight="1">
      <c r="A385" s="10"/>
      <c r="B385" s="10"/>
      <c r="C385" s="13"/>
      <c r="D385" s="13"/>
      <c r="E385" s="13"/>
      <c r="F385" s="185"/>
      <c r="G385" s="13"/>
      <c r="H385" s="13"/>
      <c r="I385" s="13"/>
      <c r="J385" s="13"/>
      <c r="K385" s="13"/>
      <c r="L385" s="13"/>
      <c r="M385" s="13"/>
      <c r="N385" s="13"/>
      <c r="O385" s="13"/>
      <c r="P385" s="13"/>
      <c r="Q385" s="13"/>
      <c r="R385" s="13"/>
      <c r="S385" s="13"/>
      <c r="T385" s="13"/>
      <c r="U385" s="13"/>
      <c r="V385" s="13"/>
      <c r="W385" s="13"/>
      <c r="X385" s="13"/>
      <c r="Y385" s="13"/>
      <c r="Z385" s="13"/>
      <c r="AA385" s="13"/>
    </row>
    <row r="386" ht="16.5" customHeight="1">
      <c r="A386" s="10"/>
      <c r="B386" s="10"/>
      <c r="C386" s="13"/>
      <c r="D386" s="13"/>
      <c r="E386" s="13"/>
      <c r="F386" s="185"/>
      <c r="G386" s="13"/>
      <c r="H386" s="13"/>
      <c r="I386" s="13"/>
      <c r="J386" s="13"/>
      <c r="K386" s="13"/>
      <c r="L386" s="13"/>
      <c r="M386" s="13"/>
      <c r="N386" s="13"/>
      <c r="O386" s="13"/>
      <c r="P386" s="13"/>
      <c r="Q386" s="13"/>
      <c r="R386" s="13"/>
      <c r="S386" s="13"/>
      <c r="T386" s="13"/>
      <c r="U386" s="13"/>
      <c r="V386" s="13"/>
      <c r="W386" s="13"/>
      <c r="X386" s="13"/>
      <c r="Y386" s="13"/>
      <c r="Z386" s="13"/>
      <c r="AA386" s="13"/>
    </row>
    <row r="387" ht="16.5" customHeight="1">
      <c r="A387" s="10"/>
      <c r="B387" s="10"/>
      <c r="C387" s="13"/>
      <c r="D387" s="13"/>
      <c r="E387" s="13"/>
      <c r="F387" s="185"/>
      <c r="G387" s="13"/>
      <c r="H387" s="13"/>
      <c r="I387" s="13"/>
      <c r="J387" s="13"/>
      <c r="K387" s="13"/>
      <c r="L387" s="13"/>
      <c r="M387" s="13"/>
      <c r="N387" s="13"/>
      <c r="O387" s="13"/>
      <c r="P387" s="13"/>
      <c r="Q387" s="13"/>
      <c r="R387" s="13"/>
      <c r="S387" s="13"/>
      <c r="T387" s="13"/>
      <c r="U387" s="13"/>
      <c r="V387" s="13"/>
      <c r="W387" s="13"/>
      <c r="X387" s="13"/>
      <c r="Y387" s="13"/>
      <c r="Z387" s="13"/>
      <c r="AA387" s="13"/>
    </row>
    <row r="388" ht="16.5" customHeight="1">
      <c r="A388" s="10"/>
      <c r="B388" s="10"/>
      <c r="C388" s="13"/>
      <c r="D388" s="13"/>
      <c r="E388" s="13"/>
      <c r="F388" s="185"/>
      <c r="G388" s="13"/>
      <c r="H388" s="13"/>
      <c r="I388" s="13"/>
      <c r="J388" s="13"/>
      <c r="K388" s="13"/>
      <c r="L388" s="13"/>
      <c r="M388" s="13"/>
      <c r="N388" s="13"/>
      <c r="O388" s="13"/>
      <c r="P388" s="13"/>
      <c r="Q388" s="13"/>
      <c r="R388" s="13"/>
      <c r="S388" s="13"/>
      <c r="T388" s="13"/>
      <c r="U388" s="13"/>
      <c r="V388" s="13"/>
      <c r="W388" s="13"/>
      <c r="X388" s="13"/>
      <c r="Y388" s="13"/>
      <c r="Z388" s="13"/>
      <c r="AA388" s="13"/>
    </row>
    <row r="389" ht="16.5" customHeight="1">
      <c r="A389" s="10"/>
      <c r="B389" s="10"/>
      <c r="C389" s="13"/>
      <c r="D389" s="13"/>
      <c r="E389" s="13"/>
      <c r="F389" s="185"/>
      <c r="G389" s="13"/>
      <c r="H389" s="13"/>
      <c r="I389" s="13"/>
      <c r="J389" s="13"/>
      <c r="K389" s="13"/>
      <c r="L389" s="13"/>
      <c r="M389" s="13"/>
      <c r="N389" s="13"/>
      <c r="O389" s="13"/>
      <c r="P389" s="13"/>
      <c r="Q389" s="13"/>
      <c r="R389" s="13"/>
      <c r="S389" s="13"/>
      <c r="T389" s="13"/>
      <c r="U389" s="13"/>
      <c r="V389" s="13"/>
      <c r="W389" s="13"/>
      <c r="X389" s="13"/>
      <c r="Y389" s="13"/>
      <c r="Z389" s="13"/>
      <c r="AA389" s="13"/>
    </row>
    <row r="390" ht="16.5" customHeight="1">
      <c r="A390" s="10"/>
      <c r="B390" s="10"/>
      <c r="C390" s="13"/>
      <c r="D390" s="13"/>
      <c r="E390" s="13"/>
      <c r="F390" s="185"/>
      <c r="G390" s="13"/>
      <c r="H390" s="13"/>
      <c r="I390" s="13"/>
      <c r="J390" s="13"/>
      <c r="K390" s="13"/>
      <c r="L390" s="13"/>
      <c r="M390" s="13"/>
      <c r="N390" s="13"/>
      <c r="O390" s="13"/>
      <c r="P390" s="13"/>
      <c r="Q390" s="13"/>
      <c r="R390" s="13"/>
      <c r="S390" s="13"/>
      <c r="T390" s="13"/>
      <c r="U390" s="13"/>
      <c r="V390" s="13"/>
      <c r="W390" s="13"/>
      <c r="X390" s="13"/>
      <c r="Y390" s="13"/>
      <c r="Z390" s="13"/>
      <c r="AA390" s="13"/>
    </row>
    <row r="391" ht="16.5" customHeight="1">
      <c r="A391" s="10"/>
      <c r="B391" s="10"/>
      <c r="C391" s="13"/>
      <c r="D391" s="13"/>
      <c r="E391" s="13"/>
      <c r="F391" s="185"/>
      <c r="G391" s="13"/>
      <c r="H391" s="13"/>
      <c r="I391" s="13"/>
      <c r="J391" s="13"/>
      <c r="K391" s="13"/>
      <c r="L391" s="13"/>
      <c r="M391" s="13"/>
      <c r="N391" s="13"/>
      <c r="O391" s="13"/>
      <c r="P391" s="13"/>
      <c r="Q391" s="13"/>
      <c r="R391" s="13"/>
      <c r="S391" s="13"/>
      <c r="T391" s="13"/>
      <c r="U391" s="13"/>
      <c r="V391" s="13"/>
      <c r="W391" s="13"/>
      <c r="X391" s="13"/>
      <c r="Y391" s="13"/>
      <c r="Z391" s="13"/>
      <c r="AA391" s="13"/>
    </row>
    <row r="392" ht="16.5" customHeight="1">
      <c r="A392" s="10"/>
      <c r="B392" s="10"/>
      <c r="C392" s="13"/>
      <c r="D392" s="13"/>
      <c r="E392" s="13"/>
      <c r="F392" s="185"/>
      <c r="G392" s="13"/>
      <c r="H392" s="13"/>
      <c r="I392" s="13"/>
      <c r="J392" s="13"/>
      <c r="K392" s="13"/>
      <c r="L392" s="13"/>
      <c r="M392" s="13"/>
      <c r="N392" s="13"/>
      <c r="O392" s="13"/>
      <c r="P392" s="13"/>
      <c r="Q392" s="13"/>
      <c r="R392" s="13"/>
      <c r="S392" s="13"/>
      <c r="T392" s="13"/>
      <c r="U392" s="13"/>
      <c r="V392" s="13"/>
      <c r="W392" s="13"/>
      <c r="X392" s="13"/>
      <c r="Y392" s="13"/>
      <c r="Z392" s="13"/>
      <c r="AA392" s="13"/>
    </row>
    <row r="393" ht="16.5" customHeight="1">
      <c r="A393" s="10"/>
      <c r="B393" s="10"/>
      <c r="C393" s="13"/>
      <c r="D393" s="13"/>
      <c r="E393" s="13"/>
      <c r="F393" s="185"/>
      <c r="G393" s="13"/>
      <c r="H393" s="13"/>
      <c r="I393" s="13"/>
      <c r="J393" s="13"/>
      <c r="K393" s="13"/>
      <c r="L393" s="13"/>
      <c r="M393" s="13"/>
      <c r="N393" s="13"/>
      <c r="O393" s="13"/>
      <c r="P393" s="13"/>
      <c r="Q393" s="13"/>
      <c r="R393" s="13"/>
      <c r="S393" s="13"/>
      <c r="T393" s="13"/>
      <c r="U393" s="13"/>
      <c r="V393" s="13"/>
      <c r="W393" s="13"/>
      <c r="X393" s="13"/>
      <c r="Y393" s="13"/>
      <c r="Z393" s="13"/>
      <c r="AA393" s="13"/>
    </row>
    <row r="394" ht="16.5" customHeight="1">
      <c r="A394" s="10"/>
      <c r="B394" s="10"/>
      <c r="C394" s="13"/>
      <c r="D394" s="13"/>
      <c r="E394" s="13"/>
      <c r="F394" s="185"/>
      <c r="G394" s="13"/>
      <c r="H394" s="13"/>
      <c r="I394" s="13"/>
      <c r="J394" s="13"/>
      <c r="K394" s="13"/>
      <c r="L394" s="13"/>
      <c r="M394" s="13"/>
      <c r="N394" s="13"/>
      <c r="O394" s="13"/>
      <c r="P394" s="13"/>
      <c r="Q394" s="13"/>
      <c r="R394" s="13"/>
      <c r="S394" s="13"/>
      <c r="T394" s="13"/>
      <c r="U394" s="13"/>
      <c r="V394" s="13"/>
      <c r="W394" s="13"/>
      <c r="X394" s="13"/>
      <c r="Y394" s="13"/>
      <c r="Z394" s="13"/>
      <c r="AA394" s="13"/>
    </row>
    <row r="395" ht="16.5" customHeight="1">
      <c r="A395" s="10"/>
      <c r="B395" s="10"/>
      <c r="C395" s="13"/>
      <c r="D395" s="13"/>
      <c r="E395" s="13"/>
      <c r="F395" s="185"/>
      <c r="G395" s="13"/>
      <c r="H395" s="13"/>
      <c r="I395" s="13"/>
      <c r="J395" s="13"/>
      <c r="K395" s="13"/>
      <c r="L395" s="13"/>
      <c r="M395" s="13"/>
      <c r="N395" s="13"/>
      <c r="O395" s="13"/>
      <c r="P395" s="13"/>
      <c r="Q395" s="13"/>
      <c r="R395" s="13"/>
      <c r="S395" s="13"/>
      <c r="T395" s="13"/>
      <c r="U395" s="13"/>
      <c r="V395" s="13"/>
      <c r="W395" s="13"/>
      <c r="X395" s="13"/>
      <c r="Y395" s="13"/>
      <c r="Z395" s="13"/>
      <c r="AA395" s="13"/>
    </row>
    <row r="396" ht="16.5" customHeight="1">
      <c r="A396" s="10"/>
      <c r="B396" s="10"/>
      <c r="C396" s="13"/>
      <c r="D396" s="13"/>
      <c r="E396" s="13"/>
      <c r="F396" s="185"/>
      <c r="G396" s="13"/>
      <c r="H396" s="13"/>
      <c r="I396" s="13"/>
      <c r="J396" s="13"/>
      <c r="K396" s="13"/>
      <c r="L396" s="13"/>
      <c r="M396" s="13"/>
      <c r="N396" s="13"/>
      <c r="O396" s="13"/>
      <c r="P396" s="13"/>
      <c r="Q396" s="13"/>
      <c r="R396" s="13"/>
      <c r="S396" s="13"/>
      <c r="T396" s="13"/>
      <c r="U396" s="13"/>
      <c r="V396" s="13"/>
      <c r="W396" s="13"/>
      <c r="X396" s="13"/>
      <c r="Y396" s="13"/>
      <c r="Z396" s="13"/>
      <c r="AA396" s="13"/>
    </row>
    <row r="397" ht="16.5" customHeight="1">
      <c r="A397" s="10"/>
      <c r="B397" s="10"/>
      <c r="C397" s="13"/>
      <c r="D397" s="13"/>
      <c r="E397" s="13"/>
      <c r="F397" s="185"/>
      <c r="G397" s="13"/>
      <c r="H397" s="13"/>
      <c r="I397" s="13"/>
      <c r="J397" s="13"/>
      <c r="K397" s="13"/>
      <c r="L397" s="13"/>
      <c r="M397" s="13"/>
      <c r="N397" s="13"/>
      <c r="O397" s="13"/>
      <c r="P397" s="13"/>
      <c r="Q397" s="13"/>
      <c r="R397" s="13"/>
      <c r="S397" s="13"/>
      <c r="T397" s="13"/>
      <c r="U397" s="13"/>
      <c r="V397" s="13"/>
      <c r="W397" s="13"/>
      <c r="X397" s="13"/>
      <c r="Y397" s="13"/>
      <c r="Z397" s="13"/>
      <c r="AA397" s="13"/>
    </row>
    <row r="398" ht="16.5" customHeight="1">
      <c r="A398" s="10"/>
      <c r="B398" s="10"/>
      <c r="C398" s="13"/>
      <c r="D398" s="13"/>
      <c r="E398" s="13"/>
      <c r="F398" s="185"/>
      <c r="G398" s="13"/>
      <c r="H398" s="13"/>
      <c r="I398" s="13"/>
      <c r="J398" s="13"/>
      <c r="K398" s="13"/>
      <c r="L398" s="13"/>
      <c r="M398" s="13"/>
      <c r="N398" s="13"/>
      <c r="O398" s="13"/>
      <c r="P398" s="13"/>
      <c r="Q398" s="13"/>
      <c r="R398" s="13"/>
      <c r="S398" s="13"/>
      <c r="T398" s="13"/>
      <c r="U398" s="13"/>
      <c r="V398" s="13"/>
      <c r="W398" s="13"/>
      <c r="X398" s="13"/>
      <c r="Y398" s="13"/>
      <c r="Z398" s="13"/>
      <c r="AA398" s="13"/>
    </row>
    <row r="399" ht="16.5" customHeight="1">
      <c r="A399" s="10"/>
      <c r="B399" s="10"/>
      <c r="C399" s="13"/>
      <c r="D399" s="13"/>
      <c r="E399" s="13"/>
      <c r="F399" s="185"/>
      <c r="G399" s="13"/>
      <c r="H399" s="13"/>
      <c r="I399" s="13"/>
      <c r="J399" s="13"/>
      <c r="K399" s="13"/>
      <c r="L399" s="13"/>
      <c r="M399" s="13"/>
      <c r="N399" s="13"/>
      <c r="O399" s="13"/>
      <c r="P399" s="13"/>
      <c r="Q399" s="13"/>
      <c r="R399" s="13"/>
      <c r="S399" s="13"/>
      <c r="T399" s="13"/>
      <c r="U399" s="13"/>
      <c r="V399" s="13"/>
      <c r="W399" s="13"/>
      <c r="X399" s="13"/>
      <c r="Y399" s="13"/>
      <c r="Z399" s="13"/>
      <c r="AA399" s="13"/>
    </row>
    <row r="400" ht="16.5" customHeight="1">
      <c r="A400" s="10"/>
      <c r="B400" s="10"/>
      <c r="C400" s="13"/>
      <c r="D400" s="13"/>
      <c r="E400" s="13"/>
      <c r="F400" s="185"/>
      <c r="G400" s="13"/>
      <c r="H400" s="13"/>
      <c r="I400" s="13"/>
      <c r="J400" s="13"/>
      <c r="K400" s="13"/>
      <c r="L400" s="13"/>
      <c r="M400" s="13"/>
      <c r="N400" s="13"/>
      <c r="O400" s="13"/>
      <c r="P400" s="13"/>
      <c r="Q400" s="13"/>
      <c r="R400" s="13"/>
      <c r="S400" s="13"/>
      <c r="T400" s="13"/>
      <c r="U400" s="13"/>
      <c r="V400" s="13"/>
      <c r="W400" s="13"/>
      <c r="X400" s="13"/>
      <c r="Y400" s="13"/>
      <c r="Z400" s="13"/>
      <c r="AA400" s="13"/>
    </row>
    <row r="401" ht="16.5" customHeight="1">
      <c r="A401" s="10"/>
      <c r="B401" s="10"/>
      <c r="C401" s="13"/>
      <c r="D401" s="13"/>
      <c r="E401" s="13"/>
      <c r="F401" s="185"/>
      <c r="G401" s="13"/>
      <c r="H401" s="13"/>
      <c r="I401" s="13"/>
      <c r="J401" s="13"/>
      <c r="K401" s="13"/>
      <c r="L401" s="13"/>
      <c r="M401" s="13"/>
      <c r="N401" s="13"/>
      <c r="O401" s="13"/>
      <c r="P401" s="13"/>
      <c r="Q401" s="13"/>
      <c r="R401" s="13"/>
      <c r="S401" s="13"/>
      <c r="T401" s="13"/>
      <c r="U401" s="13"/>
      <c r="V401" s="13"/>
      <c r="W401" s="13"/>
      <c r="X401" s="13"/>
      <c r="Y401" s="13"/>
      <c r="Z401" s="13"/>
      <c r="AA401" s="13"/>
    </row>
    <row r="402" ht="16.5" customHeight="1">
      <c r="A402" s="10"/>
      <c r="B402" s="10"/>
      <c r="C402" s="13"/>
      <c r="D402" s="13"/>
      <c r="E402" s="13"/>
      <c r="F402" s="185"/>
      <c r="G402" s="13"/>
      <c r="H402" s="13"/>
      <c r="I402" s="13"/>
      <c r="J402" s="13"/>
      <c r="K402" s="13"/>
      <c r="L402" s="13"/>
      <c r="M402" s="13"/>
      <c r="N402" s="13"/>
      <c r="O402" s="13"/>
      <c r="P402" s="13"/>
      <c r="Q402" s="13"/>
      <c r="R402" s="13"/>
      <c r="S402" s="13"/>
      <c r="T402" s="13"/>
      <c r="U402" s="13"/>
      <c r="V402" s="13"/>
      <c r="W402" s="13"/>
      <c r="X402" s="13"/>
      <c r="Y402" s="13"/>
      <c r="Z402" s="13"/>
      <c r="AA402" s="13"/>
    </row>
    <row r="403" ht="16.5" customHeight="1">
      <c r="A403" s="10"/>
      <c r="B403" s="10"/>
      <c r="C403" s="13"/>
      <c r="D403" s="13"/>
      <c r="E403" s="13"/>
      <c r="F403" s="185"/>
      <c r="G403" s="13"/>
      <c r="H403" s="13"/>
      <c r="I403" s="13"/>
      <c r="J403" s="13"/>
      <c r="K403" s="13"/>
      <c r="L403" s="13"/>
      <c r="M403" s="13"/>
      <c r="N403" s="13"/>
      <c r="O403" s="13"/>
      <c r="P403" s="13"/>
      <c r="Q403" s="13"/>
      <c r="R403" s="13"/>
      <c r="S403" s="13"/>
      <c r="T403" s="13"/>
      <c r="U403" s="13"/>
      <c r="V403" s="13"/>
      <c r="W403" s="13"/>
      <c r="X403" s="13"/>
      <c r="Y403" s="13"/>
      <c r="Z403" s="13"/>
      <c r="AA403" s="13"/>
    </row>
    <row r="404" ht="16.5" customHeight="1">
      <c r="A404" s="10"/>
      <c r="B404" s="10"/>
      <c r="C404" s="13"/>
      <c r="D404" s="13"/>
      <c r="E404" s="13"/>
      <c r="F404" s="185"/>
      <c r="G404" s="13"/>
      <c r="H404" s="13"/>
      <c r="I404" s="13"/>
      <c r="J404" s="13"/>
      <c r="K404" s="13"/>
      <c r="L404" s="13"/>
      <c r="M404" s="13"/>
      <c r="N404" s="13"/>
      <c r="O404" s="13"/>
      <c r="P404" s="13"/>
      <c r="Q404" s="13"/>
      <c r="R404" s="13"/>
      <c r="S404" s="13"/>
      <c r="T404" s="13"/>
      <c r="U404" s="13"/>
      <c r="V404" s="13"/>
      <c r="W404" s="13"/>
      <c r="X404" s="13"/>
      <c r="Y404" s="13"/>
      <c r="Z404" s="13"/>
      <c r="AA404" s="13"/>
    </row>
    <row r="405" ht="16.5" customHeight="1">
      <c r="A405" s="10"/>
      <c r="B405" s="10"/>
      <c r="C405" s="13"/>
      <c r="D405" s="13"/>
      <c r="E405" s="13"/>
      <c r="F405" s="185"/>
      <c r="G405" s="13"/>
      <c r="H405" s="13"/>
      <c r="I405" s="13"/>
      <c r="J405" s="13"/>
      <c r="K405" s="13"/>
      <c r="L405" s="13"/>
      <c r="M405" s="13"/>
      <c r="N405" s="13"/>
      <c r="O405" s="13"/>
      <c r="P405" s="13"/>
      <c r="Q405" s="13"/>
      <c r="R405" s="13"/>
      <c r="S405" s="13"/>
      <c r="T405" s="13"/>
      <c r="U405" s="13"/>
      <c r="V405" s="13"/>
      <c r="W405" s="13"/>
      <c r="X405" s="13"/>
      <c r="Y405" s="13"/>
      <c r="Z405" s="13"/>
      <c r="AA405" s="13"/>
    </row>
    <row r="406" ht="16.5" customHeight="1">
      <c r="A406" s="10"/>
      <c r="B406" s="10"/>
      <c r="C406" s="13"/>
      <c r="D406" s="13"/>
      <c r="E406" s="13"/>
      <c r="F406" s="185"/>
      <c r="G406" s="13"/>
      <c r="H406" s="13"/>
      <c r="I406" s="13"/>
      <c r="J406" s="13"/>
      <c r="K406" s="13"/>
      <c r="L406" s="13"/>
      <c r="M406" s="13"/>
      <c r="N406" s="13"/>
      <c r="O406" s="13"/>
      <c r="P406" s="13"/>
      <c r="Q406" s="13"/>
      <c r="R406" s="13"/>
      <c r="S406" s="13"/>
      <c r="T406" s="13"/>
      <c r="U406" s="13"/>
      <c r="V406" s="13"/>
      <c r="W406" s="13"/>
      <c r="X406" s="13"/>
      <c r="Y406" s="13"/>
      <c r="Z406" s="13"/>
      <c r="AA406" s="13"/>
    </row>
    <row r="407" ht="16.5" customHeight="1">
      <c r="A407" s="10"/>
      <c r="B407" s="10"/>
      <c r="C407" s="13"/>
      <c r="D407" s="13"/>
      <c r="E407" s="13"/>
      <c r="F407" s="185"/>
      <c r="G407" s="13"/>
      <c r="H407" s="13"/>
      <c r="I407" s="13"/>
      <c r="J407" s="13"/>
      <c r="K407" s="13"/>
      <c r="L407" s="13"/>
      <c r="M407" s="13"/>
      <c r="N407" s="13"/>
      <c r="O407" s="13"/>
      <c r="P407" s="13"/>
      <c r="Q407" s="13"/>
      <c r="R407" s="13"/>
      <c r="S407" s="13"/>
      <c r="T407" s="13"/>
      <c r="U407" s="13"/>
      <c r="V407" s="13"/>
      <c r="W407" s="13"/>
      <c r="X407" s="13"/>
      <c r="Y407" s="13"/>
      <c r="Z407" s="13"/>
      <c r="AA407" s="13"/>
    </row>
    <row r="408" ht="16.5" customHeight="1">
      <c r="A408" s="10"/>
      <c r="B408" s="10"/>
      <c r="C408" s="13"/>
      <c r="D408" s="13"/>
      <c r="E408" s="13"/>
      <c r="F408" s="185"/>
      <c r="G408" s="13"/>
      <c r="H408" s="13"/>
      <c r="I408" s="13"/>
      <c r="J408" s="13"/>
      <c r="K408" s="13"/>
      <c r="L408" s="13"/>
      <c r="M408" s="13"/>
      <c r="N408" s="13"/>
      <c r="O408" s="13"/>
      <c r="P408" s="13"/>
      <c r="Q408" s="13"/>
      <c r="R408" s="13"/>
      <c r="S408" s="13"/>
      <c r="T408" s="13"/>
      <c r="U408" s="13"/>
      <c r="V408" s="13"/>
      <c r="W408" s="13"/>
      <c r="X408" s="13"/>
      <c r="Y408" s="13"/>
      <c r="Z408" s="13"/>
      <c r="AA408" s="13"/>
    </row>
    <row r="409" ht="16.5" customHeight="1">
      <c r="A409" s="10"/>
      <c r="B409" s="10"/>
      <c r="C409" s="13"/>
      <c r="D409" s="13"/>
      <c r="E409" s="13"/>
      <c r="F409" s="185"/>
      <c r="G409" s="13"/>
      <c r="H409" s="13"/>
      <c r="I409" s="13"/>
      <c r="J409" s="13"/>
      <c r="K409" s="13"/>
      <c r="L409" s="13"/>
      <c r="M409" s="13"/>
      <c r="N409" s="13"/>
      <c r="O409" s="13"/>
      <c r="P409" s="13"/>
      <c r="Q409" s="13"/>
      <c r="R409" s="13"/>
      <c r="S409" s="13"/>
      <c r="T409" s="13"/>
      <c r="U409" s="13"/>
      <c r="V409" s="13"/>
      <c r="W409" s="13"/>
      <c r="X409" s="13"/>
      <c r="Y409" s="13"/>
      <c r="Z409" s="13"/>
      <c r="AA409" s="13"/>
    </row>
    <row r="410" ht="16.5" customHeight="1">
      <c r="A410" s="10"/>
      <c r="B410" s="10"/>
      <c r="C410" s="13"/>
      <c r="D410" s="13"/>
      <c r="E410" s="13"/>
      <c r="F410" s="185"/>
      <c r="G410" s="13"/>
      <c r="H410" s="13"/>
      <c r="I410" s="13"/>
      <c r="J410" s="13"/>
      <c r="K410" s="13"/>
      <c r="L410" s="13"/>
      <c r="M410" s="13"/>
      <c r="N410" s="13"/>
      <c r="O410" s="13"/>
      <c r="P410" s="13"/>
      <c r="Q410" s="13"/>
      <c r="R410" s="13"/>
      <c r="S410" s="13"/>
      <c r="T410" s="13"/>
      <c r="U410" s="13"/>
      <c r="V410" s="13"/>
      <c r="W410" s="13"/>
      <c r="X410" s="13"/>
      <c r="Y410" s="13"/>
      <c r="Z410" s="13"/>
      <c r="AA410" s="13"/>
    </row>
    <row r="411" ht="16.5" customHeight="1">
      <c r="A411" s="10"/>
      <c r="B411" s="10"/>
      <c r="C411" s="13"/>
      <c r="D411" s="13"/>
      <c r="E411" s="13"/>
      <c r="F411" s="185"/>
      <c r="G411" s="13"/>
      <c r="H411" s="13"/>
      <c r="I411" s="13"/>
      <c r="J411" s="13"/>
      <c r="K411" s="13"/>
      <c r="L411" s="13"/>
      <c r="M411" s="13"/>
      <c r="N411" s="13"/>
      <c r="O411" s="13"/>
      <c r="P411" s="13"/>
      <c r="Q411" s="13"/>
      <c r="R411" s="13"/>
      <c r="S411" s="13"/>
      <c r="T411" s="13"/>
      <c r="U411" s="13"/>
      <c r="V411" s="13"/>
      <c r="W411" s="13"/>
      <c r="X411" s="13"/>
      <c r="Y411" s="13"/>
      <c r="Z411" s="13"/>
      <c r="AA411" s="13"/>
    </row>
    <row r="412" ht="16.5" customHeight="1">
      <c r="A412" s="10"/>
      <c r="B412" s="10"/>
      <c r="C412" s="13"/>
      <c r="D412" s="13"/>
      <c r="E412" s="13"/>
      <c r="F412" s="185"/>
      <c r="G412" s="13"/>
      <c r="H412" s="13"/>
      <c r="I412" s="13"/>
      <c r="J412" s="13"/>
      <c r="K412" s="13"/>
      <c r="L412" s="13"/>
      <c r="M412" s="13"/>
      <c r="N412" s="13"/>
      <c r="O412" s="13"/>
      <c r="P412" s="13"/>
      <c r="Q412" s="13"/>
      <c r="R412" s="13"/>
      <c r="S412" s="13"/>
      <c r="T412" s="13"/>
      <c r="U412" s="13"/>
      <c r="V412" s="13"/>
      <c r="W412" s="13"/>
      <c r="X412" s="13"/>
      <c r="Y412" s="13"/>
      <c r="Z412" s="13"/>
      <c r="AA412" s="13"/>
    </row>
    <row r="413" ht="16.5" customHeight="1">
      <c r="A413" s="10"/>
      <c r="B413" s="10"/>
      <c r="C413" s="13"/>
      <c r="D413" s="13"/>
      <c r="E413" s="13"/>
      <c r="F413" s="185"/>
      <c r="G413" s="13"/>
      <c r="H413" s="13"/>
      <c r="I413" s="13"/>
      <c r="J413" s="13"/>
      <c r="K413" s="13"/>
      <c r="L413" s="13"/>
      <c r="M413" s="13"/>
      <c r="N413" s="13"/>
      <c r="O413" s="13"/>
      <c r="P413" s="13"/>
      <c r="Q413" s="13"/>
      <c r="R413" s="13"/>
      <c r="S413" s="13"/>
      <c r="T413" s="13"/>
      <c r="U413" s="13"/>
      <c r="V413" s="13"/>
      <c r="W413" s="13"/>
      <c r="X413" s="13"/>
      <c r="Y413" s="13"/>
      <c r="Z413" s="13"/>
      <c r="AA413" s="13"/>
    </row>
    <row r="414" ht="16.5" customHeight="1">
      <c r="A414" s="10"/>
      <c r="B414" s="10"/>
      <c r="C414" s="13"/>
      <c r="D414" s="13"/>
      <c r="E414" s="13"/>
      <c r="F414" s="185"/>
      <c r="G414" s="13"/>
      <c r="H414" s="13"/>
      <c r="I414" s="13"/>
      <c r="J414" s="13"/>
      <c r="K414" s="13"/>
      <c r="L414" s="13"/>
      <c r="M414" s="13"/>
      <c r="N414" s="13"/>
      <c r="O414" s="13"/>
      <c r="P414" s="13"/>
      <c r="Q414" s="13"/>
      <c r="R414" s="13"/>
      <c r="S414" s="13"/>
      <c r="T414" s="13"/>
      <c r="U414" s="13"/>
      <c r="V414" s="13"/>
      <c r="W414" s="13"/>
      <c r="X414" s="13"/>
      <c r="Y414" s="13"/>
      <c r="Z414" s="13"/>
      <c r="AA414" s="13"/>
    </row>
    <row r="415" ht="16.5" customHeight="1">
      <c r="A415" s="10"/>
      <c r="B415" s="10"/>
      <c r="C415" s="13"/>
      <c r="D415" s="13"/>
      <c r="E415" s="13"/>
      <c r="F415" s="185"/>
      <c r="G415" s="13"/>
      <c r="H415" s="13"/>
      <c r="I415" s="13"/>
      <c r="J415" s="13"/>
      <c r="K415" s="13"/>
      <c r="L415" s="13"/>
      <c r="M415" s="13"/>
      <c r="N415" s="13"/>
      <c r="O415" s="13"/>
      <c r="P415" s="13"/>
      <c r="Q415" s="13"/>
      <c r="R415" s="13"/>
      <c r="S415" s="13"/>
      <c r="T415" s="13"/>
      <c r="U415" s="13"/>
      <c r="V415" s="13"/>
      <c r="W415" s="13"/>
      <c r="X415" s="13"/>
      <c r="Y415" s="13"/>
      <c r="Z415" s="13"/>
      <c r="AA415" s="13"/>
    </row>
    <row r="416" ht="16.5" customHeight="1">
      <c r="A416" s="10"/>
      <c r="B416" s="10"/>
      <c r="C416" s="13"/>
      <c r="D416" s="13"/>
      <c r="E416" s="13"/>
      <c r="F416" s="185"/>
      <c r="G416" s="13"/>
      <c r="H416" s="13"/>
      <c r="I416" s="13"/>
      <c r="J416" s="13"/>
      <c r="K416" s="13"/>
      <c r="L416" s="13"/>
      <c r="M416" s="13"/>
      <c r="N416" s="13"/>
      <c r="O416" s="13"/>
      <c r="P416" s="13"/>
      <c r="Q416" s="13"/>
      <c r="R416" s="13"/>
      <c r="S416" s="13"/>
      <c r="T416" s="13"/>
      <c r="U416" s="13"/>
      <c r="V416" s="13"/>
      <c r="W416" s="13"/>
      <c r="X416" s="13"/>
      <c r="Y416" s="13"/>
      <c r="Z416" s="13"/>
      <c r="AA416" s="13"/>
    </row>
    <row r="417" ht="16.5" customHeight="1">
      <c r="A417" s="10"/>
      <c r="B417" s="10"/>
      <c r="C417" s="13"/>
      <c r="D417" s="13"/>
      <c r="E417" s="13"/>
      <c r="F417" s="185"/>
      <c r="G417" s="13"/>
      <c r="H417" s="13"/>
      <c r="I417" s="13"/>
      <c r="J417" s="13"/>
      <c r="K417" s="13"/>
      <c r="L417" s="13"/>
      <c r="M417" s="13"/>
      <c r="N417" s="13"/>
      <c r="O417" s="13"/>
      <c r="P417" s="13"/>
      <c r="Q417" s="13"/>
      <c r="R417" s="13"/>
      <c r="S417" s="13"/>
      <c r="T417" s="13"/>
      <c r="U417" s="13"/>
      <c r="V417" s="13"/>
      <c r="W417" s="13"/>
      <c r="X417" s="13"/>
      <c r="Y417" s="13"/>
      <c r="Z417" s="13"/>
      <c r="AA417" s="13"/>
    </row>
    <row r="418" ht="16.5" customHeight="1">
      <c r="A418" s="10"/>
      <c r="B418" s="10"/>
      <c r="C418" s="13"/>
      <c r="D418" s="13"/>
      <c r="E418" s="13"/>
      <c r="F418" s="185"/>
      <c r="G418" s="13"/>
      <c r="H418" s="13"/>
      <c r="I418" s="13"/>
      <c r="J418" s="13"/>
      <c r="K418" s="13"/>
      <c r="L418" s="13"/>
      <c r="M418" s="13"/>
      <c r="N418" s="13"/>
      <c r="O418" s="13"/>
      <c r="P418" s="13"/>
      <c r="Q418" s="13"/>
      <c r="R418" s="13"/>
      <c r="S418" s="13"/>
      <c r="T418" s="13"/>
      <c r="U418" s="13"/>
      <c r="V418" s="13"/>
      <c r="W418" s="13"/>
      <c r="X418" s="13"/>
      <c r="Y418" s="13"/>
      <c r="Z418" s="13"/>
      <c r="AA418" s="13"/>
    </row>
    <row r="419" ht="16.5" customHeight="1">
      <c r="A419" s="10"/>
      <c r="B419" s="10"/>
      <c r="C419" s="13"/>
      <c r="D419" s="13"/>
      <c r="E419" s="13"/>
      <c r="F419" s="185"/>
      <c r="G419" s="13"/>
      <c r="H419" s="13"/>
      <c r="I419" s="13"/>
      <c r="J419" s="13"/>
      <c r="K419" s="13"/>
      <c r="L419" s="13"/>
      <c r="M419" s="13"/>
      <c r="N419" s="13"/>
      <c r="O419" s="13"/>
      <c r="P419" s="13"/>
      <c r="Q419" s="13"/>
      <c r="R419" s="13"/>
      <c r="S419" s="13"/>
      <c r="T419" s="13"/>
      <c r="U419" s="13"/>
      <c r="V419" s="13"/>
      <c r="W419" s="13"/>
      <c r="X419" s="13"/>
      <c r="Y419" s="13"/>
      <c r="Z419" s="13"/>
      <c r="AA419" s="13"/>
    </row>
    <row r="420" ht="16.5" customHeight="1">
      <c r="A420" s="10"/>
      <c r="B420" s="10"/>
      <c r="C420" s="13"/>
      <c r="D420" s="13"/>
      <c r="E420" s="13"/>
      <c r="F420" s="185"/>
      <c r="G420" s="13"/>
      <c r="H420" s="13"/>
      <c r="I420" s="13"/>
      <c r="J420" s="13"/>
      <c r="K420" s="13"/>
      <c r="L420" s="13"/>
      <c r="M420" s="13"/>
      <c r="N420" s="13"/>
      <c r="O420" s="13"/>
      <c r="P420" s="13"/>
      <c r="Q420" s="13"/>
      <c r="R420" s="13"/>
      <c r="S420" s="13"/>
      <c r="T420" s="13"/>
      <c r="U420" s="13"/>
      <c r="V420" s="13"/>
      <c r="W420" s="13"/>
      <c r="X420" s="13"/>
      <c r="Y420" s="13"/>
      <c r="Z420" s="13"/>
      <c r="AA420" s="13"/>
    </row>
    <row r="421" ht="16.5" customHeight="1">
      <c r="A421" s="10"/>
      <c r="B421" s="10"/>
      <c r="C421" s="13"/>
      <c r="D421" s="13"/>
      <c r="E421" s="13"/>
      <c r="F421" s="185"/>
      <c r="G421" s="13"/>
      <c r="H421" s="13"/>
      <c r="I421" s="13"/>
      <c r="J421" s="13"/>
      <c r="K421" s="13"/>
      <c r="L421" s="13"/>
      <c r="M421" s="13"/>
      <c r="N421" s="13"/>
      <c r="O421" s="13"/>
      <c r="P421" s="13"/>
      <c r="Q421" s="13"/>
      <c r="R421" s="13"/>
      <c r="S421" s="13"/>
      <c r="T421" s="13"/>
      <c r="U421" s="13"/>
      <c r="V421" s="13"/>
      <c r="W421" s="13"/>
      <c r="X421" s="13"/>
      <c r="Y421" s="13"/>
      <c r="Z421" s="13"/>
      <c r="AA421" s="13"/>
    </row>
    <row r="422" ht="16.5" customHeight="1">
      <c r="A422" s="10"/>
      <c r="B422" s="10"/>
      <c r="C422" s="13"/>
      <c r="D422" s="13"/>
      <c r="E422" s="13"/>
      <c r="F422" s="185"/>
      <c r="G422" s="13"/>
      <c r="H422" s="13"/>
      <c r="I422" s="13"/>
      <c r="J422" s="13"/>
      <c r="K422" s="13"/>
      <c r="L422" s="13"/>
      <c r="M422" s="13"/>
      <c r="N422" s="13"/>
      <c r="O422" s="13"/>
      <c r="P422" s="13"/>
      <c r="Q422" s="13"/>
      <c r="R422" s="13"/>
      <c r="S422" s="13"/>
      <c r="T422" s="13"/>
      <c r="U422" s="13"/>
      <c r="V422" s="13"/>
      <c r="W422" s="13"/>
      <c r="X422" s="13"/>
      <c r="Y422" s="13"/>
      <c r="Z422" s="13"/>
      <c r="AA422" s="13"/>
    </row>
    <row r="423" ht="16.5" customHeight="1">
      <c r="A423" s="10"/>
      <c r="B423" s="10"/>
      <c r="C423" s="13"/>
      <c r="D423" s="13"/>
      <c r="E423" s="13"/>
      <c r="F423" s="185"/>
      <c r="G423" s="13"/>
      <c r="H423" s="13"/>
      <c r="I423" s="13"/>
      <c r="J423" s="13"/>
      <c r="K423" s="13"/>
      <c r="L423" s="13"/>
      <c r="M423" s="13"/>
      <c r="N423" s="13"/>
      <c r="O423" s="13"/>
      <c r="P423" s="13"/>
      <c r="Q423" s="13"/>
      <c r="R423" s="13"/>
      <c r="S423" s="13"/>
      <c r="T423" s="13"/>
      <c r="U423" s="13"/>
      <c r="V423" s="13"/>
      <c r="W423" s="13"/>
      <c r="X423" s="13"/>
      <c r="Y423" s="13"/>
      <c r="Z423" s="13"/>
      <c r="AA423" s="13"/>
    </row>
    <row r="424" ht="16.5" customHeight="1">
      <c r="A424" s="10"/>
      <c r="B424" s="10"/>
      <c r="C424" s="13"/>
      <c r="D424" s="13"/>
      <c r="E424" s="13"/>
      <c r="F424" s="185"/>
      <c r="G424" s="13"/>
      <c r="H424" s="13"/>
      <c r="I424" s="13"/>
      <c r="J424" s="13"/>
      <c r="K424" s="13"/>
      <c r="L424" s="13"/>
      <c r="M424" s="13"/>
      <c r="N424" s="13"/>
      <c r="O424" s="13"/>
      <c r="P424" s="13"/>
      <c r="Q424" s="13"/>
      <c r="R424" s="13"/>
      <c r="S424" s="13"/>
      <c r="T424" s="13"/>
      <c r="U424" s="13"/>
      <c r="V424" s="13"/>
      <c r="W424" s="13"/>
      <c r="X424" s="13"/>
      <c r="Y424" s="13"/>
      <c r="Z424" s="13"/>
      <c r="AA424" s="13"/>
    </row>
    <row r="425" ht="16.5" customHeight="1">
      <c r="A425" s="10"/>
      <c r="B425" s="10"/>
      <c r="C425" s="13"/>
      <c r="D425" s="13"/>
      <c r="E425" s="13"/>
      <c r="F425" s="185"/>
      <c r="G425" s="13"/>
      <c r="H425" s="13"/>
      <c r="I425" s="13"/>
      <c r="J425" s="13"/>
      <c r="K425" s="13"/>
      <c r="L425" s="13"/>
      <c r="M425" s="13"/>
      <c r="N425" s="13"/>
      <c r="O425" s="13"/>
      <c r="P425" s="13"/>
      <c r="Q425" s="13"/>
      <c r="R425" s="13"/>
      <c r="S425" s="13"/>
      <c r="T425" s="13"/>
      <c r="U425" s="13"/>
      <c r="V425" s="13"/>
      <c r="W425" s="13"/>
      <c r="X425" s="13"/>
      <c r="Y425" s="13"/>
      <c r="Z425" s="13"/>
      <c r="AA425" s="13"/>
    </row>
    <row r="426" ht="16.5" customHeight="1">
      <c r="A426" s="10"/>
      <c r="B426" s="10"/>
      <c r="C426" s="13"/>
      <c r="D426" s="13"/>
      <c r="E426" s="13"/>
      <c r="F426" s="185"/>
      <c r="G426" s="13"/>
      <c r="H426" s="13"/>
      <c r="I426" s="13"/>
      <c r="J426" s="13"/>
      <c r="K426" s="13"/>
      <c r="L426" s="13"/>
      <c r="M426" s="13"/>
      <c r="N426" s="13"/>
      <c r="O426" s="13"/>
      <c r="P426" s="13"/>
      <c r="Q426" s="13"/>
      <c r="R426" s="13"/>
      <c r="S426" s="13"/>
      <c r="T426" s="13"/>
      <c r="U426" s="13"/>
      <c r="V426" s="13"/>
      <c r="W426" s="13"/>
      <c r="X426" s="13"/>
      <c r="Y426" s="13"/>
      <c r="Z426" s="13"/>
      <c r="AA426" s="13"/>
    </row>
    <row r="427" ht="16.5" customHeight="1">
      <c r="A427" s="10"/>
      <c r="B427" s="10"/>
      <c r="C427" s="13"/>
      <c r="D427" s="13"/>
      <c r="E427" s="13"/>
      <c r="F427" s="185"/>
      <c r="G427" s="13"/>
      <c r="H427" s="13"/>
      <c r="I427" s="13"/>
      <c r="J427" s="13"/>
      <c r="K427" s="13"/>
      <c r="L427" s="13"/>
      <c r="M427" s="13"/>
      <c r="N427" s="13"/>
      <c r="O427" s="13"/>
      <c r="P427" s="13"/>
      <c r="Q427" s="13"/>
      <c r="R427" s="13"/>
      <c r="S427" s="13"/>
      <c r="T427" s="13"/>
      <c r="U427" s="13"/>
      <c r="V427" s="13"/>
      <c r="W427" s="13"/>
      <c r="X427" s="13"/>
      <c r="Y427" s="13"/>
      <c r="Z427" s="13"/>
      <c r="AA427" s="13"/>
    </row>
    <row r="428" ht="16.5" customHeight="1">
      <c r="A428" s="10"/>
      <c r="B428" s="10"/>
      <c r="C428" s="13"/>
      <c r="D428" s="13"/>
      <c r="E428" s="13"/>
      <c r="F428" s="185"/>
      <c r="G428" s="13"/>
      <c r="H428" s="13"/>
      <c r="I428" s="13"/>
      <c r="J428" s="13"/>
      <c r="K428" s="13"/>
      <c r="L428" s="13"/>
      <c r="M428" s="13"/>
      <c r="N428" s="13"/>
      <c r="O428" s="13"/>
      <c r="P428" s="13"/>
      <c r="Q428" s="13"/>
      <c r="R428" s="13"/>
      <c r="S428" s="13"/>
      <c r="T428" s="13"/>
      <c r="U428" s="13"/>
      <c r="V428" s="13"/>
      <c r="W428" s="13"/>
      <c r="X428" s="13"/>
      <c r="Y428" s="13"/>
      <c r="Z428" s="13"/>
      <c r="AA428" s="13"/>
    </row>
    <row r="429" ht="16.5" customHeight="1">
      <c r="A429" s="10"/>
      <c r="B429" s="10"/>
      <c r="C429" s="13"/>
      <c r="D429" s="13"/>
      <c r="E429" s="13"/>
      <c r="F429" s="185"/>
      <c r="G429" s="13"/>
      <c r="H429" s="13"/>
      <c r="I429" s="13"/>
      <c r="J429" s="13"/>
      <c r="K429" s="13"/>
      <c r="L429" s="13"/>
      <c r="M429" s="13"/>
      <c r="N429" s="13"/>
      <c r="O429" s="13"/>
      <c r="P429" s="13"/>
      <c r="Q429" s="13"/>
      <c r="R429" s="13"/>
      <c r="S429" s="13"/>
      <c r="T429" s="13"/>
      <c r="U429" s="13"/>
      <c r="V429" s="13"/>
      <c r="W429" s="13"/>
      <c r="X429" s="13"/>
      <c r="Y429" s="13"/>
      <c r="Z429" s="13"/>
      <c r="AA429" s="13"/>
    </row>
    <row r="430" ht="16.5" customHeight="1">
      <c r="A430" s="10"/>
      <c r="B430" s="10"/>
      <c r="C430" s="13"/>
      <c r="D430" s="13"/>
      <c r="E430" s="13"/>
      <c r="F430" s="185"/>
      <c r="G430" s="13"/>
      <c r="H430" s="13"/>
      <c r="I430" s="13"/>
      <c r="J430" s="13"/>
      <c r="K430" s="13"/>
      <c r="L430" s="13"/>
      <c r="M430" s="13"/>
      <c r="N430" s="13"/>
      <c r="O430" s="13"/>
      <c r="P430" s="13"/>
      <c r="Q430" s="13"/>
      <c r="R430" s="13"/>
      <c r="S430" s="13"/>
      <c r="T430" s="13"/>
      <c r="U430" s="13"/>
      <c r="V430" s="13"/>
      <c r="W430" s="13"/>
      <c r="X430" s="13"/>
      <c r="Y430" s="13"/>
      <c r="Z430" s="13"/>
      <c r="AA430" s="13"/>
    </row>
    <row r="431" ht="16.5" customHeight="1">
      <c r="A431" s="10"/>
      <c r="B431" s="10"/>
      <c r="C431" s="13"/>
      <c r="D431" s="13"/>
      <c r="E431" s="13"/>
      <c r="F431" s="185"/>
      <c r="G431" s="13"/>
      <c r="H431" s="13"/>
      <c r="I431" s="13"/>
      <c r="J431" s="13"/>
      <c r="K431" s="13"/>
      <c r="L431" s="13"/>
      <c r="M431" s="13"/>
      <c r="N431" s="13"/>
      <c r="O431" s="13"/>
      <c r="P431" s="13"/>
      <c r="Q431" s="13"/>
      <c r="R431" s="13"/>
      <c r="S431" s="13"/>
      <c r="T431" s="13"/>
      <c r="U431" s="13"/>
      <c r="V431" s="13"/>
      <c r="W431" s="13"/>
      <c r="X431" s="13"/>
      <c r="Y431" s="13"/>
      <c r="Z431" s="13"/>
      <c r="AA431" s="13"/>
    </row>
    <row r="432" ht="16.5" customHeight="1">
      <c r="A432" s="10"/>
      <c r="B432" s="10"/>
      <c r="C432" s="13"/>
      <c r="D432" s="13"/>
      <c r="E432" s="13"/>
      <c r="F432" s="185"/>
      <c r="G432" s="13"/>
      <c r="H432" s="13"/>
      <c r="I432" s="13"/>
      <c r="J432" s="13"/>
      <c r="K432" s="13"/>
      <c r="L432" s="13"/>
      <c r="M432" s="13"/>
      <c r="N432" s="13"/>
      <c r="O432" s="13"/>
      <c r="P432" s="13"/>
      <c r="Q432" s="13"/>
      <c r="R432" s="13"/>
      <c r="S432" s="13"/>
      <c r="T432" s="13"/>
      <c r="U432" s="13"/>
      <c r="V432" s="13"/>
      <c r="W432" s="13"/>
      <c r="X432" s="13"/>
      <c r="Y432" s="13"/>
      <c r="Z432" s="13"/>
      <c r="AA432" s="13"/>
    </row>
    <row r="433" ht="16.5" customHeight="1">
      <c r="A433" s="10"/>
      <c r="B433" s="10"/>
      <c r="C433" s="13"/>
      <c r="D433" s="13"/>
      <c r="E433" s="13"/>
      <c r="F433" s="185"/>
      <c r="G433" s="13"/>
      <c r="H433" s="13"/>
      <c r="I433" s="13"/>
      <c r="J433" s="13"/>
      <c r="K433" s="13"/>
      <c r="L433" s="13"/>
      <c r="M433" s="13"/>
      <c r="N433" s="13"/>
      <c r="O433" s="13"/>
      <c r="P433" s="13"/>
      <c r="Q433" s="13"/>
      <c r="R433" s="13"/>
      <c r="S433" s="13"/>
      <c r="T433" s="13"/>
      <c r="U433" s="13"/>
      <c r="V433" s="13"/>
      <c r="W433" s="13"/>
      <c r="X433" s="13"/>
      <c r="Y433" s="13"/>
      <c r="Z433" s="13"/>
      <c r="AA433" s="13"/>
    </row>
    <row r="434" ht="16.5" customHeight="1">
      <c r="A434" s="10"/>
      <c r="B434" s="10"/>
      <c r="C434" s="13"/>
      <c r="D434" s="13"/>
      <c r="E434" s="13"/>
      <c r="F434" s="185"/>
      <c r="G434" s="13"/>
      <c r="H434" s="13"/>
      <c r="I434" s="13"/>
      <c r="J434" s="13"/>
      <c r="K434" s="13"/>
      <c r="L434" s="13"/>
      <c r="M434" s="13"/>
      <c r="N434" s="13"/>
      <c r="O434" s="13"/>
      <c r="P434" s="13"/>
      <c r="Q434" s="13"/>
      <c r="R434" s="13"/>
      <c r="S434" s="13"/>
      <c r="T434" s="13"/>
      <c r="U434" s="13"/>
      <c r="V434" s="13"/>
      <c r="W434" s="13"/>
      <c r="X434" s="13"/>
      <c r="Y434" s="13"/>
      <c r="Z434" s="13"/>
      <c r="AA434" s="13"/>
    </row>
    <row r="435" ht="16.5" customHeight="1">
      <c r="A435" s="10"/>
      <c r="B435" s="10"/>
      <c r="C435" s="13"/>
      <c r="D435" s="13"/>
      <c r="E435" s="13"/>
      <c r="F435" s="185"/>
      <c r="G435" s="13"/>
      <c r="H435" s="13"/>
      <c r="I435" s="13"/>
      <c r="J435" s="13"/>
      <c r="K435" s="13"/>
      <c r="L435" s="13"/>
      <c r="M435" s="13"/>
      <c r="N435" s="13"/>
      <c r="O435" s="13"/>
      <c r="P435" s="13"/>
      <c r="Q435" s="13"/>
      <c r="R435" s="13"/>
      <c r="S435" s="13"/>
      <c r="T435" s="13"/>
      <c r="U435" s="13"/>
      <c r="V435" s="13"/>
      <c r="W435" s="13"/>
      <c r="X435" s="13"/>
      <c r="Y435" s="13"/>
      <c r="Z435" s="13"/>
      <c r="AA435" s="13"/>
    </row>
    <row r="436" ht="16.5" customHeight="1">
      <c r="A436" s="10"/>
      <c r="B436" s="10"/>
      <c r="C436" s="13"/>
      <c r="D436" s="13"/>
      <c r="E436" s="13"/>
      <c r="F436" s="185"/>
      <c r="G436" s="13"/>
      <c r="H436" s="13"/>
      <c r="I436" s="13"/>
      <c r="J436" s="13"/>
      <c r="K436" s="13"/>
      <c r="L436" s="13"/>
      <c r="M436" s="13"/>
      <c r="N436" s="13"/>
      <c r="O436" s="13"/>
      <c r="P436" s="13"/>
      <c r="Q436" s="13"/>
      <c r="R436" s="13"/>
      <c r="S436" s="13"/>
      <c r="T436" s="13"/>
      <c r="U436" s="13"/>
      <c r="V436" s="13"/>
      <c r="W436" s="13"/>
      <c r="X436" s="13"/>
      <c r="Y436" s="13"/>
      <c r="Z436" s="13"/>
      <c r="AA436" s="13"/>
    </row>
    <row r="437" ht="16.5" customHeight="1">
      <c r="A437" s="10"/>
      <c r="B437" s="10"/>
      <c r="C437" s="13"/>
      <c r="D437" s="13"/>
      <c r="E437" s="13"/>
      <c r="F437" s="185"/>
      <c r="G437" s="13"/>
      <c r="H437" s="13"/>
      <c r="I437" s="13"/>
      <c r="J437" s="13"/>
      <c r="K437" s="13"/>
      <c r="L437" s="13"/>
      <c r="M437" s="13"/>
      <c r="N437" s="13"/>
      <c r="O437" s="13"/>
      <c r="P437" s="13"/>
      <c r="Q437" s="13"/>
      <c r="R437" s="13"/>
      <c r="S437" s="13"/>
      <c r="T437" s="13"/>
      <c r="U437" s="13"/>
      <c r="V437" s="13"/>
      <c r="W437" s="13"/>
      <c r="X437" s="13"/>
      <c r="Y437" s="13"/>
      <c r="Z437" s="13"/>
      <c r="AA437" s="13"/>
    </row>
    <row r="438" ht="16.5" customHeight="1">
      <c r="A438" s="10"/>
      <c r="B438" s="10"/>
      <c r="C438" s="13"/>
      <c r="D438" s="13"/>
      <c r="E438" s="13"/>
      <c r="F438" s="185"/>
      <c r="G438" s="13"/>
      <c r="H438" s="13"/>
      <c r="I438" s="13"/>
      <c r="J438" s="13"/>
      <c r="K438" s="13"/>
      <c r="L438" s="13"/>
      <c r="M438" s="13"/>
      <c r="N438" s="13"/>
      <c r="O438" s="13"/>
      <c r="P438" s="13"/>
      <c r="Q438" s="13"/>
      <c r="R438" s="13"/>
      <c r="S438" s="13"/>
      <c r="T438" s="13"/>
      <c r="U438" s="13"/>
      <c r="V438" s="13"/>
      <c r="W438" s="13"/>
      <c r="X438" s="13"/>
      <c r="Y438" s="13"/>
      <c r="Z438" s="13"/>
      <c r="AA438" s="13"/>
    </row>
    <row r="439" ht="16.5" customHeight="1">
      <c r="A439" s="10"/>
      <c r="B439" s="10"/>
      <c r="C439" s="13"/>
      <c r="D439" s="13"/>
      <c r="E439" s="13"/>
      <c r="F439" s="185"/>
      <c r="G439" s="13"/>
      <c r="H439" s="13"/>
      <c r="I439" s="13"/>
      <c r="J439" s="13"/>
      <c r="K439" s="13"/>
      <c r="L439" s="13"/>
      <c r="M439" s="13"/>
      <c r="N439" s="13"/>
      <c r="O439" s="13"/>
      <c r="P439" s="13"/>
      <c r="Q439" s="13"/>
      <c r="R439" s="13"/>
      <c r="S439" s="13"/>
      <c r="T439" s="13"/>
      <c r="U439" s="13"/>
      <c r="V439" s="13"/>
      <c r="W439" s="13"/>
      <c r="X439" s="13"/>
      <c r="Y439" s="13"/>
      <c r="Z439" s="13"/>
      <c r="AA439" s="13"/>
    </row>
    <row r="440" ht="16.5" customHeight="1">
      <c r="A440" s="10"/>
      <c r="B440" s="10"/>
      <c r="C440" s="13"/>
      <c r="D440" s="13"/>
      <c r="E440" s="13"/>
      <c r="F440" s="185"/>
      <c r="G440" s="13"/>
      <c r="H440" s="13"/>
      <c r="I440" s="13"/>
      <c r="J440" s="13"/>
      <c r="K440" s="13"/>
      <c r="L440" s="13"/>
      <c r="M440" s="13"/>
      <c r="N440" s="13"/>
      <c r="O440" s="13"/>
      <c r="P440" s="13"/>
      <c r="Q440" s="13"/>
      <c r="R440" s="13"/>
      <c r="S440" s="13"/>
      <c r="T440" s="13"/>
      <c r="U440" s="13"/>
      <c r="V440" s="13"/>
      <c r="W440" s="13"/>
      <c r="X440" s="13"/>
      <c r="Y440" s="13"/>
      <c r="Z440" s="13"/>
      <c r="AA440" s="13"/>
    </row>
    <row r="441" ht="16.5" customHeight="1">
      <c r="A441" s="10"/>
      <c r="B441" s="10"/>
      <c r="C441" s="13"/>
      <c r="D441" s="13"/>
      <c r="E441" s="13"/>
      <c r="F441" s="185"/>
      <c r="G441" s="13"/>
      <c r="H441" s="13"/>
      <c r="I441" s="13"/>
      <c r="J441" s="13"/>
      <c r="K441" s="13"/>
      <c r="L441" s="13"/>
      <c r="M441" s="13"/>
      <c r="N441" s="13"/>
      <c r="O441" s="13"/>
      <c r="P441" s="13"/>
      <c r="Q441" s="13"/>
      <c r="R441" s="13"/>
      <c r="S441" s="13"/>
      <c r="T441" s="13"/>
      <c r="U441" s="13"/>
      <c r="V441" s="13"/>
      <c r="W441" s="13"/>
      <c r="X441" s="13"/>
      <c r="Y441" s="13"/>
      <c r="Z441" s="13"/>
      <c r="AA441" s="13"/>
    </row>
    <row r="442" ht="16.5" customHeight="1">
      <c r="A442" s="10"/>
      <c r="B442" s="10"/>
      <c r="C442" s="13"/>
      <c r="D442" s="13"/>
      <c r="E442" s="13"/>
      <c r="F442" s="185"/>
      <c r="G442" s="13"/>
      <c r="H442" s="13"/>
      <c r="I442" s="13"/>
      <c r="J442" s="13"/>
      <c r="K442" s="13"/>
      <c r="L442" s="13"/>
      <c r="M442" s="13"/>
      <c r="N442" s="13"/>
      <c r="O442" s="13"/>
      <c r="P442" s="13"/>
      <c r="Q442" s="13"/>
      <c r="R442" s="13"/>
      <c r="S442" s="13"/>
      <c r="T442" s="13"/>
      <c r="U442" s="13"/>
      <c r="V442" s="13"/>
      <c r="W442" s="13"/>
      <c r="X442" s="13"/>
      <c r="Y442" s="13"/>
      <c r="Z442" s="13"/>
      <c r="AA442" s="13"/>
    </row>
    <row r="443" ht="16.5" customHeight="1">
      <c r="A443" s="10"/>
      <c r="B443" s="10"/>
      <c r="C443" s="13"/>
      <c r="D443" s="13"/>
      <c r="E443" s="13"/>
      <c r="F443" s="185"/>
      <c r="G443" s="13"/>
      <c r="H443" s="13"/>
      <c r="I443" s="13"/>
      <c r="J443" s="13"/>
      <c r="K443" s="13"/>
      <c r="L443" s="13"/>
      <c r="M443" s="13"/>
      <c r="N443" s="13"/>
      <c r="O443" s="13"/>
      <c r="P443" s="13"/>
      <c r="Q443" s="13"/>
      <c r="R443" s="13"/>
      <c r="S443" s="13"/>
      <c r="T443" s="13"/>
      <c r="U443" s="13"/>
      <c r="V443" s="13"/>
      <c r="W443" s="13"/>
      <c r="X443" s="13"/>
      <c r="Y443" s="13"/>
      <c r="Z443" s="13"/>
      <c r="AA443" s="13"/>
    </row>
    <row r="444" ht="16.5" customHeight="1">
      <c r="A444" s="10"/>
      <c r="B444" s="10"/>
      <c r="C444" s="13"/>
      <c r="D444" s="13"/>
      <c r="E444" s="13"/>
      <c r="F444" s="185"/>
      <c r="G444" s="13"/>
      <c r="H444" s="13"/>
      <c r="I444" s="13"/>
      <c r="J444" s="13"/>
      <c r="K444" s="13"/>
      <c r="L444" s="13"/>
      <c r="M444" s="13"/>
      <c r="N444" s="13"/>
      <c r="O444" s="13"/>
      <c r="P444" s="13"/>
      <c r="Q444" s="13"/>
      <c r="R444" s="13"/>
      <c r="S444" s="13"/>
      <c r="T444" s="13"/>
      <c r="U444" s="13"/>
      <c r="V444" s="13"/>
      <c r="W444" s="13"/>
      <c r="X444" s="13"/>
      <c r="Y444" s="13"/>
      <c r="Z444" s="13"/>
      <c r="AA444" s="13"/>
    </row>
    <row r="445" ht="16.5" customHeight="1">
      <c r="A445" s="10"/>
      <c r="B445" s="10"/>
      <c r="C445" s="13"/>
      <c r="D445" s="13"/>
      <c r="E445" s="13"/>
      <c r="F445" s="185"/>
      <c r="G445" s="13"/>
      <c r="H445" s="13"/>
      <c r="I445" s="13"/>
      <c r="J445" s="13"/>
      <c r="K445" s="13"/>
      <c r="L445" s="13"/>
      <c r="M445" s="13"/>
      <c r="N445" s="13"/>
      <c r="O445" s="13"/>
      <c r="P445" s="13"/>
      <c r="Q445" s="13"/>
      <c r="R445" s="13"/>
      <c r="S445" s="13"/>
      <c r="T445" s="13"/>
      <c r="U445" s="13"/>
      <c r="V445" s="13"/>
      <c r="W445" s="13"/>
      <c r="X445" s="13"/>
      <c r="Y445" s="13"/>
      <c r="Z445" s="13"/>
      <c r="AA445" s="13"/>
    </row>
    <row r="446" ht="16.5" customHeight="1">
      <c r="A446" s="10"/>
      <c r="B446" s="10"/>
      <c r="C446" s="13"/>
      <c r="D446" s="13"/>
      <c r="E446" s="13"/>
      <c r="F446" s="185"/>
      <c r="G446" s="13"/>
      <c r="H446" s="13"/>
      <c r="I446" s="13"/>
      <c r="J446" s="13"/>
      <c r="K446" s="13"/>
      <c r="L446" s="13"/>
      <c r="M446" s="13"/>
      <c r="N446" s="13"/>
      <c r="O446" s="13"/>
      <c r="P446" s="13"/>
      <c r="Q446" s="13"/>
      <c r="R446" s="13"/>
      <c r="S446" s="13"/>
      <c r="T446" s="13"/>
      <c r="U446" s="13"/>
      <c r="V446" s="13"/>
      <c r="W446" s="13"/>
      <c r="X446" s="13"/>
      <c r="Y446" s="13"/>
      <c r="Z446" s="13"/>
      <c r="AA446" s="13"/>
    </row>
    <row r="447" ht="16.5" customHeight="1">
      <c r="A447" s="10"/>
      <c r="B447" s="10"/>
      <c r="C447" s="13"/>
      <c r="D447" s="13"/>
      <c r="E447" s="13"/>
      <c r="F447" s="185"/>
      <c r="G447" s="13"/>
      <c r="H447" s="13"/>
      <c r="I447" s="13"/>
      <c r="J447" s="13"/>
      <c r="K447" s="13"/>
      <c r="L447" s="13"/>
      <c r="M447" s="13"/>
      <c r="N447" s="13"/>
      <c r="O447" s="13"/>
      <c r="P447" s="13"/>
      <c r="Q447" s="13"/>
      <c r="R447" s="13"/>
      <c r="S447" s="13"/>
      <c r="T447" s="13"/>
      <c r="U447" s="13"/>
      <c r="V447" s="13"/>
      <c r="W447" s="13"/>
      <c r="X447" s="13"/>
      <c r="Y447" s="13"/>
      <c r="Z447" s="13"/>
      <c r="AA447" s="13"/>
    </row>
    <row r="448" ht="16.5" customHeight="1">
      <c r="A448" s="10"/>
      <c r="B448" s="10"/>
      <c r="C448" s="13"/>
      <c r="D448" s="13"/>
      <c r="E448" s="13"/>
      <c r="F448" s="185"/>
      <c r="G448" s="13"/>
      <c r="H448" s="13"/>
      <c r="I448" s="13"/>
      <c r="J448" s="13"/>
      <c r="K448" s="13"/>
      <c r="L448" s="13"/>
      <c r="M448" s="13"/>
      <c r="N448" s="13"/>
      <c r="O448" s="13"/>
      <c r="P448" s="13"/>
      <c r="Q448" s="13"/>
      <c r="R448" s="13"/>
      <c r="S448" s="13"/>
      <c r="T448" s="13"/>
      <c r="U448" s="13"/>
      <c r="V448" s="13"/>
      <c r="W448" s="13"/>
      <c r="X448" s="13"/>
      <c r="Y448" s="13"/>
      <c r="Z448" s="13"/>
      <c r="AA448" s="13"/>
    </row>
    <row r="449" ht="16.5" customHeight="1">
      <c r="A449" s="10"/>
      <c r="B449" s="10"/>
      <c r="C449" s="13"/>
      <c r="D449" s="13"/>
      <c r="E449" s="13"/>
      <c r="F449" s="185"/>
      <c r="G449" s="13"/>
      <c r="H449" s="13"/>
      <c r="I449" s="13"/>
      <c r="J449" s="13"/>
      <c r="K449" s="13"/>
      <c r="L449" s="13"/>
      <c r="M449" s="13"/>
      <c r="N449" s="13"/>
      <c r="O449" s="13"/>
      <c r="P449" s="13"/>
      <c r="Q449" s="13"/>
      <c r="R449" s="13"/>
      <c r="S449" s="13"/>
      <c r="T449" s="13"/>
      <c r="U449" s="13"/>
      <c r="V449" s="13"/>
      <c r="W449" s="13"/>
      <c r="X449" s="13"/>
      <c r="Y449" s="13"/>
      <c r="Z449" s="13"/>
      <c r="AA449" s="13"/>
    </row>
    <row r="450" ht="16.5" customHeight="1">
      <c r="A450" s="10"/>
      <c r="B450" s="10"/>
      <c r="C450" s="13"/>
      <c r="D450" s="13"/>
      <c r="E450" s="13"/>
      <c r="F450" s="185"/>
      <c r="G450" s="13"/>
      <c r="H450" s="13"/>
      <c r="I450" s="13"/>
      <c r="J450" s="13"/>
      <c r="K450" s="13"/>
      <c r="L450" s="13"/>
      <c r="M450" s="13"/>
      <c r="N450" s="13"/>
      <c r="O450" s="13"/>
      <c r="P450" s="13"/>
      <c r="Q450" s="13"/>
      <c r="R450" s="13"/>
      <c r="S450" s="13"/>
      <c r="T450" s="13"/>
      <c r="U450" s="13"/>
      <c r="V450" s="13"/>
      <c r="W450" s="13"/>
      <c r="X450" s="13"/>
      <c r="Y450" s="13"/>
      <c r="Z450" s="13"/>
      <c r="AA450" s="13"/>
    </row>
    <row r="451" ht="16.5" customHeight="1">
      <c r="A451" s="10"/>
      <c r="B451" s="10"/>
      <c r="C451" s="13"/>
      <c r="D451" s="13"/>
      <c r="E451" s="13"/>
      <c r="F451" s="185"/>
      <c r="G451" s="13"/>
      <c r="H451" s="13"/>
      <c r="I451" s="13"/>
      <c r="J451" s="13"/>
      <c r="K451" s="13"/>
      <c r="L451" s="13"/>
      <c r="M451" s="13"/>
      <c r="N451" s="13"/>
      <c r="O451" s="13"/>
      <c r="P451" s="13"/>
      <c r="Q451" s="13"/>
      <c r="R451" s="13"/>
      <c r="S451" s="13"/>
      <c r="T451" s="13"/>
      <c r="U451" s="13"/>
      <c r="V451" s="13"/>
      <c r="W451" s="13"/>
      <c r="X451" s="13"/>
      <c r="Y451" s="13"/>
      <c r="Z451" s="13"/>
      <c r="AA451" s="13"/>
    </row>
    <row r="452" ht="16.5" customHeight="1">
      <c r="A452" s="10"/>
      <c r="B452" s="10"/>
      <c r="C452" s="13"/>
      <c r="D452" s="13"/>
      <c r="E452" s="13"/>
      <c r="F452" s="185"/>
      <c r="G452" s="13"/>
      <c r="H452" s="13"/>
      <c r="I452" s="13"/>
      <c r="J452" s="13"/>
      <c r="K452" s="13"/>
      <c r="L452" s="13"/>
      <c r="M452" s="13"/>
      <c r="N452" s="13"/>
      <c r="O452" s="13"/>
      <c r="P452" s="13"/>
      <c r="Q452" s="13"/>
      <c r="R452" s="13"/>
      <c r="S452" s="13"/>
      <c r="T452" s="13"/>
      <c r="U452" s="13"/>
      <c r="V452" s="13"/>
      <c r="W452" s="13"/>
      <c r="X452" s="13"/>
      <c r="Y452" s="13"/>
      <c r="Z452" s="13"/>
      <c r="AA452" s="13"/>
    </row>
    <row r="453" ht="16.5" customHeight="1">
      <c r="A453" s="10"/>
      <c r="B453" s="10"/>
      <c r="C453" s="13"/>
      <c r="D453" s="13"/>
      <c r="E453" s="13"/>
      <c r="F453" s="185"/>
      <c r="G453" s="13"/>
      <c r="H453" s="13"/>
      <c r="I453" s="13"/>
      <c r="J453" s="13"/>
      <c r="K453" s="13"/>
      <c r="L453" s="13"/>
      <c r="M453" s="13"/>
      <c r="N453" s="13"/>
      <c r="O453" s="13"/>
      <c r="P453" s="13"/>
      <c r="Q453" s="13"/>
      <c r="R453" s="13"/>
      <c r="S453" s="13"/>
      <c r="T453" s="13"/>
      <c r="U453" s="13"/>
      <c r="V453" s="13"/>
      <c r="W453" s="13"/>
      <c r="X453" s="13"/>
      <c r="Y453" s="13"/>
      <c r="Z453" s="13"/>
      <c r="AA453" s="13"/>
    </row>
    <row r="454" ht="16.5" customHeight="1">
      <c r="A454" s="10"/>
      <c r="B454" s="10"/>
      <c r="C454" s="13"/>
      <c r="D454" s="13"/>
      <c r="E454" s="13"/>
      <c r="F454" s="185"/>
      <c r="G454" s="13"/>
      <c r="H454" s="13"/>
      <c r="I454" s="13"/>
      <c r="J454" s="13"/>
      <c r="K454" s="13"/>
      <c r="L454" s="13"/>
      <c r="M454" s="13"/>
      <c r="N454" s="13"/>
      <c r="O454" s="13"/>
      <c r="P454" s="13"/>
      <c r="Q454" s="13"/>
      <c r="R454" s="13"/>
      <c r="S454" s="13"/>
      <c r="T454" s="13"/>
      <c r="U454" s="13"/>
      <c r="V454" s="13"/>
      <c r="W454" s="13"/>
      <c r="X454" s="13"/>
      <c r="Y454" s="13"/>
      <c r="Z454" s="13"/>
      <c r="AA454" s="13"/>
    </row>
    <row r="455" ht="16.5" customHeight="1">
      <c r="A455" s="10"/>
      <c r="B455" s="10"/>
      <c r="C455" s="13"/>
      <c r="D455" s="13"/>
      <c r="E455" s="13"/>
      <c r="F455" s="185"/>
      <c r="G455" s="13"/>
      <c r="H455" s="13"/>
      <c r="I455" s="13"/>
      <c r="J455" s="13"/>
      <c r="K455" s="13"/>
      <c r="L455" s="13"/>
      <c r="M455" s="13"/>
      <c r="N455" s="13"/>
      <c r="O455" s="13"/>
      <c r="P455" s="13"/>
      <c r="Q455" s="13"/>
      <c r="R455" s="13"/>
      <c r="S455" s="13"/>
      <c r="T455" s="13"/>
      <c r="U455" s="13"/>
      <c r="V455" s="13"/>
      <c r="W455" s="13"/>
      <c r="X455" s="13"/>
      <c r="Y455" s="13"/>
      <c r="Z455" s="13"/>
      <c r="AA455" s="13"/>
    </row>
    <row r="456" ht="16.5" customHeight="1">
      <c r="A456" s="10"/>
      <c r="B456" s="10"/>
      <c r="C456" s="13"/>
      <c r="D456" s="13"/>
      <c r="E456" s="13"/>
      <c r="F456" s="185"/>
      <c r="G456" s="13"/>
      <c r="H456" s="13"/>
      <c r="I456" s="13"/>
      <c r="J456" s="13"/>
      <c r="K456" s="13"/>
      <c r="L456" s="13"/>
      <c r="M456" s="13"/>
      <c r="N456" s="13"/>
      <c r="O456" s="13"/>
      <c r="P456" s="13"/>
      <c r="Q456" s="13"/>
      <c r="R456" s="13"/>
      <c r="S456" s="13"/>
      <c r="T456" s="13"/>
      <c r="U456" s="13"/>
      <c r="V456" s="13"/>
      <c r="W456" s="13"/>
      <c r="X456" s="13"/>
      <c r="Y456" s="13"/>
      <c r="Z456" s="13"/>
      <c r="AA456" s="13"/>
    </row>
    <row r="457" ht="16.5" customHeight="1">
      <c r="A457" s="10"/>
      <c r="B457" s="10"/>
      <c r="C457" s="13"/>
      <c r="D457" s="13"/>
      <c r="E457" s="13"/>
      <c r="F457" s="185"/>
      <c r="G457" s="13"/>
      <c r="H457" s="13"/>
      <c r="I457" s="13"/>
      <c r="J457" s="13"/>
      <c r="K457" s="13"/>
      <c r="L457" s="13"/>
      <c r="M457" s="13"/>
      <c r="N457" s="13"/>
      <c r="O457" s="13"/>
      <c r="P457" s="13"/>
      <c r="Q457" s="13"/>
      <c r="R457" s="13"/>
      <c r="S457" s="13"/>
      <c r="T457" s="13"/>
      <c r="U457" s="13"/>
      <c r="V457" s="13"/>
      <c r="W457" s="13"/>
      <c r="X457" s="13"/>
      <c r="Y457" s="13"/>
      <c r="Z457" s="13"/>
      <c r="AA457" s="13"/>
    </row>
    <row r="458" ht="16.5" customHeight="1">
      <c r="A458" s="10"/>
      <c r="B458" s="10"/>
      <c r="C458" s="13"/>
      <c r="D458" s="13"/>
      <c r="E458" s="13"/>
      <c r="F458" s="185"/>
      <c r="G458" s="13"/>
      <c r="H458" s="13"/>
      <c r="I458" s="13"/>
      <c r="J458" s="13"/>
      <c r="K458" s="13"/>
      <c r="L458" s="13"/>
      <c r="M458" s="13"/>
      <c r="N458" s="13"/>
      <c r="O458" s="13"/>
      <c r="P458" s="13"/>
      <c r="Q458" s="13"/>
      <c r="R458" s="13"/>
      <c r="S458" s="13"/>
      <c r="T458" s="13"/>
      <c r="U458" s="13"/>
      <c r="V458" s="13"/>
      <c r="W458" s="13"/>
      <c r="X458" s="13"/>
      <c r="Y458" s="13"/>
      <c r="Z458" s="13"/>
      <c r="AA458" s="13"/>
    </row>
    <row r="459" ht="16.5" customHeight="1">
      <c r="A459" s="10"/>
      <c r="B459" s="10"/>
      <c r="C459" s="13"/>
      <c r="D459" s="13"/>
      <c r="E459" s="13"/>
      <c r="F459" s="185"/>
      <c r="G459" s="13"/>
      <c r="H459" s="13"/>
      <c r="I459" s="13"/>
      <c r="J459" s="13"/>
      <c r="K459" s="13"/>
      <c r="L459" s="13"/>
      <c r="M459" s="13"/>
      <c r="N459" s="13"/>
      <c r="O459" s="13"/>
      <c r="P459" s="13"/>
      <c r="Q459" s="13"/>
      <c r="R459" s="13"/>
      <c r="S459" s="13"/>
      <c r="T459" s="13"/>
      <c r="U459" s="13"/>
      <c r="V459" s="13"/>
      <c r="W459" s="13"/>
      <c r="X459" s="13"/>
      <c r="Y459" s="13"/>
      <c r="Z459" s="13"/>
      <c r="AA459" s="13"/>
    </row>
    <row r="460" ht="16.5" customHeight="1">
      <c r="A460" s="10"/>
      <c r="B460" s="10"/>
      <c r="C460" s="13"/>
      <c r="D460" s="13"/>
      <c r="E460" s="13"/>
      <c r="F460" s="185"/>
      <c r="G460" s="13"/>
      <c r="H460" s="13"/>
      <c r="I460" s="13"/>
      <c r="J460" s="13"/>
      <c r="K460" s="13"/>
      <c r="L460" s="13"/>
      <c r="M460" s="13"/>
      <c r="N460" s="13"/>
      <c r="O460" s="13"/>
      <c r="P460" s="13"/>
      <c r="Q460" s="13"/>
      <c r="R460" s="13"/>
      <c r="S460" s="13"/>
      <c r="T460" s="13"/>
      <c r="U460" s="13"/>
      <c r="V460" s="13"/>
      <c r="W460" s="13"/>
      <c r="X460" s="13"/>
      <c r="Y460" s="13"/>
      <c r="Z460" s="13"/>
      <c r="AA460" s="13"/>
    </row>
    <row r="461" ht="16.5" customHeight="1">
      <c r="A461" s="10"/>
      <c r="B461" s="10"/>
      <c r="C461" s="13"/>
      <c r="D461" s="13"/>
      <c r="E461" s="13"/>
      <c r="F461" s="185"/>
      <c r="G461" s="13"/>
      <c r="H461" s="13"/>
      <c r="I461" s="13"/>
      <c r="J461" s="13"/>
      <c r="K461" s="13"/>
      <c r="L461" s="13"/>
      <c r="M461" s="13"/>
      <c r="N461" s="13"/>
      <c r="O461" s="13"/>
      <c r="P461" s="13"/>
      <c r="Q461" s="13"/>
      <c r="R461" s="13"/>
      <c r="S461" s="13"/>
      <c r="T461" s="13"/>
      <c r="U461" s="13"/>
      <c r="V461" s="13"/>
      <c r="W461" s="13"/>
      <c r="X461" s="13"/>
      <c r="Y461" s="13"/>
      <c r="Z461" s="13"/>
      <c r="AA461" s="13"/>
    </row>
    <row r="462" ht="16.5" customHeight="1">
      <c r="A462" s="10"/>
      <c r="B462" s="10"/>
      <c r="C462" s="13"/>
      <c r="D462" s="13"/>
      <c r="E462" s="13"/>
      <c r="F462" s="185"/>
      <c r="G462" s="13"/>
      <c r="H462" s="13"/>
      <c r="I462" s="13"/>
      <c r="J462" s="13"/>
      <c r="K462" s="13"/>
      <c r="L462" s="13"/>
      <c r="M462" s="13"/>
      <c r="N462" s="13"/>
      <c r="O462" s="13"/>
      <c r="P462" s="13"/>
      <c r="Q462" s="13"/>
      <c r="R462" s="13"/>
      <c r="S462" s="13"/>
      <c r="T462" s="13"/>
      <c r="U462" s="13"/>
      <c r="V462" s="13"/>
      <c r="W462" s="13"/>
      <c r="X462" s="13"/>
      <c r="Y462" s="13"/>
      <c r="Z462" s="13"/>
      <c r="AA462" s="13"/>
    </row>
    <row r="463" ht="16.5" customHeight="1">
      <c r="A463" s="10"/>
      <c r="B463" s="10"/>
      <c r="C463" s="13"/>
      <c r="D463" s="13"/>
      <c r="E463" s="13"/>
      <c r="F463" s="185"/>
      <c r="G463" s="13"/>
      <c r="H463" s="13"/>
      <c r="I463" s="13"/>
      <c r="J463" s="13"/>
      <c r="K463" s="13"/>
      <c r="L463" s="13"/>
      <c r="M463" s="13"/>
      <c r="N463" s="13"/>
      <c r="O463" s="13"/>
      <c r="P463" s="13"/>
      <c r="Q463" s="13"/>
      <c r="R463" s="13"/>
      <c r="S463" s="13"/>
      <c r="T463" s="13"/>
      <c r="U463" s="13"/>
      <c r="V463" s="13"/>
      <c r="W463" s="13"/>
      <c r="X463" s="13"/>
      <c r="Y463" s="13"/>
      <c r="Z463" s="13"/>
      <c r="AA463" s="13"/>
    </row>
    <row r="464" ht="16.5" customHeight="1">
      <c r="A464" s="10"/>
      <c r="B464" s="10"/>
      <c r="C464" s="13"/>
      <c r="D464" s="13"/>
      <c r="E464" s="13"/>
      <c r="F464" s="185"/>
      <c r="G464" s="13"/>
      <c r="H464" s="13"/>
      <c r="I464" s="13"/>
      <c r="J464" s="13"/>
      <c r="K464" s="13"/>
      <c r="L464" s="13"/>
      <c r="M464" s="13"/>
      <c r="N464" s="13"/>
      <c r="O464" s="13"/>
      <c r="P464" s="13"/>
      <c r="Q464" s="13"/>
      <c r="R464" s="13"/>
      <c r="S464" s="13"/>
      <c r="T464" s="13"/>
      <c r="U464" s="13"/>
      <c r="V464" s="13"/>
      <c r="W464" s="13"/>
      <c r="X464" s="13"/>
      <c r="Y464" s="13"/>
      <c r="Z464" s="13"/>
      <c r="AA464" s="13"/>
    </row>
    <row r="465" ht="16.5" customHeight="1">
      <c r="A465" s="10"/>
      <c r="B465" s="10"/>
      <c r="C465" s="13"/>
      <c r="D465" s="13"/>
      <c r="E465" s="13"/>
      <c r="F465" s="185"/>
      <c r="G465" s="13"/>
      <c r="H465" s="13"/>
      <c r="I465" s="13"/>
      <c r="J465" s="13"/>
      <c r="K465" s="13"/>
      <c r="L465" s="13"/>
      <c r="M465" s="13"/>
      <c r="N465" s="13"/>
      <c r="O465" s="13"/>
      <c r="P465" s="13"/>
      <c r="Q465" s="13"/>
      <c r="R465" s="13"/>
      <c r="S465" s="13"/>
      <c r="T465" s="13"/>
      <c r="U465" s="13"/>
      <c r="V465" s="13"/>
      <c r="W465" s="13"/>
      <c r="X465" s="13"/>
      <c r="Y465" s="13"/>
      <c r="Z465" s="13"/>
      <c r="AA465" s="13"/>
    </row>
    <row r="466" ht="16.5" customHeight="1">
      <c r="A466" s="10"/>
      <c r="B466" s="10"/>
      <c r="C466" s="13"/>
      <c r="D466" s="13"/>
      <c r="E466" s="13"/>
      <c r="F466" s="185"/>
      <c r="G466" s="13"/>
      <c r="H466" s="13"/>
      <c r="I466" s="13"/>
      <c r="J466" s="13"/>
      <c r="K466" s="13"/>
      <c r="L466" s="13"/>
      <c r="M466" s="13"/>
      <c r="N466" s="13"/>
      <c r="O466" s="13"/>
      <c r="P466" s="13"/>
      <c r="Q466" s="13"/>
      <c r="R466" s="13"/>
      <c r="S466" s="13"/>
      <c r="T466" s="13"/>
      <c r="U466" s="13"/>
      <c r="V466" s="13"/>
      <c r="W466" s="13"/>
      <c r="X466" s="13"/>
      <c r="Y466" s="13"/>
      <c r="Z466" s="13"/>
      <c r="AA466" s="13"/>
    </row>
    <row r="467" ht="16.5" customHeight="1">
      <c r="A467" s="10"/>
      <c r="B467" s="10"/>
      <c r="C467" s="13"/>
      <c r="D467" s="13"/>
      <c r="E467" s="13"/>
      <c r="F467" s="185"/>
      <c r="G467" s="13"/>
      <c r="H467" s="13"/>
      <c r="I467" s="13"/>
      <c r="J467" s="13"/>
      <c r="K467" s="13"/>
      <c r="L467" s="13"/>
      <c r="M467" s="13"/>
      <c r="N467" s="13"/>
      <c r="O467" s="13"/>
      <c r="P467" s="13"/>
      <c r="Q467" s="13"/>
      <c r="R467" s="13"/>
      <c r="S467" s="13"/>
      <c r="T467" s="13"/>
      <c r="U467" s="13"/>
      <c r="V467" s="13"/>
      <c r="W467" s="13"/>
      <c r="X467" s="13"/>
      <c r="Y467" s="13"/>
      <c r="Z467" s="13"/>
      <c r="AA467" s="13"/>
    </row>
    <row r="468" ht="16.5" customHeight="1">
      <c r="A468" s="10"/>
      <c r="B468" s="10"/>
      <c r="C468" s="13"/>
      <c r="D468" s="13"/>
      <c r="E468" s="13"/>
      <c r="F468" s="185"/>
      <c r="G468" s="13"/>
      <c r="H468" s="13"/>
      <c r="I468" s="13"/>
      <c r="J468" s="13"/>
      <c r="K468" s="13"/>
      <c r="L468" s="13"/>
      <c r="M468" s="13"/>
      <c r="N468" s="13"/>
      <c r="O468" s="13"/>
      <c r="P468" s="13"/>
      <c r="Q468" s="13"/>
      <c r="R468" s="13"/>
      <c r="S468" s="13"/>
      <c r="T468" s="13"/>
      <c r="U468" s="13"/>
      <c r="V468" s="13"/>
      <c r="W468" s="13"/>
      <c r="X468" s="13"/>
      <c r="Y468" s="13"/>
      <c r="Z468" s="13"/>
      <c r="AA468" s="13"/>
    </row>
    <row r="469" ht="16.5" customHeight="1">
      <c r="A469" s="10"/>
      <c r="B469" s="10"/>
      <c r="C469" s="13"/>
      <c r="D469" s="13"/>
      <c r="E469" s="13"/>
      <c r="F469" s="185"/>
      <c r="G469" s="13"/>
      <c r="H469" s="13"/>
      <c r="I469" s="13"/>
      <c r="J469" s="13"/>
      <c r="K469" s="13"/>
      <c r="L469" s="13"/>
      <c r="M469" s="13"/>
      <c r="N469" s="13"/>
      <c r="O469" s="13"/>
      <c r="P469" s="13"/>
      <c r="Q469" s="13"/>
      <c r="R469" s="13"/>
      <c r="S469" s="13"/>
      <c r="T469" s="13"/>
      <c r="U469" s="13"/>
      <c r="V469" s="13"/>
      <c r="W469" s="13"/>
      <c r="X469" s="13"/>
      <c r="Y469" s="13"/>
      <c r="Z469" s="13"/>
      <c r="AA469" s="13"/>
    </row>
    <row r="470" ht="16.5" customHeight="1">
      <c r="A470" s="10"/>
      <c r="B470" s="10"/>
      <c r="C470" s="13"/>
      <c r="D470" s="13"/>
      <c r="E470" s="13"/>
      <c r="F470" s="185"/>
      <c r="G470" s="13"/>
      <c r="H470" s="13"/>
      <c r="I470" s="13"/>
      <c r="J470" s="13"/>
      <c r="K470" s="13"/>
      <c r="L470" s="13"/>
      <c r="M470" s="13"/>
      <c r="N470" s="13"/>
      <c r="O470" s="13"/>
      <c r="P470" s="13"/>
      <c r="Q470" s="13"/>
      <c r="R470" s="13"/>
      <c r="S470" s="13"/>
      <c r="T470" s="13"/>
      <c r="U470" s="13"/>
      <c r="V470" s="13"/>
      <c r="W470" s="13"/>
      <c r="X470" s="13"/>
      <c r="Y470" s="13"/>
      <c r="Z470" s="13"/>
      <c r="AA470" s="13"/>
    </row>
    <row r="471" ht="16.5" customHeight="1">
      <c r="A471" s="10"/>
      <c r="B471" s="10"/>
      <c r="C471" s="13"/>
      <c r="D471" s="13"/>
      <c r="E471" s="13"/>
      <c r="F471" s="185"/>
      <c r="G471" s="13"/>
      <c r="H471" s="13"/>
      <c r="I471" s="13"/>
      <c r="J471" s="13"/>
      <c r="K471" s="13"/>
      <c r="L471" s="13"/>
      <c r="M471" s="13"/>
      <c r="N471" s="13"/>
      <c r="O471" s="13"/>
      <c r="P471" s="13"/>
      <c r="Q471" s="13"/>
      <c r="R471" s="13"/>
      <c r="S471" s="13"/>
      <c r="T471" s="13"/>
      <c r="U471" s="13"/>
      <c r="V471" s="13"/>
      <c r="W471" s="13"/>
      <c r="X471" s="13"/>
      <c r="Y471" s="13"/>
      <c r="Z471" s="13"/>
      <c r="AA471" s="13"/>
    </row>
    <row r="472" ht="16.5" customHeight="1">
      <c r="A472" s="10"/>
      <c r="B472" s="10"/>
      <c r="C472" s="13"/>
      <c r="D472" s="13"/>
      <c r="E472" s="13"/>
      <c r="F472" s="185"/>
      <c r="G472" s="13"/>
      <c r="H472" s="13"/>
      <c r="I472" s="13"/>
      <c r="J472" s="13"/>
      <c r="K472" s="13"/>
      <c r="L472" s="13"/>
      <c r="M472" s="13"/>
      <c r="N472" s="13"/>
      <c r="O472" s="13"/>
      <c r="P472" s="13"/>
      <c r="Q472" s="13"/>
      <c r="R472" s="13"/>
      <c r="S472" s="13"/>
      <c r="T472" s="13"/>
      <c r="U472" s="13"/>
      <c r="V472" s="13"/>
      <c r="W472" s="13"/>
      <c r="X472" s="13"/>
      <c r="Y472" s="13"/>
      <c r="Z472" s="13"/>
      <c r="AA472" s="13"/>
    </row>
    <row r="473" ht="16.5" customHeight="1">
      <c r="A473" s="10"/>
      <c r="B473" s="10"/>
      <c r="C473" s="13"/>
      <c r="D473" s="13"/>
      <c r="E473" s="13"/>
      <c r="F473" s="185"/>
      <c r="G473" s="13"/>
      <c r="H473" s="13"/>
      <c r="I473" s="13"/>
      <c r="J473" s="13"/>
      <c r="K473" s="13"/>
      <c r="L473" s="13"/>
      <c r="M473" s="13"/>
      <c r="N473" s="13"/>
      <c r="O473" s="13"/>
      <c r="P473" s="13"/>
      <c r="Q473" s="13"/>
      <c r="R473" s="13"/>
      <c r="S473" s="13"/>
      <c r="T473" s="13"/>
      <c r="U473" s="13"/>
      <c r="V473" s="13"/>
      <c r="W473" s="13"/>
      <c r="X473" s="13"/>
      <c r="Y473" s="13"/>
      <c r="Z473" s="13"/>
      <c r="AA473" s="13"/>
    </row>
    <row r="474" ht="16.5" customHeight="1">
      <c r="A474" s="10"/>
      <c r="B474" s="10"/>
      <c r="C474" s="13"/>
      <c r="D474" s="13"/>
      <c r="E474" s="13"/>
      <c r="F474" s="185"/>
      <c r="G474" s="13"/>
      <c r="H474" s="13"/>
      <c r="I474" s="13"/>
      <c r="J474" s="13"/>
      <c r="K474" s="13"/>
      <c r="L474" s="13"/>
      <c r="M474" s="13"/>
      <c r="N474" s="13"/>
      <c r="O474" s="13"/>
      <c r="P474" s="13"/>
      <c r="Q474" s="13"/>
      <c r="R474" s="13"/>
      <c r="S474" s="13"/>
      <c r="T474" s="13"/>
      <c r="U474" s="13"/>
      <c r="V474" s="13"/>
      <c r="W474" s="13"/>
      <c r="X474" s="13"/>
      <c r="Y474" s="13"/>
      <c r="Z474" s="13"/>
      <c r="AA474" s="13"/>
    </row>
    <row r="475" ht="16.5" customHeight="1">
      <c r="A475" s="10"/>
      <c r="B475" s="10"/>
      <c r="C475" s="13"/>
      <c r="D475" s="13"/>
      <c r="E475" s="13"/>
      <c r="F475" s="185"/>
      <c r="G475" s="13"/>
      <c r="H475" s="13"/>
      <c r="I475" s="13"/>
      <c r="J475" s="13"/>
      <c r="K475" s="13"/>
      <c r="L475" s="13"/>
      <c r="M475" s="13"/>
      <c r="N475" s="13"/>
      <c r="O475" s="13"/>
      <c r="P475" s="13"/>
      <c r="Q475" s="13"/>
      <c r="R475" s="13"/>
      <c r="S475" s="13"/>
      <c r="T475" s="13"/>
      <c r="U475" s="13"/>
      <c r="V475" s="13"/>
      <c r="W475" s="13"/>
      <c r="X475" s="13"/>
      <c r="Y475" s="13"/>
      <c r="Z475" s="13"/>
      <c r="AA475" s="13"/>
    </row>
    <row r="476" ht="16.5" customHeight="1">
      <c r="A476" s="10"/>
      <c r="B476" s="10"/>
      <c r="C476" s="13"/>
      <c r="D476" s="13"/>
      <c r="E476" s="13"/>
      <c r="F476" s="185"/>
      <c r="G476" s="13"/>
      <c r="H476" s="13"/>
      <c r="I476" s="13"/>
      <c r="J476" s="13"/>
      <c r="K476" s="13"/>
      <c r="L476" s="13"/>
      <c r="M476" s="13"/>
      <c r="N476" s="13"/>
      <c r="O476" s="13"/>
      <c r="P476" s="13"/>
      <c r="Q476" s="13"/>
      <c r="R476" s="13"/>
      <c r="S476" s="13"/>
      <c r="T476" s="13"/>
      <c r="U476" s="13"/>
      <c r="V476" s="13"/>
      <c r="W476" s="13"/>
      <c r="X476" s="13"/>
      <c r="Y476" s="13"/>
      <c r="Z476" s="13"/>
      <c r="AA476" s="13"/>
    </row>
    <row r="477" ht="16.5" customHeight="1">
      <c r="A477" s="10"/>
      <c r="B477" s="10"/>
      <c r="C477" s="13"/>
      <c r="D477" s="13"/>
      <c r="E477" s="13"/>
      <c r="F477" s="185"/>
      <c r="G477" s="13"/>
      <c r="H477" s="13"/>
      <c r="I477" s="13"/>
      <c r="J477" s="13"/>
      <c r="K477" s="13"/>
      <c r="L477" s="13"/>
      <c r="M477" s="13"/>
      <c r="N477" s="13"/>
      <c r="O477" s="13"/>
      <c r="P477" s="13"/>
      <c r="Q477" s="13"/>
      <c r="R477" s="13"/>
      <c r="S477" s="13"/>
      <c r="T477" s="13"/>
      <c r="U477" s="13"/>
      <c r="V477" s="13"/>
      <c r="W477" s="13"/>
      <c r="X477" s="13"/>
      <c r="Y477" s="13"/>
      <c r="Z477" s="13"/>
      <c r="AA477" s="13"/>
    </row>
    <row r="478" ht="16.5" customHeight="1">
      <c r="A478" s="10"/>
      <c r="B478" s="10"/>
      <c r="C478" s="13"/>
      <c r="D478" s="13"/>
      <c r="E478" s="13"/>
      <c r="F478" s="185"/>
      <c r="G478" s="13"/>
      <c r="H478" s="13"/>
      <c r="I478" s="13"/>
      <c r="J478" s="13"/>
      <c r="K478" s="13"/>
      <c r="L478" s="13"/>
      <c r="M478" s="13"/>
      <c r="N478" s="13"/>
      <c r="O478" s="13"/>
      <c r="P478" s="13"/>
      <c r="Q478" s="13"/>
      <c r="R478" s="13"/>
      <c r="S478" s="13"/>
      <c r="T478" s="13"/>
      <c r="U478" s="13"/>
      <c r="V478" s="13"/>
      <c r="W478" s="13"/>
      <c r="X478" s="13"/>
      <c r="Y478" s="13"/>
      <c r="Z478" s="13"/>
      <c r="AA478" s="13"/>
    </row>
    <row r="479" ht="16.5" customHeight="1">
      <c r="A479" s="10"/>
      <c r="B479" s="10"/>
      <c r="C479" s="13"/>
      <c r="D479" s="13"/>
      <c r="E479" s="13"/>
      <c r="F479" s="185"/>
      <c r="G479" s="13"/>
      <c r="H479" s="13"/>
      <c r="I479" s="13"/>
      <c r="J479" s="13"/>
      <c r="K479" s="13"/>
      <c r="L479" s="13"/>
      <c r="M479" s="13"/>
      <c r="N479" s="13"/>
      <c r="O479" s="13"/>
      <c r="P479" s="13"/>
      <c r="Q479" s="13"/>
      <c r="R479" s="13"/>
      <c r="S479" s="13"/>
      <c r="T479" s="13"/>
      <c r="U479" s="13"/>
      <c r="V479" s="13"/>
      <c r="W479" s="13"/>
      <c r="X479" s="13"/>
      <c r="Y479" s="13"/>
      <c r="Z479" s="13"/>
      <c r="AA479" s="13"/>
    </row>
    <row r="480" ht="16.5" customHeight="1">
      <c r="A480" s="10"/>
      <c r="B480" s="10"/>
      <c r="C480" s="13"/>
      <c r="D480" s="13"/>
      <c r="E480" s="13"/>
      <c r="F480" s="185"/>
      <c r="G480" s="13"/>
      <c r="H480" s="13"/>
      <c r="I480" s="13"/>
      <c r="J480" s="13"/>
      <c r="K480" s="13"/>
      <c r="L480" s="13"/>
      <c r="M480" s="13"/>
      <c r="N480" s="13"/>
      <c r="O480" s="13"/>
      <c r="P480" s="13"/>
      <c r="Q480" s="13"/>
      <c r="R480" s="13"/>
      <c r="S480" s="13"/>
      <c r="T480" s="13"/>
      <c r="U480" s="13"/>
      <c r="V480" s="13"/>
      <c r="W480" s="13"/>
      <c r="X480" s="13"/>
      <c r="Y480" s="13"/>
      <c r="Z480" s="13"/>
      <c r="AA480" s="13"/>
    </row>
    <row r="481" ht="16.5" customHeight="1">
      <c r="A481" s="10"/>
      <c r="B481" s="10"/>
      <c r="C481" s="13"/>
      <c r="D481" s="13"/>
      <c r="E481" s="13"/>
      <c r="F481" s="185"/>
      <c r="G481" s="13"/>
      <c r="H481" s="13"/>
      <c r="I481" s="13"/>
      <c r="J481" s="13"/>
      <c r="K481" s="13"/>
      <c r="L481" s="13"/>
      <c r="M481" s="13"/>
      <c r="N481" s="13"/>
      <c r="O481" s="13"/>
      <c r="P481" s="13"/>
      <c r="Q481" s="13"/>
      <c r="R481" s="13"/>
      <c r="S481" s="13"/>
      <c r="T481" s="13"/>
      <c r="U481" s="13"/>
      <c r="V481" s="13"/>
      <c r="W481" s="13"/>
      <c r="X481" s="13"/>
      <c r="Y481" s="13"/>
      <c r="Z481" s="13"/>
      <c r="AA481" s="13"/>
    </row>
    <row r="482" ht="16.5" customHeight="1">
      <c r="A482" s="10"/>
      <c r="B482" s="10"/>
      <c r="C482" s="13"/>
      <c r="D482" s="13"/>
      <c r="E482" s="13"/>
      <c r="F482" s="185"/>
      <c r="G482" s="13"/>
      <c r="H482" s="13"/>
      <c r="I482" s="13"/>
      <c r="J482" s="13"/>
      <c r="K482" s="13"/>
      <c r="L482" s="13"/>
      <c r="M482" s="13"/>
      <c r="N482" s="13"/>
      <c r="O482" s="13"/>
      <c r="P482" s="13"/>
      <c r="Q482" s="13"/>
      <c r="R482" s="13"/>
      <c r="S482" s="13"/>
      <c r="T482" s="13"/>
      <c r="U482" s="13"/>
      <c r="V482" s="13"/>
      <c r="W482" s="13"/>
      <c r="X482" s="13"/>
      <c r="Y482" s="13"/>
      <c r="Z482" s="13"/>
      <c r="AA482" s="13"/>
    </row>
    <row r="483" ht="16.5" customHeight="1">
      <c r="A483" s="10"/>
      <c r="B483" s="10"/>
      <c r="C483" s="13"/>
      <c r="D483" s="13"/>
      <c r="E483" s="13"/>
      <c r="F483" s="185"/>
      <c r="G483" s="13"/>
      <c r="H483" s="13"/>
      <c r="I483" s="13"/>
      <c r="J483" s="13"/>
      <c r="K483" s="13"/>
      <c r="L483" s="13"/>
      <c r="M483" s="13"/>
      <c r="N483" s="13"/>
      <c r="O483" s="13"/>
      <c r="P483" s="13"/>
      <c r="Q483" s="13"/>
      <c r="R483" s="13"/>
      <c r="S483" s="13"/>
      <c r="T483" s="13"/>
      <c r="U483" s="13"/>
      <c r="V483" s="13"/>
      <c r="W483" s="13"/>
      <c r="X483" s="13"/>
      <c r="Y483" s="13"/>
      <c r="Z483" s="13"/>
      <c r="AA483" s="13"/>
    </row>
    <row r="484" ht="16.5" customHeight="1">
      <c r="A484" s="10"/>
      <c r="B484" s="10"/>
      <c r="C484" s="13"/>
      <c r="D484" s="13"/>
      <c r="E484" s="13"/>
      <c r="F484" s="185"/>
      <c r="G484" s="13"/>
      <c r="H484" s="13"/>
      <c r="I484" s="13"/>
      <c r="J484" s="13"/>
      <c r="K484" s="13"/>
      <c r="L484" s="13"/>
      <c r="M484" s="13"/>
      <c r="N484" s="13"/>
      <c r="O484" s="13"/>
      <c r="P484" s="13"/>
      <c r="Q484" s="13"/>
      <c r="R484" s="13"/>
      <c r="S484" s="13"/>
      <c r="T484" s="13"/>
      <c r="U484" s="13"/>
      <c r="V484" s="13"/>
      <c r="W484" s="13"/>
      <c r="X484" s="13"/>
      <c r="Y484" s="13"/>
      <c r="Z484" s="13"/>
      <c r="AA484" s="13"/>
    </row>
    <row r="485" ht="16.5" customHeight="1">
      <c r="A485" s="10"/>
      <c r="B485" s="10"/>
      <c r="C485" s="13"/>
      <c r="D485" s="13"/>
      <c r="E485" s="13"/>
      <c r="F485" s="185"/>
      <c r="G485" s="13"/>
      <c r="H485" s="13"/>
      <c r="I485" s="13"/>
      <c r="J485" s="13"/>
      <c r="K485" s="13"/>
      <c r="L485" s="13"/>
      <c r="M485" s="13"/>
      <c r="N485" s="13"/>
      <c r="O485" s="13"/>
      <c r="P485" s="13"/>
      <c r="Q485" s="13"/>
      <c r="R485" s="13"/>
      <c r="S485" s="13"/>
      <c r="T485" s="13"/>
      <c r="U485" s="13"/>
      <c r="V485" s="13"/>
      <c r="W485" s="13"/>
      <c r="X485" s="13"/>
      <c r="Y485" s="13"/>
      <c r="Z485" s="13"/>
      <c r="AA485" s="13"/>
    </row>
    <row r="486" ht="16.5" customHeight="1">
      <c r="A486" s="10"/>
      <c r="B486" s="10"/>
      <c r="C486" s="13"/>
      <c r="D486" s="13"/>
      <c r="E486" s="13"/>
      <c r="F486" s="185"/>
      <c r="G486" s="13"/>
      <c r="H486" s="13"/>
      <c r="I486" s="13"/>
      <c r="J486" s="13"/>
      <c r="K486" s="13"/>
      <c r="L486" s="13"/>
      <c r="M486" s="13"/>
      <c r="N486" s="13"/>
      <c r="O486" s="13"/>
      <c r="P486" s="13"/>
      <c r="Q486" s="13"/>
      <c r="R486" s="13"/>
      <c r="S486" s="13"/>
      <c r="T486" s="13"/>
      <c r="U486" s="13"/>
      <c r="V486" s="13"/>
      <c r="W486" s="13"/>
      <c r="X486" s="13"/>
      <c r="Y486" s="13"/>
      <c r="Z486" s="13"/>
      <c r="AA486" s="13"/>
    </row>
    <row r="487" ht="16.5" customHeight="1">
      <c r="A487" s="10"/>
      <c r="B487" s="10"/>
      <c r="C487" s="13"/>
      <c r="D487" s="13"/>
      <c r="E487" s="13"/>
      <c r="F487" s="185"/>
      <c r="G487" s="13"/>
      <c r="H487" s="13"/>
      <c r="I487" s="13"/>
      <c r="J487" s="13"/>
      <c r="K487" s="13"/>
      <c r="L487" s="13"/>
      <c r="M487" s="13"/>
      <c r="N487" s="13"/>
      <c r="O487" s="13"/>
      <c r="P487" s="13"/>
      <c r="Q487" s="13"/>
      <c r="R487" s="13"/>
      <c r="S487" s="13"/>
      <c r="T487" s="13"/>
      <c r="U487" s="13"/>
      <c r="V487" s="13"/>
      <c r="W487" s="13"/>
      <c r="X487" s="13"/>
      <c r="Y487" s="13"/>
      <c r="Z487" s="13"/>
      <c r="AA487" s="13"/>
    </row>
    <row r="488" ht="16.5" customHeight="1">
      <c r="A488" s="10"/>
      <c r="B488" s="10"/>
      <c r="C488" s="13"/>
      <c r="D488" s="13"/>
      <c r="E488" s="13"/>
      <c r="F488" s="185"/>
      <c r="G488" s="13"/>
      <c r="H488" s="13"/>
      <c r="I488" s="13"/>
      <c r="J488" s="13"/>
      <c r="K488" s="13"/>
      <c r="L488" s="13"/>
      <c r="M488" s="13"/>
      <c r="N488" s="13"/>
      <c r="O488" s="13"/>
      <c r="P488" s="13"/>
      <c r="Q488" s="13"/>
      <c r="R488" s="13"/>
      <c r="S488" s="13"/>
      <c r="T488" s="13"/>
      <c r="U488" s="13"/>
      <c r="V488" s="13"/>
      <c r="W488" s="13"/>
      <c r="X488" s="13"/>
      <c r="Y488" s="13"/>
      <c r="Z488" s="13"/>
      <c r="AA488" s="13"/>
    </row>
    <row r="489" ht="16.5" customHeight="1">
      <c r="A489" s="10"/>
      <c r="B489" s="10"/>
      <c r="C489" s="13"/>
      <c r="D489" s="13"/>
      <c r="E489" s="13"/>
      <c r="F489" s="185"/>
      <c r="G489" s="13"/>
      <c r="H489" s="13"/>
      <c r="I489" s="13"/>
      <c r="J489" s="13"/>
      <c r="K489" s="13"/>
      <c r="L489" s="13"/>
      <c r="M489" s="13"/>
      <c r="N489" s="13"/>
      <c r="O489" s="13"/>
      <c r="P489" s="13"/>
      <c r="Q489" s="13"/>
      <c r="R489" s="13"/>
      <c r="S489" s="13"/>
      <c r="T489" s="13"/>
      <c r="U489" s="13"/>
      <c r="V489" s="13"/>
      <c r="W489" s="13"/>
      <c r="X489" s="13"/>
      <c r="Y489" s="13"/>
      <c r="Z489" s="13"/>
      <c r="AA489" s="13"/>
    </row>
    <row r="490" ht="16.5" customHeight="1">
      <c r="A490" s="10"/>
      <c r="B490" s="10"/>
      <c r="C490" s="13"/>
      <c r="D490" s="13"/>
      <c r="E490" s="13"/>
      <c r="F490" s="185"/>
      <c r="G490" s="13"/>
      <c r="H490" s="13"/>
      <c r="I490" s="13"/>
      <c r="J490" s="13"/>
      <c r="K490" s="13"/>
      <c r="L490" s="13"/>
      <c r="M490" s="13"/>
      <c r="N490" s="13"/>
      <c r="O490" s="13"/>
      <c r="P490" s="13"/>
      <c r="Q490" s="13"/>
      <c r="R490" s="13"/>
      <c r="S490" s="13"/>
      <c r="T490" s="13"/>
      <c r="U490" s="13"/>
      <c r="V490" s="13"/>
      <c r="W490" s="13"/>
      <c r="X490" s="13"/>
      <c r="Y490" s="13"/>
      <c r="Z490" s="13"/>
      <c r="AA490" s="13"/>
    </row>
    <row r="491" ht="16.5" customHeight="1">
      <c r="A491" s="10"/>
      <c r="B491" s="10"/>
      <c r="C491" s="13"/>
      <c r="D491" s="13"/>
      <c r="E491" s="13"/>
      <c r="F491" s="185"/>
      <c r="G491" s="13"/>
      <c r="H491" s="13"/>
      <c r="I491" s="13"/>
      <c r="J491" s="13"/>
      <c r="K491" s="13"/>
      <c r="L491" s="13"/>
      <c r="M491" s="13"/>
      <c r="N491" s="13"/>
      <c r="O491" s="13"/>
      <c r="P491" s="13"/>
      <c r="Q491" s="13"/>
      <c r="R491" s="13"/>
      <c r="S491" s="13"/>
      <c r="T491" s="13"/>
      <c r="U491" s="13"/>
      <c r="V491" s="13"/>
      <c r="W491" s="13"/>
      <c r="X491" s="13"/>
      <c r="Y491" s="13"/>
      <c r="Z491" s="13"/>
      <c r="AA491" s="13"/>
    </row>
    <row r="492" ht="16.5" customHeight="1">
      <c r="A492" s="10"/>
      <c r="B492" s="10"/>
      <c r="C492" s="13"/>
      <c r="D492" s="13"/>
      <c r="E492" s="13"/>
      <c r="F492" s="185"/>
      <c r="G492" s="13"/>
      <c r="H492" s="13"/>
      <c r="I492" s="13"/>
      <c r="J492" s="13"/>
      <c r="K492" s="13"/>
      <c r="L492" s="13"/>
      <c r="M492" s="13"/>
      <c r="N492" s="13"/>
      <c r="O492" s="13"/>
      <c r="P492" s="13"/>
      <c r="Q492" s="13"/>
      <c r="R492" s="13"/>
      <c r="S492" s="13"/>
      <c r="T492" s="13"/>
      <c r="U492" s="13"/>
      <c r="V492" s="13"/>
      <c r="W492" s="13"/>
      <c r="X492" s="13"/>
      <c r="Y492" s="13"/>
      <c r="Z492" s="13"/>
      <c r="AA492" s="13"/>
    </row>
    <row r="493" ht="16.5" customHeight="1">
      <c r="A493" s="10"/>
      <c r="B493" s="10"/>
      <c r="C493" s="13"/>
      <c r="D493" s="13"/>
      <c r="E493" s="13"/>
      <c r="F493" s="185"/>
      <c r="G493" s="13"/>
      <c r="H493" s="13"/>
      <c r="I493" s="13"/>
      <c r="J493" s="13"/>
      <c r="K493" s="13"/>
      <c r="L493" s="13"/>
      <c r="M493" s="13"/>
      <c r="N493" s="13"/>
      <c r="O493" s="13"/>
      <c r="P493" s="13"/>
      <c r="Q493" s="13"/>
      <c r="R493" s="13"/>
      <c r="S493" s="13"/>
      <c r="T493" s="13"/>
      <c r="U493" s="13"/>
      <c r="V493" s="13"/>
      <c r="W493" s="13"/>
      <c r="X493" s="13"/>
      <c r="Y493" s="13"/>
      <c r="Z493" s="13"/>
      <c r="AA493" s="13"/>
    </row>
    <row r="494" ht="16.5" customHeight="1">
      <c r="A494" s="10"/>
      <c r="B494" s="10"/>
      <c r="C494" s="13"/>
      <c r="D494" s="13"/>
      <c r="E494" s="13"/>
      <c r="F494" s="185"/>
      <c r="G494" s="13"/>
      <c r="H494" s="13"/>
      <c r="I494" s="13"/>
      <c r="J494" s="13"/>
      <c r="K494" s="13"/>
      <c r="L494" s="13"/>
      <c r="M494" s="13"/>
      <c r="N494" s="13"/>
      <c r="O494" s="13"/>
      <c r="P494" s="13"/>
      <c r="Q494" s="13"/>
      <c r="R494" s="13"/>
      <c r="S494" s="13"/>
      <c r="T494" s="13"/>
      <c r="U494" s="13"/>
      <c r="V494" s="13"/>
      <c r="W494" s="13"/>
      <c r="X494" s="13"/>
      <c r="Y494" s="13"/>
      <c r="Z494" s="13"/>
      <c r="AA494" s="13"/>
    </row>
    <row r="495" ht="16.5" customHeight="1">
      <c r="A495" s="10"/>
      <c r="B495" s="10"/>
      <c r="C495" s="13"/>
      <c r="D495" s="13"/>
      <c r="E495" s="13"/>
      <c r="F495" s="185"/>
      <c r="G495" s="13"/>
      <c r="H495" s="13"/>
      <c r="I495" s="13"/>
      <c r="J495" s="13"/>
      <c r="K495" s="13"/>
      <c r="L495" s="13"/>
      <c r="M495" s="13"/>
      <c r="N495" s="13"/>
      <c r="O495" s="13"/>
      <c r="P495" s="13"/>
      <c r="Q495" s="13"/>
      <c r="R495" s="13"/>
      <c r="S495" s="13"/>
      <c r="T495" s="13"/>
      <c r="U495" s="13"/>
      <c r="V495" s="13"/>
      <c r="W495" s="13"/>
      <c r="X495" s="13"/>
      <c r="Y495" s="13"/>
      <c r="Z495" s="13"/>
      <c r="AA495" s="13"/>
    </row>
    <row r="496" ht="16.5" customHeight="1">
      <c r="A496" s="10"/>
      <c r="B496" s="10"/>
      <c r="C496" s="13"/>
      <c r="D496" s="13"/>
      <c r="E496" s="13"/>
      <c r="F496" s="185"/>
      <c r="G496" s="13"/>
      <c r="H496" s="13"/>
      <c r="I496" s="13"/>
      <c r="J496" s="13"/>
      <c r="K496" s="13"/>
      <c r="L496" s="13"/>
      <c r="M496" s="13"/>
      <c r="N496" s="13"/>
      <c r="O496" s="13"/>
      <c r="P496" s="13"/>
      <c r="Q496" s="13"/>
      <c r="R496" s="13"/>
      <c r="S496" s="13"/>
      <c r="T496" s="13"/>
      <c r="U496" s="13"/>
      <c r="V496" s="13"/>
      <c r="W496" s="13"/>
      <c r="X496" s="13"/>
      <c r="Y496" s="13"/>
      <c r="Z496" s="13"/>
      <c r="AA496" s="13"/>
    </row>
    <row r="497" ht="16.5" customHeight="1">
      <c r="A497" s="10"/>
      <c r="B497" s="10"/>
      <c r="C497" s="13"/>
      <c r="D497" s="13"/>
      <c r="E497" s="13"/>
      <c r="F497" s="185"/>
      <c r="G497" s="13"/>
      <c r="H497" s="13"/>
      <c r="I497" s="13"/>
      <c r="J497" s="13"/>
      <c r="K497" s="13"/>
      <c r="L497" s="13"/>
      <c r="M497" s="13"/>
      <c r="N497" s="13"/>
      <c r="O497" s="13"/>
      <c r="P497" s="13"/>
      <c r="Q497" s="13"/>
      <c r="R497" s="13"/>
      <c r="S497" s="13"/>
      <c r="T497" s="13"/>
      <c r="U497" s="13"/>
      <c r="V497" s="13"/>
      <c r="W497" s="13"/>
      <c r="X497" s="13"/>
      <c r="Y497" s="13"/>
      <c r="Z497" s="13"/>
      <c r="AA497" s="13"/>
    </row>
    <row r="498" ht="16.5" customHeight="1">
      <c r="A498" s="10"/>
      <c r="B498" s="10"/>
      <c r="C498" s="13"/>
      <c r="D498" s="13"/>
      <c r="E498" s="13"/>
      <c r="F498" s="185"/>
      <c r="G498" s="13"/>
      <c r="H498" s="13"/>
      <c r="I498" s="13"/>
      <c r="J498" s="13"/>
      <c r="K498" s="13"/>
      <c r="L498" s="13"/>
      <c r="M498" s="13"/>
      <c r="N498" s="13"/>
      <c r="O498" s="13"/>
      <c r="P498" s="13"/>
      <c r="Q498" s="13"/>
      <c r="R498" s="13"/>
      <c r="S498" s="13"/>
      <c r="T498" s="13"/>
      <c r="U498" s="13"/>
      <c r="V498" s="13"/>
      <c r="W498" s="13"/>
      <c r="X498" s="13"/>
      <c r="Y498" s="13"/>
      <c r="Z498" s="13"/>
      <c r="AA498" s="13"/>
    </row>
    <row r="499" ht="16.5" customHeight="1">
      <c r="A499" s="10"/>
      <c r="B499" s="10"/>
      <c r="C499" s="13"/>
      <c r="D499" s="13"/>
      <c r="E499" s="13"/>
      <c r="F499" s="185"/>
      <c r="G499" s="13"/>
      <c r="H499" s="13"/>
      <c r="I499" s="13"/>
      <c r="J499" s="13"/>
      <c r="K499" s="13"/>
      <c r="L499" s="13"/>
      <c r="M499" s="13"/>
      <c r="N499" s="13"/>
      <c r="O499" s="13"/>
      <c r="P499" s="13"/>
      <c r="Q499" s="13"/>
      <c r="R499" s="13"/>
      <c r="S499" s="13"/>
      <c r="T499" s="13"/>
      <c r="U499" s="13"/>
      <c r="V499" s="13"/>
      <c r="W499" s="13"/>
      <c r="X499" s="13"/>
      <c r="Y499" s="13"/>
      <c r="Z499" s="13"/>
      <c r="AA499" s="13"/>
    </row>
    <row r="500" ht="16.5" customHeight="1">
      <c r="A500" s="10"/>
      <c r="B500" s="10"/>
      <c r="C500" s="13"/>
      <c r="D500" s="13"/>
      <c r="E500" s="13"/>
      <c r="F500" s="185"/>
      <c r="G500" s="13"/>
      <c r="H500" s="13"/>
      <c r="I500" s="13"/>
      <c r="J500" s="13"/>
      <c r="K500" s="13"/>
      <c r="L500" s="13"/>
      <c r="M500" s="13"/>
      <c r="N500" s="13"/>
      <c r="O500" s="13"/>
      <c r="P500" s="13"/>
      <c r="Q500" s="13"/>
      <c r="R500" s="13"/>
      <c r="S500" s="13"/>
      <c r="T500" s="13"/>
      <c r="U500" s="13"/>
      <c r="V500" s="13"/>
      <c r="W500" s="13"/>
      <c r="X500" s="13"/>
      <c r="Y500" s="13"/>
      <c r="Z500" s="13"/>
      <c r="AA500" s="13"/>
    </row>
    <row r="501" ht="16.5" customHeight="1">
      <c r="A501" s="10"/>
      <c r="B501" s="10"/>
      <c r="C501" s="13"/>
      <c r="D501" s="13"/>
      <c r="E501" s="13"/>
      <c r="F501" s="185"/>
      <c r="G501" s="13"/>
      <c r="H501" s="13"/>
      <c r="I501" s="13"/>
      <c r="J501" s="13"/>
      <c r="K501" s="13"/>
      <c r="L501" s="13"/>
      <c r="M501" s="13"/>
      <c r="N501" s="13"/>
      <c r="O501" s="13"/>
      <c r="P501" s="13"/>
      <c r="Q501" s="13"/>
      <c r="R501" s="13"/>
      <c r="S501" s="13"/>
      <c r="T501" s="13"/>
      <c r="U501" s="13"/>
      <c r="V501" s="13"/>
      <c r="W501" s="13"/>
      <c r="X501" s="13"/>
      <c r="Y501" s="13"/>
      <c r="Z501" s="13"/>
      <c r="AA501" s="13"/>
    </row>
    <row r="502" ht="16.5" customHeight="1">
      <c r="A502" s="10"/>
      <c r="B502" s="10"/>
      <c r="C502" s="13"/>
      <c r="D502" s="13"/>
      <c r="E502" s="13"/>
      <c r="F502" s="185"/>
      <c r="G502" s="13"/>
      <c r="H502" s="13"/>
      <c r="I502" s="13"/>
      <c r="J502" s="13"/>
      <c r="K502" s="13"/>
      <c r="L502" s="13"/>
      <c r="M502" s="13"/>
      <c r="N502" s="13"/>
      <c r="O502" s="13"/>
      <c r="P502" s="13"/>
      <c r="Q502" s="13"/>
      <c r="R502" s="13"/>
      <c r="S502" s="13"/>
      <c r="T502" s="13"/>
      <c r="U502" s="13"/>
      <c r="V502" s="13"/>
      <c r="W502" s="13"/>
      <c r="X502" s="13"/>
      <c r="Y502" s="13"/>
      <c r="Z502" s="13"/>
      <c r="AA502" s="13"/>
    </row>
    <row r="503" ht="16.5" customHeight="1">
      <c r="A503" s="10"/>
      <c r="B503" s="10"/>
      <c r="C503" s="13"/>
      <c r="D503" s="13"/>
      <c r="E503" s="13"/>
      <c r="F503" s="185"/>
      <c r="G503" s="13"/>
      <c r="H503" s="13"/>
      <c r="I503" s="13"/>
      <c r="J503" s="13"/>
      <c r="K503" s="13"/>
      <c r="L503" s="13"/>
      <c r="M503" s="13"/>
      <c r="N503" s="13"/>
      <c r="O503" s="13"/>
      <c r="P503" s="13"/>
      <c r="Q503" s="13"/>
      <c r="R503" s="13"/>
      <c r="S503" s="13"/>
      <c r="T503" s="13"/>
      <c r="U503" s="13"/>
      <c r="V503" s="13"/>
      <c r="W503" s="13"/>
      <c r="X503" s="13"/>
      <c r="Y503" s="13"/>
      <c r="Z503" s="13"/>
      <c r="AA503" s="13"/>
    </row>
    <row r="504" ht="16.5" customHeight="1">
      <c r="A504" s="10"/>
      <c r="B504" s="10"/>
      <c r="C504" s="13"/>
      <c r="D504" s="13"/>
      <c r="E504" s="13"/>
      <c r="F504" s="185"/>
      <c r="G504" s="13"/>
      <c r="H504" s="13"/>
      <c r="I504" s="13"/>
      <c r="J504" s="13"/>
      <c r="K504" s="13"/>
      <c r="L504" s="13"/>
      <c r="M504" s="13"/>
      <c r="N504" s="13"/>
      <c r="O504" s="13"/>
      <c r="P504" s="13"/>
      <c r="Q504" s="13"/>
      <c r="R504" s="13"/>
      <c r="S504" s="13"/>
      <c r="T504" s="13"/>
      <c r="U504" s="13"/>
      <c r="V504" s="13"/>
      <c r="W504" s="13"/>
      <c r="X504" s="13"/>
      <c r="Y504" s="13"/>
      <c r="Z504" s="13"/>
      <c r="AA504" s="13"/>
    </row>
    <row r="505" ht="16.5" customHeight="1">
      <c r="A505" s="10"/>
      <c r="B505" s="10"/>
      <c r="C505" s="13"/>
      <c r="D505" s="13"/>
      <c r="E505" s="13"/>
      <c r="F505" s="185"/>
      <c r="G505" s="13"/>
      <c r="H505" s="13"/>
      <c r="I505" s="13"/>
      <c r="J505" s="13"/>
      <c r="K505" s="13"/>
      <c r="L505" s="13"/>
      <c r="M505" s="13"/>
      <c r="N505" s="13"/>
      <c r="O505" s="13"/>
      <c r="P505" s="13"/>
      <c r="Q505" s="13"/>
      <c r="R505" s="13"/>
      <c r="S505" s="13"/>
      <c r="T505" s="13"/>
      <c r="U505" s="13"/>
      <c r="V505" s="13"/>
      <c r="W505" s="13"/>
      <c r="X505" s="13"/>
      <c r="Y505" s="13"/>
      <c r="Z505" s="13"/>
      <c r="AA505" s="13"/>
    </row>
    <row r="506" ht="16.5" customHeight="1">
      <c r="A506" s="10"/>
      <c r="B506" s="10"/>
      <c r="C506" s="13"/>
      <c r="D506" s="13"/>
      <c r="E506" s="13"/>
      <c r="F506" s="185"/>
      <c r="G506" s="13"/>
      <c r="H506" s="13"/>
      <c r="I506" s="13"/>
      <c r="J506" s="13"/>
      <c r="K506" s="13"/>
      <c r="L506" s="13"/>
      <c r="M506" s="13"/>
      <c r="N506" s="13"/>
      <c r="O506" s="13"/>
      <c r="P506" s="13"/>
      <c r="Q506" s="13"/>
      <c r="R506" s="13"/>
      <c r="S506" s="13"/>
      <c r="T506" s="13"/>
      <c r="U506" s="13"/>
      <c r="V506" s="13"/>
      <c r="W506" s="13"/>
      <c r="X506" s="13"/>
      <c r="Y506" s="13"/>
      <c r="Z506" s="13"/>
      <c r="AA506" s="13"/>
    </row>
    <row r="507" ht="16.5" customHeight="1">
      <c r="A507" s="10"/>
      <c r="B507" s="10"/>
      <c r="C507" s="13"/>
      <c r="D507" s="13"/>
      <c r="E507" s="13"/>
      <c r="F507" s="185"/>
      <c r="G507" s="13"/>
      <c r="H507" s="13"/>
      <c r="I507" s="13"/>
      <c r="J507" s="13"/>
      <c r="K507" s="13"/>
      <c r="L507" s="13"/>
      <c r="M507" s="13"/>
      <c r="N507" s="13"/>
      <c r="O507" s="13"/>
      <c r="P507" s="13"/>
      <c r="Q507" s="13"/>
      <c r="R507" s="13"/>
      <c r="S507" s="13"/>
      <c r="T507" s="13"/>
      <c r="U507" s="13"/>
      <c r="V507" s="13"/>
      <c r="W507" s="13"/>
      <c r="X507" s="13"/>
      <c r="Y507" s="13"/>
      <c r="Z507" s="13"/>
      <c r="AA507" s="13"/>
    </row>
    <row r="508" ht="16.5" customHeight="1">
      <c r="A508" s="10"/>
      <c r="B508" s="10"/>
      <c r="C508" s="13"/>
      <c r="D508" s="13"/>
      <c r="E508" s="13"/>
      <c r="F508" s="185"/>
      <c r="G508" s="13"/>
      <c r="H508" s="13"/>
      <c r="I508" s="13"/>
      <c r="J508" s="13"/>
      <c r="K508" s="13"/>
      <c r="L508" s="13"/>
      <c r="M508" s="13"/>
      <c r="N508" s="13"/>
      <c r="O508" s="13"/>
      <c r="P508" s="13"/>
      <c r="Q508" s="13"/>
      <c r="R508" s="13"/>
      <c r="S508" s="13"/>
      <c r="T508" s="13"/>
      <c r="U508" s="13"/>
      <c r="V508" s="13"/>
      <c r="W508" s="13"/>
      <c r="X508" s="13"/>
      <c r="Y508" s="13"/>
      <c r="Z508" s="13"/>
      <c r="AA508" s="13"/>
    </row>
    <row r="509" ht="16.5" customHeight="1">
      <c r="A509" s="10"/>
      <c r="B509" s="10"/>
      <c r="C509" s="13"/>
      <c r="D509" s="13"/>
      <c r="E509" s="13"/>
      <c r="F509" s="185"/>
      <c r="G509" s="13"/>
      <c r="H509" s="13"/>
      <c r="I509" s="13"/>
      <c r="J509" s="13"/>
      <c r="K509" s="13"/>
      <c r="L509" s="13"/>
      <c r="M509" s="13"/>
      <c r="N509" s="13"/>
      <c r="O509" s="13"/>
      <c r="P509" s="13"/>
      <c r="Q509" s="13"/>
      <c r="R509" s="13"/>
      <c r="S509" s="13"/>
      <c r="T509" s="13"/>
      <c r="U509" s="13"/>
      <c r="V509" s="13"/>
      <c r="W509" s="13"/>
      <c r="X509" s="13"/>
      <c r="Y509" s="13"/>
      <c r="Z509" s="13"/>
      <c r="AA509" s="13"/>
    </row>
    <row r="510" ht="16.5" customHeight="1">
      <c r="A510" s="10"/>
      <c r="B510" s="10"/>
      <c r="C510" s="13"/>
      <c r="D510" s="13"/>
      <c r="E510" s="13"/>
      <c r="F510" s="185"/>
      <c r="G510" s="13"/>
      <c r="H510" s="13"/>
      <c r="I510" s="13"/>
      <c r="J510" s="13"/>
      <c r="K510" s="13"/>
      <c r="L510" s="13"/>
      <c r="M510" s="13"/>
      <c r="N510" s="13"/>
      <c r="O510" s="13"/>
      <c r="P510" s="13"/>
      <c r="Q510" s="13"/>
      <c r="R510" s="13"/>
      <c r="S510" s="13"/>
      <c r="T510" s="13"/>
      <c r="U510" s="13"/>
      <c r="V510" s="13"/>
      <c r="W510" s="13"/>
      <c r="X510" s="13"/>
      <c r="Y510" s="13"/>
      <c r="Z510" s="13"/>
      <c r="AA510" s="13"/>
    </row>
    <row r="511" ht="16.5" customHeight="1">
      <c r="A511" s="10"/>
      <c r="B511" s="10"/>
      <c r="C511" s="13"/>
      <c r="D511" s="13"/>
      <c r="E511" s="13"/>
      <c r="F511" s="185"/>
      <c r="G511" s="13"/>
      <c r="H511" s="13"/>
      <c r="I511" s="13"/>
      <c r="J511" s="13"/>
      <c r="K511" s="13"/>
      <c r="L511" s="13"/>
      <c r="M511" s="13"/>
      <c r="N511" s="13"/>
      <c r="O511" s="13"/>
      <c r="P511" s="13"/>
      <c r="Q511" s="13"/>
      <c r="R511" s="13"/>
      <c r="S511" s="13"/>
      <c r="T511" s="13"/>
      <c r="U511" s="13"/>
      <c r="V511" s="13"/>
      <c r="W511" s="13"/>
      <c r="X511" s="13"/>
      <c r="Y511" s="13"/>
      <c r="Z511" s="13"/>
      <c r="AA511" s="13"/>
    </row>
    <row r="512" ht="16.5" customHeight="1">
      <c r="A512" s="10"/>
      <c r="B512" s="10"/>
      <c r="C512" s="13"/>
      <c r="D512" s="13"/>
      <c r="E512" s="13"/>
      <c r="F512" s="185"/>
      <c r="G512" s="13"/>
      <c r="H512" s="13"/>
      <c r="I512" s="13"/>
      <c r="J512" s="13"/>
      <c r="K512" s="13"/>
      <c r="L512" s="13"/>
      <c r="M512" s="13"/>
      <c r="N512" s="13"/>
      <c r="O512" s="13"/>
      <c r="P512" s="13"/>
      <c r="Q512" s="13"/>
      <c r="R512" s="13"/>
      <c r="S512" s="13"/>
      <c r="T512" s="13"/>
      <c r="U512" s="13"/>
      <c r="V512" s="13"/>
      <c r="W512" s="13"/>
      <c r="X512" s="13"/>
      <c r="Y512" s="13"/>
      <c r="Z512" s="13"/>
      <c r="AA512" s="13"/>
    </row>
    <row r="513" ht="16.5" customHeight="1">
      <c r="A513" s="10"/>
      <c r="B513" s="10"/>
      <c r="C513" s="13"/>
      <c r="D513" s="13"/>
      <c r="E513" s="13"/>
      <c r="F513" s="185"/>
      <c r="G513" s="13"/>
      <c r="H513" s="13"/>
      <c r="I513" s="13"/>
      <c r="J513" s="13"/>
      <c r="K513" s="13"/>
      <c r="L513" s="13"/>
      <c r="M513" s="13"/>
      <c r="N513" s="13"/>
      <c r="O513" s="13"/>
      <c r="P513" s="13"/>
      <c r="Q513" s="13"/>
      <c r="R513" s="13"/>
      <c r="S513" s="13"/>
      <c r="T513" s="13"/>
      <c r="U513" s="13"/>
      <c r="V513" s="13"/>
      <c r="W513" s="13"/>
      <c r="X513" s="13"/>
      <c r="Y513" s="13"/>
      <c r="Z513" s="13"/>
      <c r="AA513" s="13"/>
    </row>
    <row r="514" ht="16.5" customHeight="1">
      <c r="A514" s="10"/>
      <c r="B514" s="10"/>
      <c r="C514" s="13"/>
      <c r="D514" s="13"/>
      <c r="E514" s="13"/>
      <c r="F514" s="185"/>
      <c r="G514" s="13"/>
      <c r="H514" s="13"/>
      <c r="I514" s="13"/>
      <c r="J514" s="13"/>
      <c r="K514" s="13"/>
      <c r="L514" s="13"/>
      <c r="M514" s="13"/>
      <c r="N514" s="13"/>
      <c r="O514" s="13"/>
      <c r="P514" s="13"/>
      <c r="Q514" s="13"/>
      <c r="R514" s="13"/>
      <c r="S514" s="13"/>
      <c r="T514" s="13"/>
      <c r="U514" s="13"/>
      <c r="V514" s="13"/>
      <c r="W514" s="13"/>
      <c r="X514" s="13"/>
      <c r="Y514" s="13"/>
      <c r="Z514" s="13"/>
      <c r="AA514" s="13"/>
    </row>
    <row r="515" ht="16.5" customHeight="1">
      <c r="A515" s="10"/>
      <c r="B515" s="10"/>
      <c r="C515" s="13"/>
      <c r="D515" s="13"/>
      <c r="E515" s="13"/>
      <c r="F515" s="185"/>
      <c r="G515" s="13"/>
      <c r="H515" s="13"/>
      <c r="I515" s="13"/>
      <c r="J515" s="13"/>
      <c r="K515" s="13"/>
      <c r="L515" s="13"/>
      <c r="M515" s="13"/>
      <c r="N515" s="13"/>
      <c r="O515" s="13"/>
      <c r="P515" s="13"/>
      <c r="Q515" s="13"/>
      <c r="R515" s="13"/>
      <c r="S515" s="13"/>
      <c r="T515" s="13"/>
      <c r="U515" s="13"/>
      <c r="V515" s="13"/>
      <c r="W515" s="13"/>
      <c r="X515" s="13"/>
      <c r="Y515" s="13"/>
      <c r="Z515" s="13"/>
      <c r="AA515" s="13"/>
    </row>
    <row r="516" ht="16.5" customHeight="1">
      <c r="A516" s="10"/>
      <c r="B516" s="10"/>
      <c r="C516" s="13"/>
      <c r="D516" s="13"/>
      <c r="E516" s="13"/>
      <c r="F516" s="185"/>
      <c r="G516" s="13"/>
      <c r="H516" s="13"/>
      <c r="I516" s="13"/>
      <c r="J516" s="13"/>
      <c r="K516" s="13"/>
      <c r="L516" s="13"/>
      <c r="M516" s="13"/>
      <c r="N516" s="13"/>
      <c r="O516" s="13"/>
      <c r="P516" s="13"/>
      <c r="Q516" s="13"/>
      <c r="R516" s="13"/>
      <c r="S516" s="13"/>
      <c r="T516" s="13"/>
      <c r="U516" s="13"/>
      <c r="V516" s="13"/>
      <c r="W516" s="13"/>
      <c r="X516" s="13"/>
      <c r="Y516" s="13"/>
      <c r="Z516" s="13"/>
      <c r="AA516" s="13"/>
    </row>
    <row r="517" ht="16.5" customHeight="1">
      <c r="A517" s="10"/>
      <c r="B517" s="10"/>
      <c r="C517" s="13"/>
      <c r="D517" s="13"/>
      <c r="E517" s="13"/>
      <c r="F517" s="185"/>
      <c r="G517" s="13"/>
      <c r="H517" s="13"/>
      <c r="I517" s="13"/>
      <c r="J517" s="13"/>
      <c r="K517" s="13"/>
      <c r="L517" s="13"/>
      <c r="M517" s="13"/>
      <c r="N517" s="13"/>
      <c r="O517" s="13"/>
      <c r="P517" s="13"/>
      <c r="Q517" s="13"/>
      <c r="R517" s="13"/>
      <c r="S517" s="13"/>
      <c r="T517" s="13"/>
      <c r="U517" s="13"/>
      <c r="V517" s="13"/>
      <c r="W517" s="13"/>
      <c r="X517" s="13"/>
      <c r="Y517" s="13"/>
      <c r="Z517" s="13"/>
      <c r="AA517" s="13"/>
    </row>
    <row r="518" ht="16.5" customHeight="1">
      <c r="A518" s="10"/>
      <c r="B518" s="10"/>
      <c r="C518" s="13"/>
      <c r="D518" s="13"/>
      <c r="E518" s="13"/>
      <c r="F518" s="185"/>
      <c r="G518" s="13"/>
      <c r="H518" s="13"/>
      <c r="I518" s="13"/>
      <c r="J518" s="13"/>
      <c r="K518" s="13"/>
      <c r="L518" s="13"/>
      <c r="M518" s="13"/>
      <c r="N518" s="13"/>
      <c r="O518" s="13"/>
      <c r="P518" s="13"/>
      <c r="Q518" s="13"/>
      <c r="R518" s="13"/>
      <c r="S518" s="13"/>
      <c r="T518" s="13"/>
      <c r="U518" s="13"/>
      <c r="V518" s="13"/>
      <c r="W518" s="13"/>
      <c r="X518" s="13"/>
      <c r="Y518" s="13"/>
      <c r="Z518" s="13"/>
      <c r="AA518" s="13"/>
    </row>
    <row r="519" ht="16.5" customHeight="1">
      <c r="A519" s="10"/>
      <c r="B519" s="10"/>
      <c r="C519" s="13"/>
      <c r="D519" s="13"/>
      <c r="E519" s="13"/>
      <c r="F519" s="185"/>
      <c r="G519" s="13"/>
      <c r="H519" s="13"/>
      <c r="I519" s="13"/>
      <c r="J519" s="13"/>
      <c r="K519" s="13"/>
      <c r="L519" s="13"/>
      <c r="M519" s="13"/>
      <c r="N519" s="13"/>
      <c r="O519" s="13"/>
      <c r="P519" s="13"/>
      <c r="Q519" s="13"/>
      <c r="R519" s="13"/>
      <c r="S519" s="13"/>
      <c r="T519" s="13"/>
      <c r="U519" s="13"/>
      <c r="V519" s="13"/>
      <c r="W519" s="13"/>
      <c r="X519" s="13"/>
      <c r="Y519" s="13"/>
      <c r="Z519" s="13"/>
      <c r="AA519" s="13"/>
    </row>
    <row r="520" ht="16.5" customHeight="1">
      <c r="A520" s="10"/>
      <c r="B520" s="10"/>
      <c r="C520" s="13"/>
      <c r="D520" s="13"/>
      <c r="E520" s="13"/>
      <c r="F520" s="185"/>
      <c r="G520" s="13"/>
      <c r="H520" s="13"/>
      <c r="I520" s="13"/>
      <c r="J520" s="13"/>
      <c r="K520" s="13"/>
      <c r="L520" s="13"/>
      <c r="M520" s="13"/>
      <c r="N520" s="13"/>
      <c r="O520" s="13"/>
      <c r="P520" s="13"/>
      <c r="Q520" s="13"/>
      <c r="R520" s="13"/>
      <c r="S520" s="13"/>
      <c r="T520" s="13"/>
      <c r="U520" s="13"/>
      <c r="V520" s="13"/>
      <c r="W520" s="13"/>
      <c r="X520" s="13"/>
      <c r="Y520" s="13"/>
      <c r="Z520" s="13"/>
      <c r="AA520" s="13"/>
    </row>
    <row r="521" ht="16.5" customHeight="1">
      <c r="A521" s="10"/>
      <c r="B521" s="10"/>
      <c r="C521" s="13"/>
      <c r="D521" s="13"/>
      <c r="E521" s="13"/>
      <c r="F521" s="185"/>
      <c r="G521" s="13"/>
      <c r="H521" s="13"/>
      <c r="I521" s="13"/>
      <c r="J521" s="13"/>
      <c r="K521" s="13"/>
      <c r="L521" s="13"/>
      <c r="M521" s="13"/>
      <c r="N521" s="13"/>
      <c r="O521" s="13"/>
      <c r="P521" s="13"/>
      <c r="Q521" s="13"/>
      <c r="R521" s="13"/>
      <c r="S521" s="13"/>
      <c r="T521" s="13"/>
      <c r="U521" s="13"/>
      <c r="V521" s="13"/>
      <c r="W521" s="13"/>
      <c r="X521" s="13"/>
      <c r="Y521" s="13"/>
      <c r="Z521" s="13"/>
      <c r="AA521" s="13"/>
    </row>
    <row r="522" ht="16.5" customHeight="1">
      <c r="A522" s="10"/>
      <c r="B522" s="10"/>
      <c r="C522" s="13"/>
      <c r="D522" s="13"/>
      <c r="E522" s="13"/>
      <c r="F522" s="185"/>
      <c r="G522" s="13"/>
      <c r="H522" s="13"/>
      <c r="I522" s="13"/>
      <c r="J522" s="13"/>
      <c r="K522" s="13"/>
      <c r="L522" s="13"/>
      <c r="M522" s="13"/>
      <c r="N522" s="13"/>
      <c r="O522" s="13"/>
      <c r="P522" s="13"/>
      <c r="Q522" s="13"/>
      <c r="R522" s="13"/>
      <c r="S522" s="13"/>
      <c r="T522" s="13"/>
      <c r="U522" s="13"/>
      <c r="V522" s="13"/>
      <c r="W522" s="13"/>
      <c r="X522" s="13"/>
      <c r="Y522" s="13"/>
      <c r="Z522" s="13"/>
      <c r="AA522" s="13"/>
    </row>
    <row r="523" ht="16.5" customHeight="1">
      <c r="A523" s="10"/>
      <c r="B523" s="10"/>
      <c r="C523" s="13"/>
      <c r="D523" s="13"/>
      <c r="E523" s="13"/>
      <c r="F523" s="185"/>
      <c r="G523" s="13"/>
      <c r="H523" s="13"/>
      <c r="I523" s="13"/>
      <c r="J523" s="13"/>
      <c r="K523" s="13"/>
      <c r="L523" s="13"/>
      <c r="M523" s="13"/>
      <c r="N523" s="13"/>
      <c r="O523" s="13"/>
      <c r="P523" s="13"/>
      <c r="Q523" s="13"/>
      <c r="R523" s="13"/>
      <c r="S523" s="13"/>
      <c r="T523" s="13"/>
      <c r="U523" s="13"/>
      <c r="V523" s="13"/>
      <c r="W523" s="13"/>
      <c r="X523" s="13"/>
      <c r="Y523" s="13"/>
      <c r="Z523" s="13"/>
      <c r="AA523" s="13"/>
    </row>
    <row r="524" ht="16.5" customHeight="1">
      <c r="A524" s="10"/>
      <c r="B524" s="10"/>
      <c r="C524" s="13"/>
      <c r="D524" s="13"/>
      <c r="E524" s="13"/>
      <c r="F524" s="185"/>
      <c r="G524" s="13"/>
      <c r="H524" s="13"/>
      <c r="I524" s="13"/>
      <c r="J524" s="13"/>
      <c r="K524" s="13"/>
      <c r="L524" s="13"/>
      <c r="M524" s="13"/>
      <c r="N524" s="13"/>
      <c r="O524" s="13"/>
      <c r="P524" s="13"/>
      <c r="Q524" s="13"/>
      <c r="R524" s="13"/>
      <c r="S524" s="13"/>
      <c r="T524" s="13"/>
      <c r="U524" s="13"/>
      <c r="V524" s="13"/>
      <c r="W524" s="13"/>
      <c r="X524" s="13"/>
      <c r="Y524" s="13"/>
      <c r="Z524" s="13"/>
      <c r="AA524" s="13"/>
    </row>
    <row r="525" ht="16.5" customHeight="1">
      <c r="A525" s="10"/>
      <c r="B525" s="10"/>
      <c r="C525" s="13"/>
      <c r="D525" s="13"/>
      <c r="E525" s="13"/>
      <c r="F525" s="185"/>
      <c r="G525" s="13"/>
      <c r="H525" s="13"/>
      <c r="I525" s="13"/>
      <c r="J525" s="13"/>
      <c r="K525" s="13"/>
      <c r="L525" s="13"/>
      <c r="M525" s="13"/>
      <c r="N525" s="13"/>
      <c r="O525" s="13"/>
      <c r="P525" s="13"/>
      <c r="Q525" s="13"/>
      <c r="R525" s="13"/>
      <c r="S525" s="13"/>
      <c r="T525" s="13"/>
      <c r="U525" s="13"/>
      <c r="V525" s="13"/>
      <c r="W525" s="13"/>
      <c r="X525" s="13"/>
      <c r="Y525" s="13"/>
      <c r="Z525" s="13"/>
      <c r="AA525" s="13"/>
    </row>
    <row r="526" ht="16.5" customHeight="1">
      <c r="A526" s="10"/>
      <c r="B526" s="10"/>
      <c r="C526" s="13"/>
      <c r="D526" s="13"/>
      <c r="E526" s="13"/>
      <c r="F526" s="185"/>
      <c r="G526" s="13"/>
      <c r="H526" s="13"/>
      <c r="I526" s="13"/>
      <c r="J526" s="13"/>
      <c r="K526" s="13"/>
      <c r="L526" s="13"/>
      <c r="M526" s="13"/>
      <c r="N526" s="13"/>
      <c r="O526" s="13"/>
      <c r="P526" s="13"/>
      <c r="Q526" s="13"/>
      <c r="R526" s="13"/>
      <c r="S526" s="13"/>
      <c r="T526" s="13"/>
      <c r="U526" s="13"/>
      <c r="V526" s="13"/>
      <c r="W526" s="13"/>
      <c r="X526" s="13"/>
      <c r="Y526" s="13"/>
      <c r="Z526" s="13"/>
      <c r="AA526" s="13"/>
    </row>
    <row r="527" ht="16.5" customHeight="1">
      <c r="A527" s="10"/>
      <c r="B527" s="10"/>
      <c r="C527" s="13"/>
      <c r="D527" s="13"/>
      <c r="E527" s="13"/>
      <c r="F527" s="185"/>
      <c r="G527" s="13"/>
      <c r="H527" s="13"/>
      <c r="I527" s="13"/>
      <c r="J527" s="13"/>
      <c r="K527" s="13"/>
      <c r="L527" s="13"/>
      <c r="M527" s="13"/>
      <c r="N527" s="13"/>
      <c r="O527" s="13"/>
      <c r="P527" s="13"/>
      <c r="Q527" s="13"/>
      <c r="R527" s="13"/>
      <c r="S527" s="13"/>
      <c r="T527" s="13"/>
      <c r="U527" s="13"/>
      <c r="V527" s="13"/>
      <c r="W527" s="13"/>
      <c r="X527" s="13"/>
      <c r="Y527" s="13"/>
      <c r="Z527" s="13"/>
      <c r="AA527" s="13"/>
    </row>
    <row r="528" ht="16.5" customHeight="1">
      <c r="A528" s="10"/>
      <c r="B528" s="10"/>
      <c r="C528" s="13"/>
      <c r="D528" s="13"/>
      <c r="E528" s="13"/>
      <c r="F528" s="185"/>
      <c r="G528" s="13"/>
      <c r="H528" s="13"/>
      <c r="I528" s="13"/>
      <c r="J528" s="13"/>
      <c r="K528" s="13"/>
      <c r="L528" s="13"/>
      <c r="M528" s="13"/>
      <c r="N528" s="13"/>
      <c r="O528" s="13"/>
      <c r="P528" s="13"/>
      <c r="Q528" s="13"/>
      <c r="R528" s="13"/>
      <c r="S528" s="13"/>
      <c r="T528" s="13"/>
      <c r="U528" s="13"/>
      <c r="V528" s="13"/>
      <c r="W528" s="13"/>
      <c r="X528" s="13"/>
      <c r="Y528" s="13"/>
      <c r="Z528" s="13"/>
      <c r="AA528" s="13"/>
    </row>
    <row r="529" ht="16.5" customHeight="1">
      <c r="A529" s="10"/>
      <c r="B529" s="10"/>
      <c r="C529" s="13"/>
      <c r="D529" s="13"/>
      <c r="E529" s="13"/>
      <c r="F529" s="185"/>
      <c r="G529" s="13"/>
      <c r="H529" s="13"/>
      <c r="I529" s="13"/>
      <c r="J529" s="13"/>
      <c r="K529" s="13"/>
      <c r="L529" s="13"/>
      <c r="M529" s="13"/>
      <c r="N529" s="13"/>
      <c r="O529" s="13"/>
      <c r="P529" s="13"/>
      <c r="Q529" s="13"/>
      <c r="R529" s="13"/>
      <c r="S529" s="13"/>
      <c r="T529" s="13"/>
      <c r="U529" s="13"/>
      <c r="V529" s="13"/>
      <c r="W529" s="13"/>
      <c r="X529" s="13"/>
      <c r="Y529" s="13"/>
      <c r="Z529" s="13"/>
      <c r="AA529" s="13"/>
    </row>
    <row r="530" ht="16.5" customHeight="1">
      <c r="A530" s="10"/>
      <c r="B530" s="10"/>
      <c r="C530" s="13"/>
      <c r="D530" s="13"/>
      <c r="E530" s="13"/>
      <c r="F530" s="185"/>
      <c r="G530" s="13"/>
      <c r="H530" s="13"/>
      <c r="I530" s="13"/>
      <c r="J530" s="13"/>
      <c r="K530" s="13"/>
      <c r="L530" s="13"/>
      <c r="M530" s="13"/>
      <c r="N530" s="13"/>
      <c r="O530" s="13"/>
      <c r="P530" s="13"/>
      <c r="Q530" s="13"/>
      <c r="R530" s="13"/>
      <c r="S530" s="13"/>
      <c r="T530" s="13"/>
      <c r="U530" s="13"/>
      <c r="V530" s="13"/>
      <c r="W530" s="13"/>
      <c r="X530" s="13"/>
      <c r="Y530" s="13"/>
      <c r="Z530" s="13"/>
      <c r="AA530" s="13"/>
    </row>
    <row r="531" ht="16.5" customHeight="1">
      <c r="A531" s="10"/>
      <c r="B531" s="10"/>
      <c r="C531" s="13"/>
      <c r="D531" s="13"/>
      <c r="E531" s="13"/>
      <c r="F531" s="185"/>
      <c r="G531" s="13"/>
      <c r="H531" s="13"/>
      <c r="I531" s="13"/>
      <c r="J531" s="13"/>
      <c r="K531" s="13"/>
      <c r="L531" s="13"/>
      <c r="M531" s="13"/>
      <c r="N531" s="13"/>
      <c r="O531" s="13"/>
      <c r="P531" s="13"/>
      <c r="Q531" s="13"/>
      <c r="R531" s="13"/>
      <c r="S531" s="13"/>
      <c r="T531" s="13"/>
      <c r="U531" s="13"/>
      <c r="V531" s="13"/>
      <c r="W531" s="13"/>
      <c r="X531" s="13"/>
      <c r="Y531" s="13"/>
      <c r="Z531" s="13"/>
      <c r="AA531" s="13"/>
    </row>
    <row r="532" ht="16.5" customHeight="1">
      <c r="A532" s="10"/>
      <c r="B532" s="10"/>
      <c r="C532" s="13"/>
      <c r="D532" s="13"/>
      <c r="E532" s="13"/>
      <c r="F532" s="185"/>
      <c r="G532" s="13"/>
      <c r="H532" s="13"/>
      <c r="I532" s="13"/>
      <c r="J532" s="13"/>
      <c r="K532" s="13"/>
      <c r="L532" s="13"/>
      <c r="M532" s="13"/>
      <c r="N532" s="13"/>
      <c r="O532" s="13"/>
      <c r="P532" s="13"/>
      <c r="Q532" s="13"/>
      <c r="R532" s="13"/>
      <c r="S532" s="13"/>
      <c r="T532" s="13"/>
      <c r="U532" s="13"/>
      <c r="V532" s="13"/>
      <c r="W532" s="13"/>
      <c r="X532" s="13"/>
      <c r="Y532" s="13"/>
      <c r="Z532" s="13"/>
      <c r="AA532" s="13"/>
    </row>
    <row r="533" ht="16.5" customHeight="1">
      <c r="A533" s="10"/>
      <c r="B533" s="10"/>
      <c r="C533" s="13"/>
      <c r="D533" s="13"/>
      <c r="E533" s="13"/>
      <c r="F533" s="185"/>
      <c r="G533" s="13"/>
      <c r="H533" s="13"/>
      <c r="I533" s="13"/>
      <c r="J533" s="13"/>
      <c r="K533" s="13"/>
      <c r="L533" s="13"/>
      <c r="M533" s="13"/>
      <c r="N533" s="13"/>
      <c r="O533" s="13"/>
      <c r="P533" s="13"/>
      <c r="Q533" s="13"/>
      <c r="R533" s="13"/>
      <c r="S533" s="13"/>
      <c r="T533" s="13"/>
      <c r="U533" s="13"/>
      <c r="V533" s="13"/>
      <c r="W533" s="13"/>
      <c r="X533" s="13"/>
      <c r="Y533" s="13"/>
      <c r="Z533" s="13"/>
      <c r="AA533" s="13"/>
    </row>
    <row r="534" ht="16.5" customHeight="1">
      <c r="A534" s="10"/>
      <c r="B534" s="10"/>
      <c r="C534" s="13"/>
      <c r="D534" s="13"/>
      <c r="E534" s="13"/>
      <c r="F534" s="185"/>
      <c r="G534" s="13"/>
      <c r="H534" s="13"/>
      <c r="I534" s="13"/>
      <c r="J534" s="13"/>
      <c r="K534" s="13"/>
      <c r="L534" s="13"/>
      <c r="M534" s="13"/>
      <c r="N534" s="13"/>
      <c r="O534" s="13"/>
      <c r="P534" s="13"/>
      <c r="Q534" s="13"/>
      <c r="R534" s="13"/>
      <c r="S534" s="13"/>
      <c r="T534" s="13"/>
      <c r="U534" s="13"/>
      <c r="V534" s="13"/>
      <c r="W534" s="13"/>
      <c r="X534" s="13"/>
      <c r="Y534" s="13"/>
      <c r="Z534" s="13"/>
      <c r="AA534" s="13"/>
    </row>
    <row r="535" ht="16.5" customHeight="1">
      <c r="A535" s="10"/>
      <c r="B535" s="10"/>
      <c r="C535" s="13"/>
      <c r="D535" s="13"/>
      <c r="E535" s="13"/>
      <c r="F535" s="185"/>
      <c r="G535" s="13"/>
      <c r="H535" s="13"/>
      <c r="I535" s="13"/>
      <c r="J535" s="13"/>
      <c r="K535" s="13"/>
      <c r="L535" s="13"/>
      <c r="M535" s="13"/>
      <c r="N535" s="13"/>
      <c r="O535" s="13"/>
      <c r="P535" s="13"/>
      <c r="Q535" s="13"/>
      <c r="R535" s="13"/>
      <c r="S535" s="13"/>
      <c r="T535" s="13"/>
      <c r="U535" s="13"/>
      <c r="V535" s="13"/>
      <c r="W535" s="13"/>
      <c r="X535" s="13"/>
      <c r="Y535" s="13"/>
      <c r="Z535" s="13"/>
      <c r="AA535" s="13"/>
    </row>
    <row r="536" ht="16.5" customHeight="1">
      <c r="A536" s="10"/>
      <c r="B536" s="10"/>
      <c r="C536" s="13"/>
      <c r="D536" s="13"/>
      <c r="E536" s="13"/>
      <c r="F536" s="185"/>
      <c r="G536" s="13"/>
      <c r="H536" s="13"/>
      <c r="I536" s="13"/>
      <c r="J536" s="13"/>
      <c r="K536" s="13"/>
      <c r="L536" s="13"/>
      <c r="M536" s="13"/>
      <c r="N536" s="13"/>
      <c r="O536" s="13"/>
      <c r="P536" s="13"/>
      <c r="Q536" s="13"/>
      <c r="R536" s="13"/>
      <c r="S536" s="13"/>
      <c r="T536" s="13"/>
      <c r="U536" s="13"/>
      <c r="V536" s="13"/>
      <c r="W536" s="13"/>
      <c r="X536" s="13"/>
      <c r="Y536" s="13"/>
      <c r="Z536" s="13"/>
      <c r="AA536" s="13"/>
    </row>
    <row r="537" ht="16.5" customHeight="1">
      <c r="A537" s="10"/>
      <c r="B537" s="10"/>
      <c r="C537" s="13"/>
      <c r="D537" s="13"/>
      <c r="E537" s="13"/>
      <c r="F537" s="185"/>
      <c r="G537" s="13"/>
      <c r="H537" s="13"/>
      <c r="I537" s="13"/>
      <c r="J537" s="13"/>
      <c r="K537" s="13"/>
      <c r="L537" s="13"/>
      <c r="M537" s="13"/>
      <c r="N537" s="13"/>
      <c r="O537" s="13"/>
      <c r="P537" s="13"/>
      <c r="Q537" s="13"/>
      <c r="R537" s="13"/>
      <c r="S537" s="13"/>
      <c r="T537" s="13"/>
      <c r="U537" s="13"/>
      <c r="V537" s="13"/>
      <c r="W537" s="13"/>
      <c r="X537" s="13"/>
      <c r="Y537" s="13"/>
      <c r="Z537" s="13"/>
      <c r="AA537" s="13"/>
    </row>
    <row r="538" ht="16.5" customHeight="1">
      <c r="A538" s="10"/>
      <c r="B538" s="10"/>
      <c r="C538" s="13"/>
      <c r="D538" s="13"/>
      <c r="E538" s="13"/>
      <c r="F538" s="185"/>
      <c r="G538" s="13"/>
      <c r="H538" s="13"/>
      <c r="I538" s="13"/>
      <c r="J538" s="13"/>
      <c r="K538" s="13"/>
      <c r="L538" s="13"/>
      <c r="M538" s="13"/>
      <c r="N538" s="13"/>
      <c r="O538" s="13"/>
      <c r="P538" s="13"/>
      <c r="Q538" s="13"/>
      <c r="R538" s="13"/>
      <c r="S538" s="13"/>
      <c r="T538" s="13"/>
      <c r="U538" s="13"/>
      <c r="V538" s="13"/>
      <c r="W538" s="13"/>
      <c r="X538" s="13"/>
      <c r="Y538" s="13"/>
      <c r="Z538" s="13"/>
      <c r="AA538" s="13"/>
    </row>
    <row r="539" ht="16.5" customHeight="1">
      <c r="A539" s="10"/>
      <c r="B539" s="10"/>
      <c r="C539" s="13"/>
      <c r="D539" s="13"/>
      <c r="E539" s="13"/>
      <c r="F539" s="185"/>
      <c r="G539" s="13"/>
      <c r="H539" s="13"/>
      <c r="I539" s="13"/>
      <c r="J539" s="13"/>
      <c r="K539" s="13"/>
      <c r="L539" s="13"/>
      <c r="M539" s="13"/>
      <c r="N539" s="13"/>
      <c r="O539" s="13"/>
      <c r="P539" s="13"/>
      <c r="Q539" s="13"/>
      <c r="R539" s="13"/>
      <c r="S539" s="13"/>
      <c r="T539" s="13"/>
      <c r="U539" s="13"/>
      <c r="V539" s="13"/>
      <c r="W539" s="13"/>
      <c r="X539" s="13"/>
      <c r="Y539" s="13"/>
      <c r="Z539" s="13"/>
      <c r="AA539" s="13"/>
    </row>
    <row r="540" ht="16.5" customHeight="1">
      <c r="A540" s="10"/>
      <c r="B540" s="10"/>
      <c r="C540" s="13"/>
      <c r="D540" s="13"/>
      <c r="E540" s="13"/>
      <c r="F540" s="185"/>
      <c r="G540" s="13"/>
      <c r="H540" s="13"/>
      <c r="I540" s="13"/>
      <c r="J540" s="13"/>
      <c r="K540" s="13"/>
      <c r="L540" s="13"/>
      <c r="M540" s="13"/>
      <c r="N540" s="13"/>
      <c r="O540" s="13"/>
      <c r="P540" s="13"/>
      <c r="Q540" s="13"/>
      <c r="R540" s="13"/>
      <c r="S540" s="13"/>
      <c r="T540" s="13"/>
      <c r="U540" s="13"/>
      <c r="V540" s="13"/>
      <c r="W540" s="13"/>
      <c r="X540" s="13"/>
      <c r="Y540" s="13"/>
      <c r="Z540" s="13"/>
      <c r="AA540" s="13"/>
    </row>
    <row r="541" ht="16.5" customHeight="1">
      <c r="A541" s="10"/>
      <c r="B541" s="10"/>
      <c r="C541" s="13"/>
      <c r="D541" s="13"/>
      <c r="E541" s="13"/>
      <c r="F541" s="185"/>
      <c r="G541" s="13"/>
      <c r="H541" s="13"/>
      <c r="I541" s="13"/>
      <c r="J541" s="13"/>
      <c r="K541" s="13"/>
      <c r="L541" s="13"/>
      <c r="M541" s="13"/>
      <c r="N541" s="13"/>
      <c r="O541" s="13"/>
      <c r="P541" s="13"/>
      <c r="Q541" s="13"/>
      <c r="R541" s="13"/>
      <c r="S541" s="13"/>
      <c r="T541" s="13"/>
      <c r="U541" s="13"/>
      <c r="V541" s="13"/>
      <c r="W541" s="13"/>
      <c r="X541" s="13"/>
      <c r="Y541" s="13"/>
      <c r="Z541" s="13"/>
      <c r="AA541" s="13"/>
    </row>
    <row r="542" ht="16.5" customHeight="1">
      <c r="A542" s="10"/>
      <c r="B542" s="10"/>
      <c r="C542" s="13"/>
      <c r="D542" s="13"/>
      <c r="E542" s="13"/>
      <c r="F542" s="185"/>
      <c r="G542" s="13"/>
      <c r="H542" s="13"/>
      <c r="I542" s="13"/>
      <c r="J542" s="13"/>
      <c r="K542" s="13"/>
      <c r="L542" s="13"/>
      <c r="M542" s="13"/>
      <c r="N542" s="13"/>
      <c r="O542" s="13"/>
      <c r="P542" s="13"/>
      <c r="Q542" s="13"/>
      <c r="R542" s="13"/>
      <c r="S542" s="13"/>
      <c r="T542" s="13"/>
      <c r="U542" s="13"/>
      <c r="V542" s="13"/>
      <c r="W542" s="13"/>
      <c r="X542" s="13"/>
      <c r="Y542" s="13"/>
      <c r="Z542" s="13"/>
      <c r="AA542" s="13"/>
    </row>
    <row r="543" ht="16.5" customHeight="1">
      <c r="A543" s="10"/>
      <c r="B543" s="10"/>
      <c r="C543" s="13"/>
      <c r="D543" s="13"/>
      <c r="E543" s="13"/>
      <c r="F543" s="185"/>
      <c r="G543" s="13"/>
      <c r="H543" s="13"/>
      <c r="I543" s="13"/>
      <c r="J543" s="13"/>
      <c r="K543" s="13"/>
      <c r="L543" s="13"/>
      <c r="M543" s="13"/>
      <c r="N543" s="13"/>
      <c r="O543" s="13"/>
      <c r="P543" s="13"/>
      <c r="Q543" s="13"/>
      <c r="R543" s="13"/>
      <c r="S543" s="13"/>
      <c r="T543" s="13"/>
      <c r="U543" s="13"/>
      <c r="V543" s="13"/>
      <c r="W543" s="13"/>
      <c r="X543" s="13"/>
      <c r="Y543" s="13"/>
      <c r="Z543" s="13"/>
      <c r="AA543" s="13"/>
    </row>
    <row r="544" ht="16.5" customHeight="1">
      <c r="A544" s="10"/>
      <c r="B544" s="10"/>
      <c r="C544" s="13"/>
      <c r="D544" s="13"/>
      <c r="E544" s="13"/>
      <c r="F544" s="185"/>
      <c r="G544" s="13"/>
      <c r="H544" s="13"/>
      <c r="I544" s="13"/>
      <c r="J544" s="13"/>
      <c r="K544" s="13"/>
      <c r="L544" s="13"/>
      <c r="M544" s="13"/>
      <c r="N544" s="13"/>
      <c r="O544" s="13"/>
      <c r="P544" s="13"/>
      <c r="Q544" s="13"/>
      <c r="R544" s="13"/>
      <c r="S544" s="13"/>
      <c r="T544" s="13"/>
      <c r="U544" s="13"/>
      <c r="V544" s="13"/>
      <c r="W544" s="13"/>
      <c r="X544" s="13"/>
      <c r="Y544" s="13"/>
      <c r="Z544" s="13"/>
      <c r="AA544" s="13"/>
    </row>
    <row r="545" ht="16.5" customHeight="1">
      <c r="A545" s="10"/>
      <c r="B545" s="10"/>
      <c r="C545" s="13"/>
      <c r="D545" s="13"/>
      <c r="E545" s="13"/>
      <c r="F545" s="185"/>
      <c r="G545" s="13"/>
      <c r="H545" s="13"/>
      <c r="I545" s="13"/>
      <c r="J545" s="13"/>
      <c r="K545" s="13"/>
      <c r="L545" s="13"/>
      <c r="M545" s="13"/>
      <c r="N545" s="13"/>
      <c r="O545" s="13"/>
      <c r="P545" s="13"/>
      <c r="Q545" s="13"/>
      <c r="R545" s="13"/>
      <c r="S545" s="13"/>
      <c r="T545" s="13"/>
      <c r="U545" s="13"/>
      <c r="V545" s="13"/>
      <c r="W545" s="13"/>
      <c r="X545" s="13"/>
      <c r="Y545" s="13"/>
      <c r="Z545" s="13"/>
      <c r="AA545" s="13"/>
    </row>
    <row r="546" ht="16.5" customHeight="1">
      <c r="A546" s="10"/>
      <c r="B546" s="10"/>
      <c r="C546" s="13"/>
      <c r="D546" s="13"/>
      <c r="E546" s="13"/>
      <c r="F546" s="185"/>
      <c r="G546" s="13"/>
      <c r="H546" s="13"/>
      <c r="I546" s="13"/>
      <c r="J546" s="13"/>
      <c r="K546" s="13"/>
      <c r="L546" s="13"/>
      <c r="M546" s="13"/>
      <c r="N546" s="13"/>
      <c r="O546" s="13"/>
      <c r="P546" s="13"/>
      <c r="Q546" s="13"/>
      <c r="R546" s="13"/>
      <c r="S546" s="13"/>
      <c r="T546" s="13"/>
      <c r="U546" s="13"/>
      <c r="V546" s="13"/>
      <c r="W546" s="13"/>
      <c r="X546" s="13"/>
      <c r="Y546" s="13"/>
      <c r="Z546" s="13"/>
      <c r="AA546" s="13"/>
    </row>
    <row r="547" ht="16.5" customHeight="1">
      <c r="A547" s="10"/>
      <c r="B547" s="10"/>
      <c r="C547" s="13"/>
      <c r="D547" s="13"/>
      <c r="E547" s="13"/>
      <c r="F547" s="185"/>
      <c r="G547" s="13"/>
      <c r="H547" s="13"/>
      <c r="I547" s="13"/>
      <c r="J547" s="13"/>
      <c r="K547" s="13"/>
      <c r="L547" s="13"/>
      <c r="M547" s="13"/>
      <c r="N547" s="13"/>
      <c r="O547" s="13"/>
      <c r="P547" s="13"/>
      <c r="Q547" s="13"/>
      <c r="R547" s="13"/>
      <c r="S547" s="13"/>
      <c r="T547" s="13"/>
      <c r="U547" s="13"/>
      <c r="V547" s="13"/>
      <c r="W547" s="13"/>
      <c r="X547" s="13"/>
      <c r="Y547" s="13"/>
      <c r="Z547" s="13"/>
      <c r="AA547" s="13"/>
    </row>
    <row r="548" ht="16.5" customHeight="1">
      <c r="A548" s="10"/>
      <c r="B548" s="10"/>
      <c r="C548" s="13"/>
      <c r="D548" s="13"/>
      <c r="E548" s="13"/>
      <c r="F548" s="185"/>
      <c r="G548" s="13"/>
      <c r="H548" s="13"/>
      <c r="I548" s="13"/>
      <c r="J548" s="13"/>
      <c r="K548" s="13"/>
      <c r="L548" s="13"/>
      <c r="M548" s="13"/>
      <c r="N548" s="13"/>
      <c r="O548" s="13"/>
      <c r="P548" s="13"/>
      <c r="Q548" s="13"/>
      <c r="R548" s="13"/>
      <c r="S548" s="13"/>
      <c r="T548" s="13"/>
      <c r="U548" s="13"/>
      <c r="V548" s="13"/>
      <c r="W548" s="13"/>
      <c r="X548" s="13"/>
      <c r="Y548" s="13"/>
      <c r="Z548" s="13"/>
      <c r="AA548" s="13"/>
    </row>
    <row r="549" ht="16.5" customHeight="1">
      <c r="A549" s="10"/>
      <c r="B549" s="10"/>
      <c r="C549" s="13"/>
      <c r="D549" s="13"/>
      <c r="E549" s="13"/>
      <c r="F549" s="185"/>
      <c r="G549" s="13"/>
      <c r="H549" s="13"/>
      <c r="I549" s="13"/>
      <c r="J549" s="13"/>
      <c r="K549" s="13"/>
      <c r="L549" s="13"/>
      <c r="M549" s="13"/>
      <c r="N549" s="13"/>
      <c r="O549" s="13"/>
      <c r="P549" s="13"/>
      <c r="Q549" s="13"/>
      <c r="R549" s="13"/>
      <c r="S549" s="13"/>
      <c r="T549" s="13"/>
      <c r="U549" s="13"/>
      <c r="V549" s="13"/>
      <c r="W549" s="13"/>
      <c r="X549" s="13"/>
      <c r="Y549" s="13"/>
      <c r="Z549" s="13"/>
      <c r="AA549" s="13"/>
    </row>
    <row r="550" ht="16.5" customHeight="1">
      <c r="A550" s="10"/>
      <c r="B550" s="10"/>
      <c r="C550" s="13"/>
      <c r="D550" s="13"/>
      <c r="E550" s="13"/>
      <c r="F550" s="185"/>
      <c r="G550" s="13"/>
      <c r="H550" s="13"/>
      <c r="I550" s="13"/>
      <c r="J550" s="13"/>
      <c r="K550" s="13"/>
      <c r="L550" s="13"/>
      <c r="M550" s="13"/>
      <c r="N550" s="13"/>
      <c r="O550" s="13"/>
      <c r="P550" s="13"/>
      <c r="Q550" s="13"/>
      <c r="R550" s="13"/>
      <c r="S550" s="13"/>
      <c r="T550" s="13"/>
      <c r="U550" s="13"/>
      <c r="V550" s="13"/>
      <c r="W550" s="13"/>
      <c r="X550" s="13"/>
      <c r="Y550" s="13"/>
      <c r="Z550" s="13"/>
      <c r="AA550" s="13"/>
    </row>
    <row r="551" ht="16.5" customHeight="1">
      <c r="A551" s="10"/>
      <c r="B551" s="10"/>
      <c r="C551" s="13"/>
      <c r="D551" s="13"/>
      <c r="E551" s="13"/>
      <c r="F551" s="185"/>
      <c r="G551" s="13"/>
      <c r="H551" s="13"/>
      <c r="I551" s="13"/>
      <c r="J551" s="13"/>
      <c r="K551" s="13"/>
      <c r="L551" s="13"/>
      <c r="M551" s="13"/>
      <c r="N551" s="13"/>
      <c r="O551" s="13"/>
      <c r="P551" s="13"/>
      <c r="Q551" s="13"/>
      <c r="R551" s="13"/>
      <c r="S551" s="13"/>
      <c r="T551" s="13"/>
      <c r="U551" s="13"/>
      <c r="V551" s="13"/>
      <c r="W551" s="13"/>
      <c r="X551" s="13"/>
      <c r="Y551" s="13"/>
      <c r="Z551" s="13"/>
      <c r="AA551" s="13"/>
    </row>
    <row r="552" ht="16.5" customHeight="1">
      <c r="A552" s="10"/>
      <c r="B552" s="10"/>
      <c r="C552" s="13"/>
      <c r="D552" s="13"/>
      <c r="E552" s="13"/>
      <c r="F552" s="185"/>
      <c r="G552" s="13"/>
      <c r="H552" s="13"/>
      <c r="I552" s="13"/>
      <c r="J552" s="13"/>
      <c r="K552" s="13"/>
      <c r="L552" s="13"/>
      <c r="M552" s="13"/>
      <c r="N552" s="13"/>
      <c r="O552" s="13"/>
      <c r="P552" s="13"/>
      <c r="Q552" s="13"/>
      <c r="R552" s="13"/>
      <c r="S552" s="13"/>
      <c r="T552" s="13"/>
      <c r="U552" s="13"/>
      <c r="V552" s="13"/>
      <c r="W552" s="13"/>
      <c r="X552" s="13"/>
      <c r="Y552" s="13"/>
      <c r="Z552" s="13"/>
      <c r="AA552" s="13"/>
    </row>
    <row r="553" ht="16.5" customHeight="1">
      <c r="A553" s="10"/>
      <c r="B553" s="10"/>
      <c r="C553" s="13"/>
      <c r="D553" s="13"/>
      <c r="E553" s="13"/>
      <c r="F553" s="185"/>
      <c r="G553" s="13"/>
      <c r="H553" s="13"/>
      <c r="I553" s="13"/>
      <c r="J553" s="13"/>
      <c r="K553" s="13"/>
      <c r="L553" s="13"/>
      <c r="M553" s="13"/>
      <c r="N553" s="13"/>
      <c r="O553" s="13"/>
      <c r="P553" s="13"/>
      <c r="Q553" s="13"/>
      <c r="R553" s="13"/>
      <c r="S553" s="13"/>
      <c r="T553" s="13"/>
      <c r="U553" s="13"/>
      <c r="V553" s="13"/>
      <c r="W553" s="13"/>
      <c r="X553" s="13"/>
      <c r="Y553" s="13"/>
      <c r="Z553" s="13"/>
      <c r="AA553" s="13"/>
    </row>
    <row r="554" ht="16.5" customHeight="1">
      <c r="A554" s="10"/>
      <c r="B554" s="10"/>
      <c r="C554" s="13"/>
      <c r="D554" s="13"/>
      <c r="E554" s="13"/>
      <c r="F554" s="185"/>
      <c r="G554" s="13"/>
      <c r="H554" s="13"/>
      <c r="I554" s="13"/>
      <c r="J554" s="13"/>
      <c r="K554" s="13"/>
      <c r="L554" s="13"/>
      <c r="M554" s="13"/>
      <c r="N554" s="13"/>
      <c r="O554" s="13"/>
      <c r="P554" s="13"/>
      <c r="Q554" s="13"/>
      <c r="R554" s="13"/>
      <c r="S554" s="13"/>
      <c r="T554" s="13"/>
      <c r="U554" s="13"/>
      <c r="V554" s="13"/>
      <c r="W554" s="13"/>
      <c r="X554" s="13"/>
      <c r="Y554" s="13"/>
      <c r="Z554" s="13"/>
      <c r="AA554" s="13"/>
    </row>
    <row r="555" ht="16.5" customHeight="1">
      <c r="A555" s="10"/>
      <c r="B555" s="10"/>
      <c r="C555" s="13"/>
      <c r="D555" s="13"/>
      <c r="E555" s="13"/>
      <c r="F555" s="185"/>
      <c r="G555" s="13"/>
      <c r="H555" s="13"/>
      <c r="I555" s="13"/>
      <c r="J555" s="13"/>
      <c r="K555" s="13"/>
      <c r="L555" s="13"/>
      <c r="M555" s="13"/>
      <c r="N555" s="13"/>
      <c r="O555" s="13"/>
      <c r="P555" s="13"/>
      <c r="Q555" s="13"/>
      <c r="R555" s="13"/>
      <c r="S555" s="13"/>
      <c r="T555" s="13"/>
      <c r="U555" s="13"/>
      <c r="V555" s="13"/>
      <c r="W555" s="13"/>
      <c r="X555" s="13"/>
      <c r="Y555" s="13"/>
      <c r="Z555" s="13"/>
      <c r="AA555" s="13"/>
    </row>
    <row r="556" ht="16.5" customHeight="1">
      <c r="A556" s="10"/>
      <c r="B556" s="10"/>
      <c r="C556" s="13"/>
      <c r="D556" s="13"/>
      <c r="E556" s="13"/>
      <c r="F556" s="185"/>
      <c r="G556" s="13"/>
      <c r="H556" s="13"/>
      <c r="I556" s="13"/>
      <c r="J556" s="13"/>
      <c r="K556" s="13"/>
      <c r="L556" s="13"/>
      <c r="M556" s="13"/>
      <c r="N556" s="13"/>
      <c r="O556" s="13"/>
      <c r="P556" s="13"/>
      <c r="Q556" s="13"/>
      <c r="R556" s="13"/>
      <c r="S556" s="13"/>
      <c r="T556" s="13"/>
      <c r="U556" s="13"/>
      <c r="V556" s="13"/>
      <c r="W556" s="13"/>
      <c r="X556" s="13"/>
      <c r="Y556" s="13"/>
      <c r="Z556" s="13"/>
      <c r="AA556" s="13"/>
    </row>
    <row r="557" ht="16.5" customHeight="1">
      <c r="A557" s="10"/>
      <c r="B557" s="10"/>
      <c r="C557" s="13"/>
      <c r="D557" s="13"/>
      <c r="E557" s="13"/>
      <c r="F557" s="185"/>
      <c r="G557" s="13"/>
      <c r="H557" s="13"/>
      <c r="I557" s="13"/>
      <c r="J557" s="13"/>
      <c r="K557" s="13"/>
      <c r="L557" s="13"/>
      <c r="M557" s="13"/>
      <c r="N557" s="13"/>
      <c r="O557" s="13"/>
      <c r="P557" s="13"/>
      <c r="Q557" s="13"/>
      <c r="R557" s="13"/>
      <c r="S557" s="13"/>
      <c r="T557" s="13"/>
      <c r="U557" s="13"/>
      <c r="V557" s="13"/>
      <c r="W557" s="13"/>
      <c r="X557" s="13"/>
      <c r="Y557" s="13"/>
      <c r="Z557" s="13"/>
      <c r="AA557" s="13"/>
    </row>
    <row r="558" ht="16.5" customHeight="1">
      <c r="A558" s="10"/>
      <c r="B558" s="10"/>
      <c r="C558" s="13"/>
      <c r="D558" s="13"/>
      <c r="E558" s="13"/>
      <c r="F558" s="185"/>
      <c r="G558" s="13"/>
      <c r="H558" s="13"/>
      <c r="I558" s="13"/>
      <c r="J558" s="13"/>
      <c r="K558" s="13"/>
      <c r="L558" s="13"/>
      <c r="M558" s="13"/>
      <c r="N558" s="13"/>
      <c r="O558" s="13"/>
      <c r="P558" s="13"/>
      <c r="Q558" s="13"/>
      <c r="R558" s="13"/>
      <c r="S558" s="13"/>
      <c r="T558" s="13"/>
      <c r="U558" s="13"/>
      <c r="V558" s="13"/>
      <c r="W558" s="13"/>
      <c r="X558" s="13"/>
      <c r="Y558" s="13"/>
      <c r="Z558" s="13"/>
      <c r="AA558" s="13"/>
    </row>
    <row r="559" ht="16.5" customHeight="1">
      <c r="A559" s="10"/>
      <c r="B559" s="10"/>
      <c r="C559" s="13"/>
      <c r="D559" s="13"/>
      <c r="E559" s="13"/>
      <c r="F559" s="185"/>
      <c r="G559" s="13"/>
      <c r="H559" s="13"/>
      <c r="I559" s="13"/>
      <c r="J559" s="13"/>
      <c r="K559" s="13"/>
      <c r="L559" s="13"/>
      <c r="M559" s="13"/>
      <c r="N559" s="13"/>
      <c r="O559" s="13"/>
      <c r="P559" s="13"/>
      <c r="Q559" s="13"/>
      <c r="R559" s="13"/>
      <c r="S559" s="13"/>
      <c r="T559" s="13"/>
      <c r="U559" s="13"/>
      <c r="V559" s="13"/>
      <c r="W559" s="13"/>
      <c r="X559" s="13"/>
      <c r="Y559" s="13"/>
      <c r="Z559" s="13"/>
      <c r="AA559" s="13"/>
    </row>
    <row r="560" ht="16.5" customHeight="1">
      <c r="A560" s="10"/>
      <c r="B560" s="10"/>
      <c r="C560" s="13"/>
      <c r="D560" s="13"/>
      <c r="E560" s="13"/>
      <c r="F560" s="185"/>
      <c r="G560" s="13"/>
      <c r="H560" s="13"/>
      <c r="I560" s="13"/>
      <c r="J560" s="13"/>
      <c r="K560" s="13"/>
      <c r="L560" s="13"/>
      <c r="M560" s="13"/>
      <c r="N560" s="13"/>
      <c r="O560" s="13"/>
      <c r="P560" s="13"/>
      <c r="Q560" s="13"/>
      <c r="R560" s="13"/>
      <c r="S560" s="13"/>
      <c r="T560" s="13"/>
      <c r="U560" s="13"/>
      <c r="V560" s="13"/>
      <c r="W560" s="13"/>
      <c r="X560" s="13"/>
      <c r="Y560" s="13"/>
      <c r="Z560" s="13"/>
      <c r="AA560" s="13"/>
    </row>
    <row r="561" ht="16.5" customHeight="1">
      <c r="A561" s="10"/>
      <c r="B561" s="10"/>
      <c r="C561" s="13"/>
      <c r="D561" s="13"/>
      <c r="E561" s="13"/>
      <c r="F561" s="185"/>
      <c r="G561" s="13"/>
      <c r="H561" s="13"/>
      <c r="I561" s="13"/>
      <c r="J561" s="13"/>
      <c r="K561" s="13"/>
      <c r="L561" s="13"/>
      <c r="M561" s="13"/>
      <c r="N561" s="13"/>
      <c r="O561" s="13"/>
      <c r="P561" s="13"/>
      <c r="Q561" s="13"/>
      <c r="R561" s="13"/>
      <c r="S561" s="13"/>
      <c r="T561" s="13"/>
      <c r="U561" s="13"/>
      <c r="V561" s="13"/>
      <c r="W561" s="13"/>
      <c r="X561" s="13"/>
      <c r="Y561" s="13"/>
      <c r="Z561" s="13"/>
      <c r="AA561" s="13"/>
    </row>
    <row r="562" ht="16.5" customHeight="1">
      <c r="A562" s="10"/>
      <c r="B562" s="10"/>
      <c r="C562" s="13"/>
      <c r="D562" s="13"/>
      <c r="E562" s="13"/>
      <c r="F562" s="185"/>
      <c r="G562" s="13"/>
      <c r="H562" s="13"/>
      <c r="I562" s="13"/>
      <c r="J562" s="13"/>
      <c r="K562" s="13"/>
      <c r="L562" s="13"/>
      <c r="M562" s="13"/>
      <c r="N562" s="13"/>
      <c r="O562" s="13"/>
      <c r="P562" s="13"/>
      <c r="Q562" s="13"/>
      <c r="R562" s="13"/>
      <c r="S562" s="13"/>
      <c r="T562" s="13"/>
      <c r="U562" s="13"/>
      <c r="V562" s="13"/>
      <c r="W562" s="13"/>
      <c r="X562" s="13"/>
      <c r="Y562" s="13"/>
      <c r="Z562" s="13"/>
      <c r="AA562" s="13"/>
    </row>
    <row r="563" ht="16.5" customHeight="1">
      <c r="A563" s="10"/>
      <c r="B563" s="10"/>
      <c r="C563" s="13"/>
      <c r="D563" s="13"/>
      <c r="E563" s="13"/>
      <c r="F563" s="185"/>
      <c r="G563" s="13"/>
      <c r="H563" s="13"/>
      <c r="I563" s="13"/>
      <c r="J563" s="13"/>
      <c r="K563" s="13"/>
      <c r="L563" s="13"/>
      <c r="M563" s="13"/>
      <c r="N563" s="13"/>
      <c r="O563" s="13"/>
      <c r="P563" s="13"/>
      <c r="Q563" s="13"/>
      <c r="R563" s="13"/>
      <c r="S563" s="13"/>
      <c r="T563" s="13"/>
      <c r="U563" s="13"/>
      <c r="V563" s="13"/>
      <c r="W563" s="13"/>
      <c r="X563" s="13"/>
      <c r="Y563" s="13"/>
      <c r="Z563" s="13"/>
      <c r="AA563" s="13"/>
    </row>
    <row r="564" ht="16.5" customHeight="1">
      <c r="A564" s="10"/>
      <c r="B564" s="10"/>
      <c r="C564" s="13"/>
      <c r="D564" s="13"/>
      <c r="E564" s="13"/>
      <c r="F564" s="185"/>
      <c r="G564" s="13"/>
      <c r="H564" s="13"/>
      <c r="I564" s="13"/>
      <c r="J564" s="13"/>
      <c r="K564" s="13"/>
      <c r="L564" s="13"/>
      <c r="M564" s="13"/>
      <c r="N564" s="13"/>
      <c r="O564" s="13"/>
      <c r="P564" s="13"/>
      <c r="Q564" s="13"/>
      <c r="R564" s="13"/>
      <c r="S564" s="13"/>
      <c r="T564" s="13"/>
      <c r="U564" s="13"/>
      <c r="V564" s="13"/>
      <c r="W564" s="13"/>
      <c r="X564" s="13"/>
      <c r="Y564" s="13"/>
      <c r="Z564" s="13"/>
      <c r="AA564" s="13"/>
    </row>
    <row r="565" ht="16.5" customHeight="1">
      <c r="A565" s="10"/>
      <c r="B565" s="10"/>
      <c r="C565" s="13"/>
      <c r="D565" s="13"/>
      <c r="E565" s="13"/>
      <c r="F565" s="185"/>
      <c r="G565" s="13"/>
      <c r="H565" s="13"/>
      <c r="I565" s="13"/>
      <c r="J565" s="13"/>
      <c r="K565" s="13"/>
      <c r="L565" s="13"/>
      <c r="M565" s="13"/>
      <c r="N565" s="13"/>
      <c r="O565" s="13"/>
      <c r="P565" s="13"/>
      <c r="Q565" s="13"/>
      <c r="R565" s="13"/>
      <c r="S565" s="13"/>
      <c r="T565" s="13"/>
      <c r="U565" s="13"/>
      <c r="V565" s="13"/>
      <c r="W565" s="13"/>
      <c r="X565" s="13"/>
      <c r="Y565" s="13"/>
      <c r="Z565" s="13"/>
      <c r="AA565" s="13"/>
    </row>
    <row r="566" ht="16.5" customHeight="1">
      <c r="A566" s="10"/>
      <c r="B566" s="10"/>
      <c r="C566" s="13"/>
      <c r="D566" s="13"/>
      <c r="E566" s="13"/>
      <c r="F566" s="185"/>
      <c r="G566" s="13"/>
      <c r="H566" s="13"/>
      <c r="I566" s="13"/>
      <c r="J566" s="13"/>
      <c r="K566" s="13"/>
      <c r="L566" s="13"/>
      <c r="M566" s="13"/>
      <c r="N566" s="13"/>
      <c r="O566" s="13"/>
      <c r="P566" s="13"/>
      <c r="Q566" s="13"/>
      <c r="R566" s="13"/>
      <c r="S566" s="13"/>
      <c r="T566" s="13"/>
      <c r="U566" s="13"/>
      <c r="V566" s="13"/>
      <c r="W566" s="13"/>
      <c r="X566" s="13"/>
      <c r="Y566" s="13"/>
      <c r="Z566" s="13"/>
      <c r="AA566" s="13"/>
    </row>
    <row r="567" ht="16.5" customHeight="1">
      <c r="A567" s="10"/>
      <c r="B567" s="10"/>
      <c r="C567" s="13"/>
      <c r="D567" s="13"/>
      <c r="E567" s="13"/>
      <c r="F567" s="185"/>
      <c r="G567" s="13"/>
      <c r="H567" s="13"/>
      <c r="I567" s="13"/>
      <c r="J567" s="13"/>
      <c r="K567" s="13"/>
      <c r="L567" s="13"/>
      <c r="M567" s="13"/>
      <c r="N567" s="13"/>
      <c r="O567" s="13"/>
      <c r="P567" s="13"/>
      <c r="Q567" s="13"/>
      <c r="R567" s="13"/>
      <c r="S567" s="13"/>
      <c r="T567" s="13"/>
      <c r="U567" s="13"/>
      <c r="V567" s="13"/>
      <c r="W567" s="13"/>
      <c r="X567" s="13"/>
      <c r="Y567" s="13"/>
      <c r="Z567" s="13"/>
      <c r="AA567" s="13"/>
    </row>
    <row r="568" ht="16.5" customHeight="1">
      <c r="A568" s="10"/>
      <c r="B568" s="10"/>
      <c r="C568" s="13"/>
      <c r="D568" s="13"/>
      <c r="E568" s="13"/>
      <c r="F568" s="185"/>
      <c r="G568" s="13"/>
      <c r="H568" s="13"/>
      <c r="I568" s="13"/>
      <c r="J568" s="13"/>
      <c r="K568" s="13"/>
      <c r="L568" s="13"/>
      <c r="M568" s="13"/>
      <c r="N568" s="13"/>
      <c r="O568" s="13"/>
      <c r="P568" s="13"/>
      <c r="Q568" s="13"/>
      <c r="R568" s="13"/>
      <c r="S568" s="13"/>
      <c r="T568" s="13"/>
      <c r="U568" s="13"/>
      <c r="V568" s="13"/>
      <c r="W568" s="13"/>
      <c r="X568" s="13"/>
      <c r="Y568" s="13"/>
      <c r="Z568" s="13"/>
      <c r="AA568" s="13"/>
    </row>
    <row r="569" ht="16.5" customHeight="1">
      <c r="A569" s="10"/>
      <c r="B569" s="10"/>
      <c r="C569" s="13"/>
      <c r="D569" s="13"/>
      <c r="E569" s="13"/>
      <c r="F569" s="185"/>
      <c r="G569" s="13"/>
      <c r="H569" s="13"/>
      <c r="I569" s="13"/>
      <c r="J569" s="13"/>
      <c r="K569" s="13"/>
      <c r="L569" s="13"/>
      <c r="M569" s="13"/>
      <c r="N569" s="13"/>
      <c r="O569" s="13"/>
      <c r="P569" s="13"/>
      <c r="Q569" s="13"/>
      <c r="R569" s="13"/>
      <c r="S569" s="13"/>
      <c r="T569" s="13"/>
      <c r="U569" s="13"/>
      <c r="V569" s="13"/>
      <c r="W569" s="13"/>
      <c r="X569" s="13"/>
      <c r="Y569" s="13"/>
      <c r="Z569" s="13"/>
      <c r="AA569" s="13"/>
    </row>
    <row r="570" ht="16.5" customHeight="1">
      <c r="A570" s="10"/>
      <c r="B570" s="10"/>
      <c r="C570" s="13"/>
      <c r="D570" s="13"/>
      <c r="E570" s="13"/>
      <c r="F570" s="185"/>
      <c r="G570" s="13"/>
      <c r="H570" s="13"/>
      <c r="I570" s="13"/>
      <c r="J570" s="13"/>
      <c r="K570" s="13"/>
      <c r="L570" s="13"/>
      <c r="M570" s="13"/>
      <c r="N570" s="13"/>
      <c r="O570" s="13"/>
      <c r="P570" s="13"/>
      <c r="Q570" s="13"/>
      <c r="R570" s="13"/>
      <c r="S570" s="13"/>
      <c r="T570" s="13"/>
      <c r="U570" s="13"/>
      <c r="V570" s="13"/>
      <c r="W570" s="13"/>
      <c r="X570" s="13"/>
      <c r="Y570" s="13"/>
      <c r="Z570" s="13"/>
      <c r="AA570" s="13"/>
    </row>
    <row r="571" ht="16.5" customHeight="1">
      <c r="A571" s="10"/>
      <c r="B571" s="10"/>
      <c r="C571" s="13"/>
      <c r="D571" s="13"/>
      <c r="E571" s="13"/>
      <c r="F571" s="185"/>
      <c r="G571" s="13"/>
      <c r="H571" s="13"/>
      <c r="I571" s="13"/>
      <c r="J571" s="13"/>
      <c r="K571" s="13"/>
      <c r="L571" s="13"/>
      <c r="M571" s="13"/>
      <c r="N571" s="13"/>
      <c r="O571" s="13"/>
      <c r="P571" s="13"/>
      <c r="Q571" s="13"/>
      <c r="R571" s="13"/>
      <c r="S571" s="13"/>
      <c r="T571" s="13"/>
      <c r="U571" s="13"/>
      <c r="V571" s="13"/>
      <c r="W571" s="13"/>
      <c r="X571" s="13"/>
      <c r="Y571" s="13"/>
      <c r="Z571" s="13"/>
      <c r="AA571" s="13"/>
    </row>
    <row r="572" ht="16.5" customHeight="1">
      <c r="A572" s="10"/>
      <c r="B572" s="10"/>
      <c r="C572" s="13"/>
      <c r="D572" s="13"/>
      <c r="E572" s="13"/>
      <c r="F572" s="185"/>
      <c r="G572" s="13"/>
      <c r="H572" s="13"/>
      <c r="I572" s="13"/>
      <c r="J572" s="13"/>
      <c r="K572" s="13"/>
      <c r="L572" s="13"/>
      <c r="M572" s="13"/>
      <c r="N572" s="13"/>
      <c r="O572" s="13"/>
      <c r="P572" s="13"/>
      <c r="Q572" s="13"/>
      <c r="R572" s="13"/>
      <c r="S572" s="13"/>
      <c r="T572" s="13"/>
      <c r="U572" s="13"/>
      <c r="V572" s="13"/>
      <c r="W572" s="13"/>
      <c r="X572" s="13"/>
      <c r="Y572" s="13"/>
      <c r="Z572" s="13"/>
      <c r="AA572" s="13"/>
    </row>
    <row r="573" ht="16.5" customHeight="1">
      <c r="A573" s="10"/>
      <c r="B573" s="10"/>
      <c r="C573" s="13"/>
      <c r="D573" s="13"/>
      <c r="E573" s="13"/>
      <c r="F573" s="185"/>
      <c r="G573" s="13"/>
      <c r="H573" s="13"/>
      <c r="I573" s="13"/>
      <c r="J573" s="13"/>
      <c r="K573" s="13"/>
      <c r="L573" s="13"/>
      <c r="M573" s="13"/>
      <c r="N573" s="13"/>
      <c r="O573" s="13"/>
      <c r="P573" s="13"/>
      <c r="Q573" s="13"/>
      <c r="R573" s="13"/>
      <c r="S573" s="13"/>
      <c r="T573" s="13"/>
      <c r="U573" s="13"/>
      <c r="V573" s="13"/>
      <c r="W573" s="13"/>
      <c r="X573" s="13"/>
      <c r="Y573" s="13"/>
      <c r="Z573" s="13"/>
      <c r="AA573" s="13"/>
    </row>
    <row r="574" ht="16.5" customHeight="1">
      <c r="A574" s="10"/>
      <c r="B574" s="10"/>
      <c r="C574" s="13"/>
      <c r="D574" s="13"/>
      <c r="E574" s="13"/>
      <c r="F574" s="185"/>
      <c r="G574" s="13"/>
      <c r="H574" s="13"/>
      <c r="I574" s="13"/>
      <c r="J574" s="13"/>
      <c r="K574" s="13"/>
      <c r="L574" s="13"/>
      <c r="M574" s="13"/>
      <c r="N574" s="13"/>
      <c r="O574" s="13"/>
      <c r="P574" s="13"/>
      <c r="Q574" s="13"/>
      <c r="R574" s="13"/>
      <c r="S574" s="13"/>
      <c r="T574" s="13"/>
      <c r="U574" s="13"/>
      <c r="V574" s="13"/>
      <c r="W574" s="13"/>
      <c r="X574" s="13"/>
      <c r="Y574" s="13"/>
      <c r="Z574" s="13"/>
      <c r="AA574" s="13"/>
    </row>
    <row r="575" ht="16.5" customHeight="1">
      <c r="A575" s="10"/>
      <c r="B575" s="10"/>
      <c r="C575" s="13"/>
      <c r="D575" s="13"/>
      <c r="E575" s="13"/>
      <c r="F575" s="185"/>
      <c r="G575" s="13"/>
      <c r="H575" s="13"/>
      <c r="I575" s="13"/>
      <c r="J575" s="13"/>
      <c r="K575" s="13"/>
      <c r="L575" s="13"/>
      <c r="M575" s="13"/>
      <c r="N575" s="13"/>
      <c r="O575" s="13"/>
      <c r="P575" s="13"/>
      <c r="Q575" s="13"/>
      <c r="R575" s="13"/>
      <c r="S575" s="13"/>
      <c r="T575" s="13"/>
      <c r="U575" s="13"/>
      <c r="V575" s="13"/>
      <c r="W575" s="13"/>
      <c r="X575" s="13"/>
      <c r="Y575" s="13"/>
      <c r="Z575" s="13"/>
      <c r="AA575" s="13"/>
    </row>
    <row r="576" ht="16.5" customHeight="1">
      <c r="A576" s="10"/>
      <c r="B576" s="10"/>
      <c r="C576" s="13"/>
      <c r="D576" s="13"/>
      <c r="E576" s="13"/>
      <c r="F576" s="185"/>
      <c r="G576" s="13"/>
      <c r="H576" s="13"/>
      <c r="I576" s="13"/>
      <c r="J576" s="13"/>
      <c r="K576" s="13"/>
      <c r="L576" s="13"/>
      <c r="M576" s="13"/>
      <c r="N576" s="13"/>
      <c r="O576" s="13"/>
      <c r="P576" s="13"/>
      <c r="Q576" s="13"/>
      <c r="R576" s="13"/>
      <c r="S576" s="13"/>
      <c r="T576" s="13"/>
      <c r="U576" s="13"/>
      <c r="V576" s="13"/>
      <c r="W576" s="13"/>
      <c r="X576" s="13"/>
      <c r="Y576" s="13"/>
      <c r="Z576" s="13"/>
      <c r="AA576" s="13"/>
    </row>
    <row r="577" ht="16.5" customHeight="1">
      <c r="A577" s="10"/>
      <c r="B577" s="10"/>
      <c r="C577" s="13"/>
      <c r="D577" s="13"/>
      <c r="E577" s="13"/>
      <c r="F577" s="185"/>
      <c r="G577" s="13"/>
      <c r="H577" s="13"/>
      <c r="I577" s="13"/>
      <c r="J577" s="13"/>
      <c r="K577" s="13"/>
      <c r="L577" s="13"/>
      <c r="M577" s="13"/>
      <c r="N577" s="13"/>
      <c r="O577" s="13"/>
      <c r="P577" s="13"/>
      <c r="Q577" s="13"/>
      <c r="R577" s="13"/>
      <c r="S577" s="13"/>
      <c r="T577" s="13"/>
      <c r="U577" s="13"/>
      <c r="V577" s="13"/>
      <c r="W577" s="13"/>
      <c r="X577" s="13"/>
      <c r="Y577" s="13"/>
      <c r="Z577" s="13"/>
      <c r="AA577" s="13"/>
    </row>
    <row r="578" ht="16.5" customHeight="1">
      <c r="A578" s="10"/>
      <c r="B578" s="10"/>
      <c r="C578" s="13"/>
      <c r="D578" s="13"/>
      <c r="E578" s="13"/>
      <c r="F578" s="185"/>
      <c r="G578" s="13"/>
      <c r="H578" s="13"/>
      <c r="I578" s="13"/>
      <c r="J578" s="13"/>
      <c r="K578" s="13"/>
      <c r="L578" s="13"/>
      <c r="M578" s="13"/>
      <c r="N578" s="13"/>
      <c r="O578" s="13"/>
      <c r="P578" s="13"/>
      <c r="Q578" s="13"/>
      <c r="R578" s="13"/>
      <c r="S578" s="13"/>
      <c r="T578" s="13"/>
      <c r="U578" s="13"/>
      <c r="V578" s="13"/>
      <c r="W578" s="13"/>
      <c r="X578" s="13"/>
      <c r="Y578" s="13"/>
      <c r="Z578" s="13"/>
      <c r="AA578" s="13"/>
    </row>
    <row r="579" ht="16.5" customHeight="1">
      <c r="A579" s="10"/>
      <c r="B579" s="10"/>
      <c r="C579" s="13"/>
      <c r="D579" s="13"/>
      <c r="E579" s="13"/>
      <c r="F579" s="185"/>
      <c r="G579" s="13"/>
      <c r="H579" s="13"/>
      <c r="I579" s="13"/>
      <c r="J579" s="13"/>
      <c r="K579" s="13"/>
      <c r="L579" s="13"/>
      <c r="M579" s="13"/>
      <c r="N579" s="13"/>
      <c r="O579" s="13"/>
      <c r="P579" s="13"/>
      <c r="Q579" s="13"/>
      <c r="R579" s="13"/>
      <c r="S579" s="13"/>
      <c r="T579" s="13"/>
      <c r="U579" s="13"/>
      <c r="V579" s="13"/>
      <c r="W579" s="13"/>
      <c r="X579" s="13"/>
      <c r="Y579" s="13"/>
      <c r="Z579" s="13"/>
      <c r="AA579" s="13"/>
    </row>
    <row r="580" ht="16.5" customHeight="1">
      <c r="A580" s="10"/>
      <c r="B580" s="10"/>
      <c r="C580" s="13"/>
      <c r="D580" s="13"/>
      <c r="E580" s="13"/>
      <c r="F580" s="185"/>
      <c r="G580" s="13"/>
      <c r="H580" s="13"/>
      <c r="I580" s="13"/>
      <c r="J580" s="13"/>
      <c r="K580" s="13"/>
      <c r="L580" s="13"/>
      <c r="M580" s="13"/>
      <c r="N580" s="13"/>
      <c r="O580" s="13"/>
      <c r="P580" s="13"/>
      <c r="Q580" s="13"/>
      <c r="R580" s="13"/>
      <c r="S580" s="13"/>
      <c r="T580" s="13"/>
      <c r="U580" s="13"/>
      <c r="V580" s="13"/>
      <c r="W580" s="13"/>
      <c r="X580" s="13"/>
      <c r="Y580" s="13"/>
      <c r="Z580" s="13"/>
      <c r="AA580" s="13"/>
    </row>
    <row r="581" ht="16.5" customHeight="1">
      <c r="A581" s="10"/>
      <c r="B581" s="10"/>
      <c r="C581" s="13"/>
      <c r="D581" s="13"/>
      <c r="E581" s="13"/>
      <c r="F581" s="185"/>
      <c r="G581" s="13"/>
      <c r="H581" s="13"/>
      <c r="I581" s="13"/>
      <c r="J581" s="13"/>
      <c r="K581" s="13"/>
      <c r="L581" s="13"/>
      <c r="M581" s="13"/>
      <c r="N581" s="13"/>
      <c r="O581" s="13"/>
      <c r="P581" s="13"/>
      <c r="Q581" s="13"/>
      <c r="R581" s="13"/>
      <c r="S581" s="13"/>
      <c r="T581" s="13"/>
      <c r="U581" s="13"/>
      <c r="V581" s="13"/>
      <c r="W581" s="13"/>
      <c r="X581" s="13"/>
      <c r="Y581" s="13"/>
      <c r="Z581" s="13"/>
      <c r="AA581" s="13"/>
    </row>
    <row r="582" ht="16.5" customHeight="1">
      <c r="A582" s="10"/>
      <c r="B582" s="10"/>
      <c r="C582" s="13"/>
      <c r="D582" s="13"/>
      <c r="E582" s="13"/>
      <c r="F582" s="185"/>
      <c r="G582" s="13"/>
      <c r="H582" s="13"/>
      <c r="I582" s="13"/>
      <c r="J582" s="13"/>
      <c r="K582" s="13"/>
      <c r="L582" s="13"/>
      <c r="M582" s="13"/>
      <c r="N582" s="13"/>
      <c r="O582" s="13"/>
      <c r="P582" s="13"/>
      <c r="Q582" s="13"/>
      <c r="R582" s="13"/>
      <c r="S582" s="13"/>
      <c r="T582" s="13"/>
      <c r="U582" s="13"/>
      <c r="V582" s="13"/>
      <c r="W582" s="13"/>
      <c r="X582" s="13"/>
      <c r="Y582" s="13"/>
      <c r="Z582" s="13"/>
      <c r="AA582" s="13"/>
    </row>
    <row r="583" ht="16.5" customHeight="1">
      <c r="A583" s="10"/>
      <c r="B583" s="10"/>
      <c r="C583" s="13"/>
      <c r="D583" s="13"/>
      <c r="E583" s="13"/>
      <c r="F583" s="185"/>
      <c r="G583" s="13"/>
      <c r="H583" s="13"/>
      <c r="I583" s="13"/>
      <c r="J583" s="13"/>
      <c r="K583" s="13"/>
      <c r="L583" s="13"/>
      <c r="M583" s="13"/>
      <c r="N583" s="13"/>
      <c r="O583" s="13"/>
      <c r="P583" s="13"/>
      <c r="Q583" s="13"/>
      <c r="R583" s="13"/>
      <c r="S583" s="13"/>
      <c r="T583" s="13"/>
      <c r="U583" s="13"/>
      <c r="V583" s="13"/>
      <c r="W583" s="13"/>
      <c r="X583" s="13"/>
      <c r="Y583" s="13"/>
      <c r="Z583" s="13"/>
      <c r="AA583" s="13"/>
    </row>
    <row r="584" ht="16.5" customHeight="1">
      <c r="A584" s="10"/>
      <c r="B584" s="10"/>
      <c r="C584" s="13"/>
      <c r="D584" s="13"/>
      <c r="E584" s="13"/>
      <c r="F584" s="185"/>
      <c r="G584" s="13"/>
      <c r="H584" s="13"/>
      <c r="I584" s="13"/>
      <c r="J584" s="13"/>
      <c r="K584" s="13"/>
      <c r="L584" s="13"/>
      <c r="M584" s="13"/>
      <c r="N584" s="13"/>
      <c r="O584" s="13"/>
      <c r="P584" s="13"/>
      <c r="Q584" s="13"/>
      <c r="R584" s="13"/>
      <c r="S584" s="13"/>
      <c r="T584" s="13"/>
      <c r="U584" s="13"/>
      <c r="V584" s="13"/>
      <c r="W584" s="13"/>
      <c r="X584" s="13"/>
      <c r="Y584" s="13"/>
      <c r="Z584" s="13"/>
      <c r="AA584" s="13"/>
    </row>
    <row r="585" ht="16.5" customHeight="1">
      <c r="A585" s="10"/>
      <c r="B585" s="10"/>
      <c r="C585" s="13"/>
      <c r="D585" s="13"/>
      <c r="E585" s="13"/>
      <c r="F585" s="185"/>
      <c r="G585" s="13"/>
      <c r="H585" s="13"/>
      <c r="I585" s="13"/>
      <c r="J585" s="13"/>
      <c r="K585" s="13"/>
      <c r="L585" s="13"/>
      <c r="M585" s="13"/>
      <c r="N585" s="13"/>
      <c r="O585" s="13"/>
      <c r="P585" s="13"/>
      <c r="Q585" s="13"/>
      <c r="R585" s="13"/>
      <c r="S585" s="13"/>
      <c r="T585" s="13"/>
      <c r="U585" s="13"/>
      <c r="V585" s="13"/>
      <c r="W585" s="13"/>
      <c r="X585" s="13"/>
      <c r="Y585" s="13"/>
      <c r="Z585" s="13"/>
      <c r="AA585" s="13"/>
    </row>
    <row r="586" ht="16.5" customHeight="1">
      <c r="A586" s="10"/>
      <c r="B586" s="10"/>
      <c r="C586" s="13"/>
      <c r="D586" s="13"/>
      <c r="E586" s="13"/>
      <c r="F586" s="185"/>
      <c r="G586" s="13"/>
      <c r="H586" s="13"/>
      <c r="I586" s="13"/>
      <c r="J586" s="13"/>
      <c r="K586" s="13"/>
      <c r="L586" s="13"/>
      <c r="M586" s="13"/>
      <c r="N586" s="13"/>
      <c r="O586" s="13"/>
      <c r="P586" s="13"/>
      <c r="Q586" s="13"/>
      <c r="R586" s="13"/>
      <c r="S586" s="13"/>
      <c r="T586" s="13"/>
      <c r="U586" s="13"/>
      <c r="V586" s="13"/>
      <c r="W586" s="13"/>
      <c r="X586" s="13"/>
      <c r="Y586" s="13"/>
      <c r="Z586" s="13"/>
      <c r="AA586" s="13"/>
    </row>
    <row r="587" ht="16.5" customHeight="1">
      <c r="A587" s="10"/>
      <c r="B587" s="10"/>
      <c r="C587" s="13"/>
      <c r="D587" s="13"/>
      <c r="E587" s="13"/>
      <c r="F587" s="185"/>
      <c r="G587" s="13"/>
      <c r="H587" s="13"/>
      <c r="I587" s="13"/>
      <c r="J587" s="13"/>
      <c r="K587" s="13"/>
      <c r="L587" s="13"/>
      <c r="M587" s="13"/>
      <c r="N587" s="13"/>
      <c r="O587" s="13"/>
      <c r="P587" s="13"/>
      <c r="Q587" s="13"/>
      <c r="R587" s="13"/>
      <c r="S587" s="13"/>
      <c r="T587" s="13"/>
      <c r="U587" s="13"/>
      <c r="V587" s="13"/>
      <c r="W587" s="13"/>
      <c r="X587" s="13"/>
      <c r="Y587" s="13"/>
      <c r="Z587" s="13"/>
      <c r="AA587" s="13"/>
    </row>
    <row r="588" ht="16.5" customHeight="1">
      <c r="A588" s="10"/>
      <c r="B588" s="10"/>
      <c r="C588" s="13"/>
      <c r="D588" s="13"/>
      <c r="E588" s="13"/>
      <c r="F588" s="185"/>
      <c r="G588" s="13"/>
      <c r="H588" s="13"/>
      <c r="I588" s="13"/>
      <c r="J588" s="13"/>
      <c r="K588" s="13"/>
      <c r="L588" s="13"/>
      <c r="M588" s="13"/>
      <c r="N588" s="13"/>
      <c r="O588" s="13"/>
      <c r="P588" s="13"/>
      <c r="Q588" s="13"/>
      <c r="R588" s="13"/>
      <c r="S588" s="13"/>
      <c r="T588" s="13"/>
      <c r="U588" s="13"/>
      <c r="V588" s="13"/>
      <c r="W588" s="13"/>
      <c r="X588" s="13"/>
      <c r="Y588" s="13"/>
      <c r="Z588" s="13"/>
      <c r="AA588" s="13"/>
    </row>
    <row r="589" ht="16.5" customHeight="1">
      <c r="A589" s="10"/>
      <c r="B589" s="10"/>
      <c r="C589" s="13"/>
      <c r="D589" s="13"/>
      <c r="E589" s="13"/>
      <c r="F589" s="185"/>
      <c r="G589" s="13"/>
      <c r="H589" s="13"/>
      <c r="I589" s="13"/>
      <c r="J589" s="13"/>
      <c r="K589" s="13"/>
      <c r="L589" s="13"/>
      <c r="M589" s="13"/>
      <c r="N589" s="13"/>
      <c r="O589" s="13"/>
      <c r="P589" s="13"/>
      <c r="Q589" s="13"/>
      <c r="R589" s="13"/>
      <c r="S589" s="13"/>
      <c r="T589" s="13"/>
      <c r="U589" s="13"/>
      <c r="V589" s="13"/>
      <c r="W589" s="13"/>
      <c r="X589" s="13"/>
      <c r="Y589" s="13"/>
      <c r="Z589" s="13"/>
      <c r="AA589" s="13"/>
    </row>
    <row r="590" ht="16.5" customHeight="1">
      <c r="A590" s="10"/>
      <c r="B590" s="10"/>
      <c r="C590" s="13"/>
      <c r="D590" s="13"/>
      <c r="E590" s="13"/>
      <c r="F590" s="185"/>
      <c r="G590" s="13"/>
      <c r="H590" s="13"/>
      <c r="I590" s="13"/>
      <c r="J590" s="13"/>
      <c r="K590" s="13"/>
      <c r="L590" s="13"/>
      <c r="M590" s="13"/>
      <c r="N590" s="13"/>
      <c r="O590" s="13"/>
      <c r="P590" s="13"/>
      <c r="Q590" s="13"/>
      <c r="R590" s="13"/>
      <c r="S590" s="13"/>
      <c r="T590" s="13"/>
      <c r="U590" s="13"/>
      <c r="V590" s="13"/>
      <c r="W590" s="13"/>
      <c r="X590" s="13"/>
      <c r="Y590" s="13"/>
      <c r="Z590" s="13"/>
      <c r="AA590" s="13"/>
    </row>
    <row r="591" ht="16.5" customHeight="1">
      <c r="A591" s="10"/>
      <c r="B591" s="10"/>
      <c r="C591" s="13"/>
      <c r="D591" s="13"/>
      <c r="E591" s="13"/>
      <c r="F591" s="185"/>
      <c r="G591" s="13"/>
      <c r="H591" s="13"/>
      <c r="I591" s="13"/>
      <c r="J591" s="13"/>
      <c r="K591" s="13"/>
      <c r="L591" s="13"/>
      <c r="M591" s="13"/>
      <c r="N591" s="13"/>
      <c r="O591" s="13"/>
      <c r="P591" s="13"/>
      <c r="Q591" s="13"/>
      <c r="R591" s="13"/>
      <c r="S591" s="13"/>
      <c r="T591" s="13"/>
      <c r="U591" s="13"/>
      <c r="V591" s="13"/>
      <c r="W591" s="13"/>
      <c r="X591" s="13"/>
      <c r="Y591" s="13"/>
      <c r="Z591" s="13"/>
      <c r="AA591" s="13"/>
    </row>
    <row r="592" ht="16.5" customHeight="1">
      <c r="A592" s="10"/>
      <c r="B592" s="10"/>
      <c r="C592" s="13"/>
      <c r="D592" s="13"/>
      <c r="E592" s="13"/>
      <c r="F592" s="185"/>
      <c r="G592" s="13"/>
      <c r="H592" s="13"/>
      <c r="I592" s="13"/>
      <c r="J592" s="13"/>
      <c r="K592" s="13"/>
      <c r="L592" s="13"/>
      <c r="M592" s="13"/>
      <c r="N592" s="13"/>
      <c r="O592" s="13"/>
      <c r="P592" s="13"/>
      <c r="Q592" s="13"/>
      <c r="R592" s="13"/>
      <c r="S592" s="13"/>
      <c r="T592" s="13"/>
      <c r="U592" s="13"/>
      <c r="V592" s="13"/>
      <c r="W592" s="13"/>
      <c r="X592" s="13"/>
      <c r="Y592" s="13"/>
      <c r="Z592" s="13"/>
      <c r="AA592" s="13"/>
    </row>
    <row r="593" ht="16.5" customHeight="1">
      <c r="A593" s="10"/>
      <c r="B593" s="10"/>
      <c r="C593" s="13"/>
      <c r="D593" s="13"/>
      <c r="E593" s="13"/>
      <c r="F593" s="185"/>
      <c r="G593" s="13"/>
      <c r="H593" s="13"/>
      <c r="I593" s="13"/>
      <c r="J593" s="13"/>
      <c r="K593" s="13"/>
      <c r="L593" s="13"/>
      <c r="M593" s="13"/>
      <c r="N593" s="13"/>
      <c r="O593" s="13"/>
      <c r="P593" s="13"/>
      <c r="Q593" s="13"/>
      <c r="R593" s="13"/>
      <c r="S593" s="13"/>
      <c r="T593" s="13"/>
      <c r="U593" s="13"/>
      <c r="V593" s="13"/>
      <c r="W593" s="13"/>
      <c r="X593" s="13"/>
      <c r="Y593" s="13"/>
      <c r="Z593" s="13"/>
      <c r="AA593" s="13"/>
    </row>
    <row r="594" ht="16.5" customHeight="1">
      <c r="A594" s="10"/>
      <c r="B594" s="10"/>
      <c r="C594" s="13"/>
      <c r="D594" s="13"/>
      <c r="E594" s="13"/>
      <c r="F594" s="185"/>
      <c r="G594" s="13"/>
      <c r="H594" s="13"/>
      <c r="I594" s="13"/>
      <c r="J594" s="13"/>
      <c r="K594" s="13"/>
      <c r="L594" s="13"/>
      <c r="M594" s="13"/>
      <c r="N594" s="13"/>
      <c r="O594" s="13"/>
      <c r="P594" s="13"/>
      <c r="Q594" s="13"/>
      <c r="R594" s="13"/>
      <c r="S594" s="13"/>
      <c r="T594" s="13"/>
      <c r="U594" s="13"/>
      <c r="V594" s="13"/>
      <c r="W594" s="13"/>
      <c r="X594" s="13"/>
      <c r="Y594" s="13"/>
      <c r="Z594" s="13"/>
      <c r="AA594" s="13"/>
    </row>
    <row r="595" ht="16.5" customHeight="1">
      <c r="A595" s="10"/>
      <c r="B595" s="10"/>
      <c r="C595" s="13"/>
      <c r="D595" s="13"/>
      <c r="E595" s="13"/>
      <c r="F595" s="185"/>
      <c r="G595" s="13"/>
      <c r="H595" s="13"/>
      <c r="I595" s="13"/>
      <c r="J595" s="13"/>
      <c r="K595" s="13"/>
      <c r="L595" s="13"/>
      <c r="M595" s="13"/>
      <c r="N595" s="13"/>
      <c r="O595" s="13"/>
      <c r="P595" s="13"/>
      <c r="Q595" s="13"/>
      <c r="R595" s="13"/>
      <c r="S595" s="13"/>
      <c r="T595" s="13"/>
      <c r="U595" s="13"/>
      <c r="V595" s="13"/>
      <c r="W595" s="13"/>
      <c r="X595" s="13"/>
      <c r="Y595" s="13"/>
      <c r="Z595" s="13"/>
      <c r="AA595" s="13"/>
    </row>
    <row r="596" ht="16.5" customHeight="1">
      <c r="A596" s="10"/>
      <c r="B596" s="10"/>
      <c r="C596" s="13"/>
      <c r="D596" s="13"/>
      <c r="E596" s="13"/>
      <c r="F596" s="185"/>
      <c r="G596" s="13"/>
      <c r="H596" s="13"/>
      <c r="I596" s="13"/>
      <c r="J596" s="13"/>
      <c r="K596" s="13"/>
      <c r="L596" s="13"/>
      <c r="M596" s="13"/>
      <c r="N596" s="13"/>
      <c r="O596" s="13"/>
      <c r="P596" s="13"/>
      <c r="Q596" s="13"/>
      <c r="R596" s="13"/>
      <c r="S596" s="13"/>
      <c r="T596" s="13"/>
      <c r="U596" s="13"/>
      <c r="V596" s="13"/>
      <c r="W596" s="13"/>
      <c r="X596" s="13"/>
      <c r="Y596" s="13"/>
      <c r="Z596" s="13"/>
      <c r="AA596" s="13"/>
    </row>
    <row r="597" ht="16.5" customHeight="1">
      <c r="A597" s="10"/>
      <c r="B597" s="10"/>
      <c r="C597" s="13"/>
      <c r="D597" s="13"/>
      <c r="E597" s="13"/>
      <c r="F597" s="185"/>
      <c r="G597" s="13"/>
      <c r="H597" s="13"/>
      <c r="I597" s="13"/>
      <c r="J597" s="13"/>
      <c r="K597" s="13"/>
      <c r="L597" s="13"/>
      <c r="M597" s="13"/>
      <c r="N597" s="13"/>
      <c r="O597" s="13"/>
      <c r="P597" s="13"/>
      <c r="Q597" s="13"/>
      <c r="R597" s="13"/>
      <c r="S597" s="13"/>
      <c r="T597" s="13"/>
      <c r="U597" s="13"/>
      <c r="V597" s="13"/>
      <c r="W597" s="13"/>
      <c r="X597" s="13"/>
      <c r="Y597" s="13"/>
      <c r="Z597" s="13"/>
      <c r="AA597" s="13"/>
    </row>
    <row r="598" ht="16.5" customHeight="1">
      <c r="A598" s="10"/>
      <c r="B598" s="10"/>
      <c r="C598" s="13"/>
      <c r="D598" s="13"/>
      <c r="E598" s="13"/>
      <c r="F598" s="185"/>
      <c r="G598" s="13"/>
      <c r="H598" s="13"/>
      <c r="I598" s="13"/>
      <c r="J598" s="13"/>
      <c r="K598" s="13"/>
      <c r="L598" s="13"/>
      <c r="M598" s="13"/>
      <c r="N598" s="13"/>
      <c r="O598" s="13"/>
      <c r="P598" s="13"/>
      <c r="Q598" s="13"/>
      <c r="R598" s="13"/>
      <c r="S598" s="13"/>
      <c r="T598" s="13"/>
      <c r="U598" s="13"/>
      <c r="V598" s="13"/>
      <c r="W598" s="13"/>
      <c r="X598" s="13"/>
      <c r="Y598" s="13"/>
      <c r="Z598" s="13"/>
      <c r="AA598" s="13"/>
    </row>
    <row r="599" ht="16.5" customHeight="1">
      <c r="A599" s="10"/>
      <c r="B599" s="10"/>
      <c r="C599" s="13"/>
      <c r="D599" s="13"/>
      <c r="E599" s="13"/>
      <c r="F599" s="185"/>
      <c r="G599" s="13"/>
      <c r="H599" s="13"/>
      <c r="I599" s="13"/>
      <c r="J599" s="13"/>
      <c r="K599" s="13"/>
      <c r="L599" s="13"/>
      <c r="M599" s="13"/>
      <c r="N599" s="13"/>
      <c r="O599" s="13"/>
      <c r="P599" s="13"/>
      <c r="Q599" s="13"/>
      <c r="R599" s="13"/>
      <c r="S599" s="13"/>
      <c r="T599" s="13"/>
      <c r="U599" s="13"/>
      <c r="V599" s="13"/>
      <c r="W599" s="13"/>
      <c r="X599" s="13"/>
      <c r="Y599" s="13"/>
      <c r="Z599" s="13"/>
      <c r="AA599" s="13"/>
    </row>
    <row r="600" ht="16.5" customHeight="1">
      <c r="A600" s="10"/>
      <c r="B600" s="10"/>
      <c r="C600" s="13"/>
      <c r="D600" s="13"/>
      <c r="E600" s="13"/>
      <c r="F600" s="185"/>
      <c r="G600" s="13"/>
      <c r="H600" s="13"/>
      <c r="I600" s="13"/>
      <c r="J600" s="13"/>
      <c r="K600" s="13"/>
      <c r="L600" s="13"/>
      <c r="M600" s="13"/>
      <c r="N600" s="13"/>
      <c r="O600" s="13"/>
      <c r="P600" s="13"/>
      <c r="Q600" s="13"/>
      <c r="R600" s="13"/>
      <c r="S600" s="13"/>
      <c r="T600" s="13"/>
      <c r="U600" s="13"/>
      <c r="V600" s="13"/>
      <c r="W600" s="13"/>
      <c r="X600" s="13"/>
      <c r="Y600" s="13"/>
      <c r="Z600" s="13"/>
      <c r="AA600" s="13"/>
    </row>
    <row r="601" ht="16.5" customHeight="1">
      <c r="A601" s="10"/>
      <c r="B601" s="10"/>
      <c r="C601" s="13"/>
      <c r="D601" s="13"/>
      <c r="E601" s="13"/>
      <c r="F601" s="185"/>
      <c r="G601" s="13"/>
      <c r="H601" s="13"/>
      <c r="I601" s="13"/>
      <c r="J601" s="13"/>
      <c r="K601" s="13"/>
      <c r="L601" s="13"/>
      <c r="M601" s="13"/>
      <c r="N601" s="13"/>
      <c r="O601" s="13"/>
      <c r="P601" s="13"/>
      <c r="Q601" s="13"/>
      <c r="R601" s="13"/>
      <c r="S601" s="13"/>
      <c r="T601" s="13"/>
      <c r="U601" s="13"/>
      <c r="V601" s="13"/>
      <c r="W601" s="13"/>
      <c r="X601" s="13"/>
      <c r="Y601" s="13"/>
      <c r="Z601" s="13"/>
      <c r="AA601" s="13"/>
    </row>
    <row r="602" ht="16.5" customHeight="1">
      <c r="A602" s="10"/>
      <c r="B602" s="10"/>
      <c r="C602" s="13"/>
      <c r="D602" s="13"/>
      <c r="E602" s="13"/>
      <c r="F602" s="185"/>
      <c r="G602" s="13"/>
      <c r="H602" s="13"/>
      <c r="I602" s="13"/>
      <c r="J602" s="13"/>
      <c r="K602" s="13"/>
      <c r="L602" s="13"/>
      <c r="M602" s="13"/>
      <c r="N602" s="13"/>
      <c r="O602" s="13"/>
      <c r="P602" s="13"/>
      <c r="Q602" s="13"/>
      <c r="R602" s="13"/>
      <c r="S602" s="13"/>
      <c r="T602" s="13"/>
      <c r="U602" s="13"/>
      <c r="V602" s="13"/>
      <c r="W602" s="13"/>
      <c r="X602" s="13"/>
      <c r="Y602" s="13"/>
      <c r="Z602" s="13"/>
      <c r="AA602" s="13"/>
    </row>
    <row r="603" ht="16.5" customHeight="1">
      <c r="A603" s="10"/>
      <c r="B603" s="10"/>
      <c r="C603" s="13"/>
      <c r="D603" s="13"/>
      <c r="E603" s="13"/>
      <c r="F603" s="185"/>
      <c r="G603" s="13"/>
      <c r="H603" s="13"/>
      <c r="I603" s="13"/>
      <c r="J603" s="13"/>
      <c r="K603" s="13"/>
      <c r="L603" s="13"/>
      <c r="M603" s="13"/>
      <c r="N603" s="13"/>
      <c r="O603" s="13"/>
      <c r="P603" s="13"/>
      <c r="Q603" s="13"/>
      <c r="R603" s="13"/>
      <c r="S603" s="13"/>
      <c r="T603" s="13"/>
      <c r="U603" s="13"/>
      <c r="V603" s="13"/>
      <c r="W603" s="13"/>
      <c r="X603" s="13"/>
      <c r="Y603" s="13"/>
      <c r="Z603" s="13"/>
      <c r="AA603" s="13"/>
    </row>
    <row r="604" ht="16.5" customHeight="1">
      <c r="A604" s="10"/>
      <c r="B604" s="10"/>
      <c r="C604" s="13"/>
      <c r="D604" s="13"/>
      <c r="E604" s="13"/>
      <c r="F604" s="185"/>
      <c r="G604" s="13"/>
      <c r="H604" s="13"/>
      <c r="I604" s="13"/>
      <c r="J604" s="13"/>
      <c r="K604" s="13"/>
      <c r="L604" s="13"/>
      <c r="M604" s="13"/>
      <c r="N604" s="13"/>
      <c r="O604" s="13"/>
      <c r="P604" s="13"/>
      <c r="Q604" s="13"/>
      <c r="R604" s="13"/>
      <c r="S604" s="13"/>
      <c r="T604" s="13"/>
      <c r="U604" s="13"/>
      <c r="V604" s="13"/>
      <c r="W604" s="13"/>
      <c r="X604" s="13"/>
      <c r="Y604" s="13"/>
      <c r="Z604" s="13"/>
      <c r="AA604" s="13"/>
    </row>
    <row r="605" ht="16.5" customHeight="1">
      <c r="A605" s="10"/>
      <c r="B605" s="10"/>
      <c r="C605" s="13"/>
      <c r="D605" s="13"/>
      <c r="E605" s="13"/>
      <c r="F605" s="185"/>
      <c r="G605" s="13"/>
      <c r="H605" s="13"/>
      <c r="I605" s="13"/>
      <c r="J605" s="13"/>
      <c r="K605" s="13"/>
      <c r="L605" s="13"/>
      <c r="M605" s="13"/>
      <c r="N605" s="13"/>
      <c r="O605" s="13"/>
      <c r="P605" s="13"/>
      <c r="Q605" s="13"/>
      <c r="R605" s="13"/>
      <c r="S605" s="13"/>
      <c r="T605" s="13"/>
      <c r="U605" s="13"/>
      <c r="V605" s="13"/>
      <c r="W605" s="13"/>
      <c r="X605" s="13"/>
      <c r="Y605" s="13"/>
      <c r="Z605" s="13"/>
      <c r="AA605" s="13"/>
    </row>
    <row r="606" ht="16.5" customHeight="1">
      <c r="A606" s="10"/>
      <c r="B606" s="10"/>
      <c r="C606" s="13"/>
      <c r="D606" s="13"/>
      <c r="E606" s="13"/>
      <c r="F606" s="185"/>
      <c r="G606" s="13"/>
      <c r="H606" s="13"/>
      <c r="I606" s="13"/>
      <c r="J606" s="13"/>
      <c r="K606" s="13"/>
      <c r="L606" s="13"/>
      <c r="M606" s="13"/>
      <c r="N606" s="13"/>
      <c r="O606" s="13"/>
      <c r="P606" s="13"/>
      <c r="Q606" s="13"/>
      <c r="R606" s="13"/>
      <c r="S606" s="13"/>
      <c r="T606" s="13"/>
      <c r="U606" s="13"/>
      <c r="V606" s="13"/>
      <c r="W606" s="13"/>
      <c r="X606" s="13"/>
      <c r="Y606" s="13"/>
      <c r="Z606" s="13"/>
      <c r="AA606" s="13"/>
    </row>
    <row r="607" ht="16.5" customHeight="1">
      <c r="A607" s="10"/>
      <c r="B607" s="10"/>
      <c r="C607" s="13"/>
      <c r="D607" s="13"/>
      <c r="E607" s="13"/>
      <c r="F607" s="185"/>
      <c r="G607" s="13"/>
      <c r="H607" s="13"/>
      <c r="I607" s="13"/>
      <c r="J607" s="13"/>
      <c r="K607" s="13"/>
      <c r="L607" s="13"/>
      <c r="M607" s="13"/>
      <c r="N607" s="13"/>
      <c r="O607" s="13"/>
      <c r="P607" s="13"/>
      <c r="Q607" s="13"/>
      <c r="R607" s="13"/>
      <c r="S607" s="13"/>
      <c r="T607" s="13"/>
      <c r="U607" s="13"/>
      <c r="V607" s="13"/>
      <c r="W607" s="13"/>
      <c r="X607" s="13"/>
      <c r="Y607" s="13"/>
      <c r="Z607" s="13"/>
      <c r="AA607" s="13"/>
    </row>
    <row r="608" ht="16.5" customHeight="1">
      <c r="A608" s="10"/>
      <c r="B608" s="10"/>
      <c r="C608" s="13"/>
      <c r="D608" s="13"/>
      <c r="E608" s="13"/>
      <c r="F608" s="185"/>
      <c r="G608" s="13"/>
      <c r="H608" s="13"/>
      <c r="I608" s="13"/>
      <c r="J608" s="13"/>
      <c r="K608" s="13"/>
      <c r="L608" s="13"/>
      <c r="M608" s="13"/>
      <c r="N608" s="13"/>
      <c r="O608" s="13"/>
      <c r="P608" s="13"/>
      <c r="Q608" s="13"/>
      <c r="R608" s="13"/>
      <c r="S608" s="13"/>
      <c r="T608" s="13"/>
      <c r="U608" s="13"/>
      <c r="V608" s="13"/>
      <c r="W608" s="13"/>
      <c r="X608" s="13"/>
      <c r="Y608" s="13"/>
      <c r="Z608" s="13"/>
      <c r="AA608" s="13"/>
    </row>
    <row r="609" ht="16.5" customHeight="1">
      <c r="A609" s="10"/>
      <c r="B609" s="10"/>
      <c r="C609" s="13"/>
      <c r="D609" s="13"/>
      <c r="E609" s="13"/>
      <c r="F609" s="185"/>
      <c r="G609" s="13"/>
      <c r="H609" s="13"/>
      <c r="I609" s="13"/>
      <c r="J609" s="13"/>
      <c r="K609" s="13"/>
      <c r="L609" s="13"/>
      <c r="M609" s="13"/>
      <c r="N609" s="13"/>
      <c r="O609" s="13"/>
      <c r="P609" s="13"/>
      <c r="Q609" s="13"/>
      <c r="R609" s="13"/>
      <c r="S609" s="13"/>
      <c r="T609" s="13"/>
      <c r="U609" s="13"/>
      <c r="V609" s="13"/>
      <c r="W609" s="13"/>
      <c r="X609" s="13"/>
      <c r="Y609" s="13"/>
      <c r="Z609" s="13"/>
      <c r="AA609" s="13"/>
    </row>
    <row r="610" ht="16.5" customHeight="1">
      <c r="A610" s="10"/>
      <c r="B610" s="10"/>
      <c r="C610" s="13"/>
      <c r="D610" s="13"/>
      <c r="E610" s="13"/>
      <c r="F610" s="185"/>
      <c r="G610" s="13"/>
      <c r="H610" s="13"/>
      <c r="I610" s="13"/>
      <c r="J610" s="13"/>
      <c r="K610" s="13"/>
      <c r="L610" s="13"/>
      <c r="M610" s="13"/>
      <c r="N610" s="13"/>
      <c r="O610" s="13"/>
      <c r="P610" s="13"/>
      <c r="Q610" s="13"/>
      <c r="R610" s="13"/>
      <c r="S610" s="13"/>
      <c r="T610" s="13"/>
      <c r="U610" s="13"/>
      <c r="V610" s="13"/>
      <c r="W610" s="13"/>
      <c r="X610" s="13"/>
      <c r="Y610" s="13"/>
      <c r="Z610" s="13"/>
      <c r="AA610" s="13"/>
    </row>
    <row r="611" ht="16.5" customHeight="1">
      <c r="A611" s="10"/>
      <c r="B611" s="10"/>
      <c r="C611" s="13"/>
      <c r="D611" s="13"/>
      <c r="E611" s="13"/>
      <c r="F611" s="185"/>
      <c r="G611" s="13"/>
      <c r="H611" s="13"/>
      <c r="I611" s="13"/>
      <c r="J611" s="13"/>
      <c r="K611" s="13"/>
      <c r="L611" s="13"/>
      <c r="M611" s="13"/>
      <c r="N611" s="13"/>
      <c r="O611" s="13"/>
      <c r="P611" s="13"/>
      <c r="Q611" s="13"/>
      <c r="R611" s="13"/>
      <c r="S611" s="13"/>
      <c r="T611" s="13"/>
      <c r="U611" s="13"/>
      <c r="V611" s="13"/>
      <c r="W611" s="13"/>
      <c r="X611" s="13"/>
      <c r="Y611" s="13"/>
      <c r="Z611" s="13"/>
      <c r="AA611" s="13"/>
    </row>
    <row r="612" ht="16.5" customHeight="1">
      <c r="A612" s="10"/>
      <c r="B612" s="10"/>
      <c r="C612" s="13"/>
      <c r="D612" s="13"/>
      <c r="E612" s="13"/>
      <c r="F612" s="185"/>
      <c r="G612" s="13"/>
      <c r="H612" s="13"/>
      <c r="I612" s="13"/>
      <c r="J612" s="13"/>
      <c r="K612" s="13"/>
      <c r="L612" s="13"/>
      <c r="M612" s="13"/>
      <c r="N612" s="13"/>
      <c r="O612" s="13"/>
      <c r="P612" s="13"/>
      <c r="Q612" s="13"/>
      <c r="R612" s="13"/>
      <c r="S612" s="13"/>
      <c r="T612" s="13"/>
      <c r="U612" s="13"/>
      <c r="V612" s="13"/>
      <c r="W612" s="13"/>
      <c r="X612" s="13"/>
      <c r="Y612" s="13"/>
      <c r="Z612" s="13"/>
      <c r="AA612" s="13"/>
    </row>
    <row r="613" ht="16.5" customHeight="1">
      <c r="A613" s="10"/>
      <c r="B613" s="10"/>
      <c r="C613" s="13"/>
      <c r="D613" s="13"/>
      <c r="E613" s="13"/>
      <c r="F613" s="185"/>
      <c r="G613" s="13"/>
      <c r="H613" s="13"/>
      <c r="I613" s="13"/>
      <c r="J613" s="13"/>
      <c r="K613" s="13"/>
      <c r="L613" s="13"/>
      <c r="M613" s="13"/>
      <c r="N613" s="13"/>
      <c r="O613" s="13"/>
      <c r="P613" s="13"/>
      <c r="Q613" s="13"/>
      <c r="R613" s="13"/>
      <c r="S613" s="13"/>
      <c r="T613" s="13"/>
      <c r="U613" s="13"/>
      <c r="V613" s="13"/>
      <c r="W613" s="13"/>
      <c r="X613" s="13"/>
      <c r="Y613" s="13"/>
      <c r="Z613" s="13"/>
      <c r="AA613" s="13"/>
    </row>
    <row r="614" ht="16.5" customHeight="1">
      <c r="A614" s="10"/>
      <c r="B614" s="10"/>
      <c r="C614" s="13"/>
      <c r="D614" s="13"/>
      <c r="E614" s="13"/>
      <c r="F614" s="185"/>
      <c r="G614" s="13"/>
      <c r="H614" s="13"/>
      <c r="I614" s="13"/>
      <c r="J614" s="13"/>
      <c r="K614" s="13"/>
      <c r="L614" s="13"/>
      <c r="M614" s="13"/>
      <c r="N614" s="13"/>
      <c r="O614" s="13"/>
      <c r="P614" s="13"/>
      <c r="Q614" s="13"/>
      <c r="R614" s="13"/>
      <c r="S614" s="13"/>
      <c r="T614" s="13"/>
      <c r="U614" s="13"/>
      <c r="V614" s="13"/>
      <c r="W614" s="13"/>
      <c r="X614" s="13"/>
      <c r="Y614" s="13"/>
      <c r="Z614" s="13"/>
      <c r="AA614" s="13"/>
    </row>
    <row r="615" ht="16.5" customHeight="1">
      <c r="A615" s="10"/>
      <c r="B615" s="10"/>
      <c r="C615" s="13"/>
      <c r="D615" s="13"/>
      <c r="E615" s="13"/>
      <c r="F615" s="185"/>
      <c r="G615" s="13"/>
      <c r="H615" s="13"/>
      <c r="I615" s="13"/>
      <c r="J615" s="13"/>
      <c r="K615" s="13"/>
      <c r="L615" s="13"/>
      <c r="M615" s="13"/>
      <c r="N615" s="13"/>
      <c r="O615" s="13"/>
      <c r="P615" s="13"/>
      <c r="Q615" s="13"/>
      <c r="R615" s="13"/>
      <c r="S615" s="13"/>
      <c r="T615" s="13"/>
      <c r="U615" s="13"/>
      <c r="V615" s="13"/>
      <c r="W615" s="13"/>
      <c r="X615" s="13"/>
      <c r="Y615" s="13"/>
      <c r="Z615" s="13"/>
      <c r="AA615" s="13"/>
    </row>
    <row r="616" ht="16.5" customHeight="1">
      <c r="A616" s="10"/>
      <c r="B616" s="10"/>
      <c r="C616" s="13"/>
      <c r="D616" s="13"/>
      <c r="E616" s="13"/>
      <c r="F616" s="185"/>
      <c r="G616" s="13"/>
      <c r="H616" s="13"/>
      <c r="I616" s="13"/>
      <c r="J616" s="13"/>
      <c r="K616" s="13"/>
      <c r="L616" s="13"/>
      <c r="M616" s="13"/>
      <c r="N616" s="13"/>
      <c r="O616" s="13"/>
      <c r="P616" s="13"/>
      <c r="Q616" s="13"/>
      <c r="R616" s="13"/>
      <c r="S616" s="13"/>
      <c r="T616" s="13"/>
      <c r="U616" s="13"/>
      <c r="V616" s="13"/>
      <c r="W616" s="13"/>
      <c r="X616" s="13"/>
      <c r="Y616" s="13"/>
      <c r="Z616" s="13"/>
      <c r="AA616" s="13"/>
    </row>
    <row r="617" ht="16.5" customHeight="1">
      <c r="A617" s="10"/>
      <c r="B617" s="10"/>
      <c r="C617" s="13"/>
      <c r="D617" s="13"/>
      <c r="E617" s="13"/>
      <c r="F617" s="185"/>
      <c r="G617" s="13"/>
      <c r="H617" s="13"/>
      <c r="I617" s="13"/>
      <c r="J617" s="13"/>
      <c r="K617" s="13"/>
      <c r="L617" s="13"/>
      <c r="M617" s="13"/>
      <c r="N617" s="13"/>
      <c r="O617" s="13"/>
      <c r="P617" s="13"/>
      <c r="Q617" s="13"/>
      <c r="R617" s="13"/>
      <c r="S617" s="13"/>
      <c r="T617" s="13"/>
      <c r="U617" s="13"/>
      <c r="V617" s="13"/>
      <c r="W617" s="13"/>
      <c r="X617" s="13"/>
      <c r="Y617" s="13"/>
      <c r="Z617" s="13"/>
      <c r="AA617" s="13"/>
    </row>
    <row r="618" ht="16.5" customHeight="1">
      <c r="A618" s="10"/>
      <c r="B618" s="10"/>
      <c r="C618" s="13"/>
      <c r="D618" s="13"/>
      <c r="E618" s="13"/>
      <c r="F618" s="185"/>
      <c r="G618" s="13"/>
      <c r="H618" s="13"/>
      <c r="I618" s="13"/>
      <c r="J618" s="13"/>
      <c r="K618" s="13"/>
      <c r="L618" s="13"/>
      <c r="M618" s="13"/>
      <c r="N618" s="13"/>
      <c r="O618" s="13"/>
      <c r="P618" s="13"/>
      <c r="Q618" s="13"/>
      <c r="R618" s="13"/>
      <c r="S618" s="13"/>
      <c r="T618" s="13"/>
      <c r="U618" s="13"/>
      <c r="V618" s="13"/>
      <c r="W618" s="13"/>
      <c r="X618" s="13"/>
      <c r="Y618" s="13"/>
      <c r="Z618" s="13"/>
      <c r="AA618" s="13"/>
    </row>
    <row r="619" ht="16.5" customHeight="1">
      <c r="A619" s="10"/>
      <c r="B619" s="10"/>
      <c r="C619" s="13"/>
      <c r="D619" s="13"/>
      <c r="E619" s="13"/>
      <c r="F619" s="185"/>
      <c r="G619" s="13"/>
      <c r="H619" s="13"/>
      <c r="I619" s="13"/>
      <c r="J619" s="13"/>
      <c r="K619" s="13"/>
      <c r="L619" s="13"/>
      <c r="M619" s="13"/>
      <c r="N619" s="13"/>
      <c r="O619" s="13"/>
      <c r="P619" s="13"/>
      <c r="Q619" s="13"/>
      <c r="R619" s="13"/>
      <c r="S619" s="13"/>
      <c r="T619" s="13"/>
      <c r="U619" s="13"/>
      <c r="V619" s="13"/>
      <c r="W619" s="13"/>
      <c r="X619" s="13"/>
      <c r="Y619" s="13"/>
      <c r="Z619" s="13"/>
      <c r="AA619" s="13"/>
    </row>
    <row r="620" ht="16.5" customHeight="1">
      <c r="A620" s="10"/>
      <c r="B620" s="10"/>
      <c r="C620" s="13"/>
      <c r="D620" s="13"/>
      <c r="E620" s="13"/>
      <c r="F620" s="185"/>
      <c r="G620" s="13"/>
      <c r="H620" s="13"/>
      <c r="I620" s="13"/>
      <c r="J620" s="13"/>
      <c r="K620" s="13"/>
      <c r="L620" s="13"/>
      <c r="M620" s="13"/>
      <c r="N620" s="13"/>
      <c r="O620" s="13"/>
      <c r="P620" s="13"/>
      <c r="Q620" s="13"/>
      <c r="R620" s="13"/>
      <c r="S620" s="13"/>
      <c r="T620" s="13"/>
      <c r="U620" s="13"/>
      <c r="V620" s="13"/>
      <c r="W620" s="13"/>
      <c r="X620" s="13"/>
      <c r="Y620" s="13"/>
      <c r="Z620" s="13"/>
      <c r="AA620" s="13"/>
    </row>
    <row r="621" ht="16.5" customHeight="1">
      <c r="A621" s="10"/>
      <c r="B621" s="10"/>
      <c r="C621" s="13"/>
      <c r="D621" s="13"/>
      <c r="E621" s="13"/>
      <c r="F621" s="185"/>
      <c r="G621" s="13"/>
      <c r="H621" s="13"/>
      <c r="I621" s="13"/>
      <c r="J621" s="13"/>
      <c r="K621" s="13"/>
      <c r="L621" s="13"/>
      <c r="M621" s="13"/>
      <c r="N621" s="13"/>
      <c r="O621" s="13"/>
      <c r="P621" s="13"/>
      <c r="Q621" s="13"/>
      <c r="R621" s="13"/>
      <c r="S621" s="13"/>
      <c r="T621" s="13"/>
      <c r="U621" s="13"/>
      <c r="V621" s="13"/>
      <c r="W621" s="13"/>
      <c r="X621" s="13"/>
      <c r="Y621" s="13"/>
      <c r="Z621" s="13"/>
      <c r="AA621" s="13"/>
    </row>
    <row r="622" ht="16.5" customHeight="1">
      <c r="A622" s="10"/>
      <c r="B622" s="10"/>
      <c r="C622" s="13"/>
      <c r="D622" s="13"/>
      <c r="E622" s="13"/>
      <c r="F622" s="185"/>
      <c r="G622" s="13"/>
      <c r="H622" s="13"/>
      <c r="I622" s="13"/>
      <c r="J622" s="13"/>
      <c r="K622" s="13"/>
      <c r="L622" s="13"/>
      <c r="M622" s="13"/>
      <c r="N622" s="13"/>
      <c r="O622" s="13"/>
      <c r="P622" s="13"/>
      <c r="Q622" s="13"/>
      <c r="R622" s="13"/>
      <c r="S622" s="13"/>
      <c r="T622" s="13"/>
      <c r="U622" s="13"/>
      <c r="V622" s="13"/>
      <c r="W622" s="13"/>
      <c r="X622" s="13"/>
      <c r="Y622" s="13"/>
      <c r="Z622" s="13"/>
      <c r="AA622" s="13"/>
    </row>
    <row r="623" ht="16.5" customHeight="1">
      <c r="A623" s="10"/>
      <c r="B623" s="10"/>
      <c r="C623" s="13"/>
      <c r="D623" s="13"/>
      <c r="E623" s="13"/>
      <c r="F623" s="185"/>
      <c r="G623" s="13"/>
      <c r="H623" s="13"/>
      <c r="I623" s="13"/>
      <c r="J623" s="13"/>
      <c r="K623" s="13"/>
      <c r="L623" s="13"/>
      <c r="M623" s="13"/>
      <c r="N623" s="13"/>
      <c r="O623" s="13"/>
      <c r="P623" s="13"/>
      <c r="Q623" s="13"/>
      <c r="R623" s="13"/>
      <c r="S623" s="13"/>
      <c r="T623" s="13"/>
      <c r="U623" s="13"/>
      <c r="V623" s="13"/>
      <c r="W623" s="13"/>
      <c r="X623" s="13"/>
      <c r="Y623" s="13"/>
      <c r="Z623" s="13"/>
      <c r="AA623" s="13"/>
    </row>
    <row r="624" ht="16.5" customHeight="1">
      <c r="A624" s="10"/>
      <c r="B624" s="10"/>
      <c r="C624" s="13"/>
      <c r="D624" s="13"/>
      <c r="E624" s="13"/>
      <c r="F624" s="185"/>
      <c r="G624" s="13"/>
      <c r="H624" s="13"/>
      <c r="I624" s="13"/>
      <c r="J624" s="13"/>
      <c r="K624" s="13"/>
      <c r="L624" s="13"/>
      <c r="M624" s="13"/>
      <c r="N624" s="13"/>
      <c r="O624" s="13"/>
      <c r="P624" s="13"/>
      <c r="Q624" s="13"/>
      <c r="R624" s="13"/>
      <c r="S624" s="13"/>
      <c r="T624" s="13"/>
      <c r="U624" s="13"/>
      <c r="V624" s="13"/>
      <c r="W624" s="13"/>
      <c r="X624" s="13"/>
      <c r="Y624" s="13"/>
      <c r="Z624" s="13"/>
      <c r="AA624" s="13"/>
    </row>
    <row r="625" ht="16.5" customHeight="1">
      <c r="A625" s="10"/>
      <c r="B625" s="10"/>
      <c r="C625" s="13"/>
      <c r="D625" s="13"/>
      <c r="E625" s="13"/>
      <c r="F625" s="185"/>
      <c r="G625" s="13"/>
      <c r="H625" s="13"/>
      <c r="I625" s="13"/>
      <c r="J625" s="13"/>
      <c r="K625" s="13"/>
      <c r="L625" s="13"/>
      <c r="M625" s="13"/>
      <c r="N625" s="13"/>
      <c r="O625" s="13"/>
      <c r="P625" s="13"/>
      <c r="Q625" s="13"/>
      <c r="R625" s="13"/>
      <c r="S625" s="13"/>
      <c r="T625" s="13"/>
      <c r="U625" s="13"/>
      <c r="V625" s="13"/>
      <c r="W625" s="13"/>
      <c r="X625" s="13"/>
      <c r="Y625" s="13"/>
      <c r="Z625" s="13"/>
      <c r="AA625" s="13"/>
    </row>
    <row r="626" ht="16.5" customHeight="1">
      <c r="A626" s="10"/>
      <c r="B626" s="10"/>
      <c r="C626" s="13"/>
      <c r="D626" s="13"/>
      <c r="E626" s="13"/>
      <c r="F626" s="185"/>
      <c r="G626" s="13"/>
      <c r="H626" s="13"/>
      <c r="I626" s="13"/>
      <c r="J626" s="13"/>
      <c r="K626" s="13"/>
      <c r="L626" s="13"/>
      <c r="M626" s="13"/>
      <c r="N626" s="13"/>
      <c r="O626" s="13"/>
      <c r="P626" s="13"/>
      <c r="Q626" s="13"/>
      <c r="R626" s="13"/>
      <c r="S626" s="13"/>
      <c r="T626" s="13"/>
      <c r="U626" s="13"/>
      <c r="V626" s="13"/>
      <c r="W626" s="13"/>
      <c r="X626" s="13"/>
      <c r="Y626" s="13"/>
      <c r="Z626" s="13"/>
      <c r="AA626" s="13"/>
    </row>
    <row r="627" ht="16.5" customHeight="1">
      <c r="A627" s="10"/>
      <c r="B627" s="10"/>
      <c r="C627" s="13"/>
      <c r="D627" s="13"/>
      <c r="E627" s="13"/>
      <c r="F627" s="185"/>
      <c r="G627" s="13"/>
      <c r="H627" s="13"/>
      <c r="I627" s="13"/>
      <c r="J627" s="13"/>
      <c r="K627" s="13"/>
      <c r="L627" s="13"/>
      <c r="M627" s="13"/>
      <c r="N627" s="13"/>
      <c r="O627" s="13"/>
      <c r="P627" s="13"/>
      <c r="Q627" s="13"/>
      <c r="R627" s="13"/>
      <c r="S627" s="13"/>
      <c r="T627" s="13"/>
      <c r="U627" s="13"/>
      <c r="V627" s="13"/>
      <c r="W627" s="13"/>
      <c r="X627" s="13"/>
      <c r="Y627" s="13"/>
      <c r="Z627" s="13"/>
      <c r="AA627" s="13"/>
    </row>
    <row r="628" ht="16.5" customHeight="1">
      <c r="A628" s="10"/>
      <c r="B628" s="10"/>
      <c r="C628" s="13"/>
      <c r="D628" s="13"/>
      <c r="E628" s="13"/>
      <c r="F628" s="185"/>
      <c r="G628" s="13"/>
      <c r="H628" s="13"/>
      <c r="I628" s="13"/>
      <c r="J628" s="13"/>
      <c r="K628" s="13"/>
      <c r="L628" s="13"/>
      <c r="M628" s="13"/>
      <c r="N628" s="13"/>
      <c r="O628" s="13"/>
      <c r="P628" s="13"/>
      <c r="Q628" s="13"/>
      <c r="R628" s="13"/>
      <c r="S628" s="13"/>
      <c r="T628" s="13"/>
      <c r="U628" s="13"/>
      <c r="V628" s="13"/>
      <c r="W628" s="13"/>
      <c r="X628" s="13"/>
      <c r="Y628" s="13"/>
      <c r="Z628" s="13"/>
      <c r="AA628" s="13"/>
    </row>
    <row r="629" ht="16.5" customHeight="1">
      <c r="A629" s="10"/>
      <c r="B629" s="10"/>
      <c r="C629" s="13"/>
      <c r="D629" s="13"/>
      <c r="E629" s="13"/>
      <c r="F629" s="185"/>
      <c r="G629" s="13"/>
      <c r="H629" s="13"/>
      <c r="I629" s="13"/>
      <c r="J629" s="13"/>
      <c r="K629" s="13"/>
      <c r="L629" s="13"/>
      <c r="M629" s="13"/>
      <c r="N629" s="13"/>
      <c r="O629" s="13"/>
      <c r="P629" s="13"/>
      <c r="Q629" s="13"/>
      <c r="R629" s="13"/>
      <c r="S629" s="13"/>
      <c r="T629" s="13"/>
      <c r="U629" s="13"/>
      <c r="V629" s="13"/>
      <c r="W629" s="13"/>
      <c r="X629" s="13"/>
      <c r="Y629" s="13"/>
      <c r="Z629" s="13"/>
      <c r="AA629" s="13"/>
    </row>
    <row r="630" ht="16.5" customHeight="1">
      <c r="A630" s="10"/>
      <c r="B630" s="10"/>
      <c r="C630" s="13"/>
      <c r="D630" s="13"/>
      <c r="E630" s="13"/>
      <c r="F630" s="185"/>
      <c r="G630" s="13"/>
      <c r="H630" s="13"/>
      <c r="I630" s="13"/>
      <c r="J630" s="13"/>
      <c r="K630" s="13"/>
      <c r="L630" s="13"/>
      <c r="M630" s="13"/>
      <c r="N630" s="13"/>
      <c r="O630" s="13"/>
      <c r="P630" s="13"/>
      <c r="Q630" s="13"/>
      <c r="R630" s="13"/>
      <c r="S630" s="13"/>
      <c r="T630" s="13"/>
      <c r="U630" s="13"/>
      <c r="V630" s="13"/>
      <c r="W630" s="13"/>
      <c r="X630" s="13"/>
      <c r="Y630" s="13"/>
      <c r="Z630" s="13"/>
      <c r="AA630" s="13"/>
    </row>
    <row r="631" ht="16.5" customHeight="1">
      <c r="A631" s="10"/>
      <c r="B631" s="10"/>
      <c r="C631" s="13"/>
      <c r="D631" s="13"/>
      <c r="E631" s="13"/>
      <c r="F631" s="185"/>
      <c r="G631" s="13"/>
      <c r="H631" s="13"/>
      <c r="I631" s="13"/>
      <c r="J631" s="13"/>
      <c r="K631" s="13"/>
      <c r="L631" s="13"/>
      <c r="M631" s="13"/>
      <c r="N631" s="13"/>
      <c r="O631" s="13"/>
      <c r="P631" s="13"/>
      <c r="Q631" s="13"/>
      <c r="R631" s="13"/>
      <c r="S631" s="13"/>
      <c r="T631" s="13"/>
      <c r="U631" s="13"/>
      <c r="V631" s="13"/>
      <c r="W631" s="13"/>
      <c r="X631" s="13"/>
      <c r="Y631" s="13"/>
      <c r="Z631" s="13"/>
      <c r="AA631" s="13"/>
    </row>
    <row r="632" ht="16.5" customHeight="1">
      <c r="A632" s="10"/>
      <c r="B632" s="10"/>
      <c r="C632" s="13"/>
      <c r="D632" s="13"/>
      <c r="E632" s="13"/>
      <c r="F632" s="185"/>
      <c r="G632" s="13"/>
      <c r="H632" s="13"/>
      <c r="I632" s="13"/>
      <c r="J632" s="13"/>
      <c r="K632" s="13"/>
      <c r="L632" s="13"/>
      <c r="M632" s="13"/>
      <c r="N632" s="13"/>
      <c r="O632" s="13"/>
      <c r="P632" s="13"/>
      <c r="Q632" s="13"/>
      <c r="R632" s="13"/>
      <c r="S632" s="13"/>
      <c r="T632" s="13"/>
      <c r="U632" s="13"/>
      <c r="V632" s="13"/>
      <c r="W632" s="13"/>
      <c r="X632" s="13"/>
      <c r="Y632" s="13"/>
      <c r="Z632" s="13"/>
      <c r="AA632" s="13"/>
    </row>
    <row r="633" ht="16.5" customHeight="1">
      <c r="A633" s="10"/>
      <c r="B633" s="10"/>
      <c r="C633" s="13"/>
      <c r="D633" s="13"/>
      <c r="E633" s="13"/>
      <c r="F633" s="185"/>
      <c r="G633" s="13"/>
      <c r="H633" s="13"/>
      <c r="I633" s="13"/>
      <c r="J633" s="13"/>
      <c r="K633" s="13"/>
      <c r="L633" s="13"/>
      <c r="M633" s="13"/>
      <c r="N633" s="13"/>
      <c r="O633" s="13"/>
      <c r="P633" s="13"/>
      <c r="Q633" s="13"/>
      <c r="R633" s="13"/>
      <c r="S633" s="13"/>
      <c r="T633" s="13"/>
      <c r="U633" s="13"/>
      <c r="V633" s="13"/>
      <c r="W633" s="13"/>
      <c r="X633" s="13"/>
      <c r="Y633" s="13"/>
      <c r="Z633" s="13"/>
      <c r="AA633" s="13"/>
    </row>
    <row r="634" ht="16.5" customHeight="1">
      <c r="A634" s="10"/>
      <c r="B634" s="10"/>
      <c r="C634" s="13"/>
      <c r="D634" s="13"/>
      <c r="E634" s="13"/>
      <c r="F634" s="185"/>
      <c r="G634" s="13"/>
      <c r="H634" s="13"/>
      <c r="I634" s="13"/>
      <c r="J634" s="13"/>
      <c r="K634" s="13"/>
      <c r="L634" s="13"/>
      <c r="M634" s="13"/>
      <c r="N634" s="13"/>
      <c r="O634" s="13"/>
      <c r="P634" s="13"/>
      <c r="Q634" s="13"/>
      <c r="R634" s="13"/>
      <c r="S634" s="13"/>
      <c r="T634" s="13"/>
      <c r="U634" s="13"/>
      <c r="V634" s="13"/>
      <c r="W634" s="13"/>
      <c r="X634" s="13"/>
      <c r="Y634" s="13"/>
      <c r="Z634" s="13"/>
      <c r="AA634" s="13"/>
    </row>
    <row r="635" ht="16.5" customHeight="1">
      <c r="A635" s="10"/>
      <c r="B635" s="10"/>
      <c r="C635" s="13"/>
      <c r="D635" s="13"/>
      <c r="E635" s="13"/>
      <c r="F635" s="185"/>
      <c r="G635" s="13"/>
      <c r="H635" s="13"/>
      <c r="I635" s="13"/>
      <c r="J635" s="13"/>
      <c r="K635" s="13"/>
      <c r="L635" s="13"/>
      <c r="M635" s="13"/>
      <c r="N635" s="13"/>
      <c r="O635" s="13"/>
      <c r="P635" s="13"/>
      <c r="Q635" s="13"/>
      <c r="R635" s="13"/>
      <c r="S635" s="13"/>
      <c r="T635" s="13"/>
      <c r="U635" s="13"/>
      <c r="V635" s="13"/>
      <c r="W635" s="13"/>
      <c r="X635" s="13"/>
      <c r="Y635" s="13"/>
      <c r="Z635" s="13"/>
      <c r="AA635" s="13"/>
    </row>
    <row r="636" ht="16.5" customHeight="1">
      <c r="A636" s="10"/>
      <c r="B636" s="10"/>
      <c r="C636" s="13"/>
      <c r="D636" s="13"/>
      <c r="E636" s="13"/>
      <c r="F636" s="185"/>
      <c r="G636" s="13"/>
      <c r="H636" s="13"/>
      <c r="I636" s="13"/>
      <c r="J636" s="13"/>
      <c r="K636" s="13"/>
      <c r="L636" s="13"/>
      <c r="M636" s="13"/>
      <c r="N636" s="13"/>
      <c r="O636" s="13"/>
      <c r="P636" s="13"/>
      <c r="Q636" s="13"/>
      <c r="R636" s="13"/>
      <c r="S636" s="13"/>
      <c r="T636" s="13"/>
      <c r="U636" s="13"/>
      <c r="V636" s="13"/>
      <c r="W636" s="13"/>
      <c r="X636" s="13"/>
      <c r="Y636" s="13"/>
      <c r="Z636" s="13"/>
      <c r="AA636" s="13"/>
    </row>
    <row r="637" ht="16.5" customHeight="1">
      <c r="A637" s="10"/>
      <c r="B637" s="10"/>
      <c r="C637" s="13"/>
      <c r="D637" s="13"/>
      <c r="E637" s="13"/>
      <c r="F637" s="185"/>
      <c r="G637" s="13"/>
      <c r="H637" s="13"/>
      <c r="I637" s="13"/>
      <c r="J637" s="13"/>
      <c r="K637" s="13"/>
      <c r="L637" s="13"/>
      <c r="M637" s="13"/>
      <c r="N637" s="13"/>
      <c r="O637" s="13"/>
      <c r="P637" s="13"/>
      <c r="Q637" s="13"/>
      <c r="R637" s="13"/>
      <c r="S637" s="13"/>
      <c r="T637" s="13"/>
      <c r="U637" s="13"/>
      <c r="V637" s="13"/>
      <c r="W637" s="13"/>
      <c r="X637" s="13"/>
      <c r="Y637" s="13"/>
      <c r="Z637" s="13"/>
      <c r="AA637" s="13"/>
    </row>
    <row r="638" ht="16.5" customHeight="1">
      <c r="A638" s="10"/>
      <c r="B638" s="10"/>
      <c r="C638" s="13"/>
      <c r="D638" s="13"/>
      <c r="E638" s="13"/>
      <c r="F638" s="185"/>
      <c r="G638" s="13"/>
      <c r="H638" s="13"/>
      <c r="I638" s="13"/>
      <c r="J638" s="13"/>
      <c r="K638" s="13"/>
      <c r="L638" s="13"/>
      <c r="M638" s="13"/>
      <c r="N638" s="13"/>
      <c r="O638" s="13"/>
      <c r="P638" s="13"/>
      <c r="Q638" s="13"/>
      <c r="R638" s="13"/>
      <c r="S638" s="13"/>
      <c r="T638" s="13"/>
      <c r="U638" s="13"/>
      <c r="V638" s="13"/>
      <c r="W638" s="13"/>
      <c r="X638" s="13"/>
      <c r="Y638" s="13"/>
      <c r="Z638" s="13"/>
      <c r="AA638" s="13"/>
    </row>
    <row r="639" ht="16.5" customHeight="1">
      <c r="A639" s="10"/>
      <c r="B639" s="10"/>
      <c r="C639" s="13"/>
      <c r="D639" s="13"/>
      <c r="E639" s="13"/>
      <c r="F639" s="185"/>
      <c r="G639" s="13"/>
      <c r="H639" s="13"/>
      <c r="I639" s="13"/>
      <c r="J639" s="13"/>
      <c r="K639" s="13"/>
      <c r="L639" s="13"/>
      <c r="M639" s="13"/>
      <c r="N639" s="13"/>
      <c r="O639" s="13"/>
      <c r="P639" s="13"/>
      <c r="Q639" s="13"/>
      <c r="R639" s="13"/>
      <c r="S639" s="13"/>
      <c r="T639" s="13"/>
      <c r="U639" s="13"/>
      <c r="V639" s="13"/>
      <c r="W639" s="13"/>
      <c r="X639" s="13"/>
      <c r="Y639" s="13"/>
      <c r="Z639" s="13"/>
      <c r="AA639" s="13"/>
    </row>
    <row r="640" ht="16.5" customHeight="1">
      <c r="A640" s="10"/>
      <c r="B640" s="10"/>
      <c r="C640" s="13"/>
      <c r="D640" s="13"/>
      <c r="E640" s="13"/>
      <c r="F640" s="185"/>
      <c r="G640" s="13"/>
      <c r="H640" s="13"/>
      <c r="I640" s="13"/>
      <c r="J640" s="13"/>
      <c r="K640" s="13"/>
      <c r="L640" s="13"/>
      <c r="M640" s="13"/>
      <c r="N640" s="13"/>
      <c r="O640" s="13"/>
      <c r="P640" s="13"/>
      <c r="Q640" s="13"/>
      <c r="R640" s="13"/>
      <c r="S640" s="13"/>
      <c r="T640" s="13"/>
      <c r="U640" s="13"/>
      <c r="V640" s="13"/>
      <c r="W640" s="13"/>
      <c r="X640" s="13"/>
      <c r="Y640" s="13"/>
      <c r="Z640" s="13"/>
      <c r="AA640" s="13"/>
    </row>
    <row r="641" ht="16.5" customHeight="1">
      <c r="A641" s="10"/>
      <c r="B641" s="10"/>
      <c r="C641" s="13"/>
      <c r="D641" s="13"/>
      <c r="E641" s="13"/>
      <c r="F641" s="185"/>
      <c r="G641" s="13"/>
      <c r="H641" s="13"/>
      <c r="I641" s="13"/>
      <c r="J641" s="13"/>
      <c r="K641" s="13"/>
      <c r="L641" s="13"/>
      <c r="M641" s="13"/>
      <c r="N641" s="13"/>
      <c r="O641" s="13"/>
      <c r="P641" s="13"/>
      <c r="Q641" s="13"/>
      <c r="R641" s="13"/>
      <c r="S641" s="13"/>
      <c r="T641" s="13"/>
      <c r="U641" s="13"/>
      <c r="V641" s="13"/>
      <c r="W641" s="13"/>
      <c r="X641" s="13"/>
      <c r="Y641" s="13"/>
      <c r="Z641" s="13"/>
      <c r="AA641" s="13"/>
    </row>
    <row r="642" ht="16.5" customHeight="1">
      <c r="A642" s="10"/>
      <c r="B642" s="10"/>
      <c r="C642" s="13"/>
      <c r="D642" s="13"/>
      <c r="E642" s="13"/>
      <c r="F642" s="185"/>
      <c r="G642" s="13"/>
      <c r="H642" s="13"/>
      <c r="I642" s="13"/>
      <c r="J642" s="13"/>
      <c r="K642" s="13"/>
      <c r="L642" s="13"/>
      <c r="M642" s="13"/>
      <c r="N642" s="13"/>
      <c r="O642" s="13"/>
      <c r="P642" s="13"/>
      <c r="Q642" s="13"/>
      <c r="R642" s="13"/>
      <c r="S642" s="13"/>
      <c r="T642" s="13"/>
      <c r="U642" s="13"/>
      <c r="V642" s="13"/>
      <c r="W642" s="13"/>
      <c r="X642" s="13"/>
      <c r="Y642" s="13"/>
      <c r="Z642" s="13"/>
      <c r="AA642" s="13"/>
    </row>
    <row r="643" ht="16.5" customHeight="1">
      <c r="A643" s="10"/>
      <c r="B643" s="10"/>
      <c r="C643" s="13"/>
      <c r="D643" s="13"/>
      <c r="E643" s="13"/>
      <c r="F643" s="185"/>
      <c r="G643" s="13"/>
      <c r="H643" s="13"/>
      <c r="I643" s="13"/>
      <c r="J643" s="13"/>
      <c r="K643" s="13"/>
      <c r="L643" s="13"/>
      <c r="M643" s="13"/>
      <c r="N643" s="13"/>
      <c r="O643" s="13"/>
      <c r="P643" s="13"/>
      <c r="Q643" s="13"/>
      <c r="R643" s="13"/>
      <c r="S643" s="13"/>
      <c r="T643" s="13"/>
      <c r="U643" s="13"/>
      <c r="V643" s="13"/>
      <c r="W643" s="13"/>
      <c r="X643" s="13"/>
      <c r="Y643" s="13"/>
      <c r="Z643" s="13"/>
      <c r="AA643" s="13"/>
    </row>
    <row r="644" ht="16.5" customHeight="1">
      <c r="A644" s="10"/>
      <c r="B644" s="10"/>
      <c r="C644" s="13"/>
      <c r="D644" s="13"/>
      <c r="E644" s="13"/>
      <c r="F644" s="185"/>
      <c r="G644" s="13"/>
      <c r="H644" s="13"/>
      <c r="I644" s="13"/>
      <c r="J644" s="13"/>
      <c r="K644" s="13"/>
      <c r="L644" s="13"/>
      <c r="M644" s="13"/>
      <c r="N644" s="13"/>
      <c r="O644" s="13"/>
      <c r="P644" s="13"/>
      <c r="Q644" s="13"/>
      <c r="R644" s="13"/>
      <c r="S644" s="13"/>
      <c r="T644" s="13"/>
      <c r="U644" s="13"/>
      <c r="V644" s="13"/>
      <c r="W644" s="13"/>
      <c r="X644" s="13"/>
      <c r="Y644" s="13"/>
      <c r="Z644" s="13"/>
      <c r="AA644" s="13"/>
    </row>
    <row r="645" ht="16.5" customHeight="1">
      <c r="A645" s="10"/>
      <c r="B645" s="10"/>
      <c r="C645" s="13"/>
      <c r="D645" s="13"/>
      <c r="E645" s="13"/>
      <c r="F645" s="185"/>
      <c r="G645" s="13"/>
      <c r="H645" s="13"/>
      <c r="I645" s="13"/>
      <c r="J645" s="13"/>
      <c r="K645" s="13"/>
      <c r="L645" s="13"/>
      <c r="M645" s="13"/>
      <c r="N645" s="13"/>
      <c r="O645" s="13"/>
      <c r="P645" s="13"/>
      <c r="Q645" s="13"/>
      <c r="R645" s="13"/>
      <c r="S645" s="13"/>
      <c r="T645" s="13"/>
      <c r="U645" s="13"/>
      <c r="V645" s="13"/>
      <c r="W645" s="13"/>
      <c r="X645" s="13"/>
      <c r="Y645" s="13"/>
      <c r="Z645" s="13"/>
      <c r="AA645" s="13"/>
    </row>
    <row r="646" ht="16.5" customHeight="1">
      <c r="A646" s="10"/>
      <c r="B646" s="10"/>
      <c r="C646" s="13"/>
      <c r="D646" s="13"/>
      <c r="E646" s="13"/>
      <c r="F646" s="185"/>
      <c r="G646" s="13"/>
      <c r="H646" s="13"/>
      <c r="I646" s="13"/>
      <c r="J646" s="13"/>
      <c r="K646" s="13"/>
      <c r="L646" s="13"/>
      <c r="M646" s="13"/>
      <c r="N646" s="13"/>
      <c r="O646" s="13"/>
      <c r="P646" s="13"/>
      <c r="Q646" s="13"/>
      <c r="R646" s="13"/>
      <c r="S646" s="13"/>
      <c r="T646" s="13"/>
      <c r="U646" s="13"/>
      <c r="V646" s="13"/>
      <c r="W646" s="13"/>
      <c r="X646" s="13"/>
      <c r="Y646" s="13"/>
      <c r="Z646" s="13"/>
      <c r="AA646" s="13"/>
    </row>
    <row r="647" ht="16.5" customHeight="1">
      <c r="A647" s="10"/>
      <c r="B647" s="10"/>
      <c r="C647" s="13"/>
      <c r="D647" s="13"/>
      <c r="E647" s="13"/>
      <c r="F647" s="185"/>
      <c r="G647" s="13"/>
      <c r="H647" s="13"/>
      <c r="I647" s="13"/>
      <c r="J647" s="13"/>
      <c r="K647" s="13"/>
      <c r="L647" s="13"/>
      <c r="M647" s="13"/>
      <c r="N647" s="13"/>
      <c r="O647" s="13"/>
      <c r="P647" s="13"/>
      <c r="Q647" s="13"/>
      <c r="R647" s="13"/>
      <c r="S647" s="13"/>
      <c r="T647" s="13"/>
      <c r="U647" s="13"/>
      <c r="V647" s="13"/>
      <c r="W647" s="13"/>
      <c r="X647" s="13"/>
      <c r="Y647" s="13"/>
      <c r="Z647" s="13"/>
      <c r="AA647" s="13"/>
    </row>
    <row r="648" ht="16.5" customHeight="1">
      <c r="A648" s="10"/>
      <c r="B648" s="10"/>
      <c r="C648" s="13"/>
      <c r="D648" s="13"/>
      <c r="E648" s="13"/>
      <c r="F648" s="185"/>
      <c r="G648" s="13"/>
      <c r="H648" s="13"/>
      <c r="I648" s="13"/>
      <c r="J648" s="13"/>
      <c r="K648" s="13"/>
      <c r="L648" s="13"/>
      <c r="M648" s="13"/>
      <c r="N648" s="13"/>
      <c r="O648" s="13"/>
      <c r="P648" s="13"/>
      <c r="Q648" s="13"/>
      <c r="R648" s="13"/>
      <c r="S648" s="13"/>
      <c r="T648" s="13"/>
      <c r="U648" s="13"/>
      <c r="V648" s="13"/>
      <c r="W648" s="13"/>
      <c r="X648" s="13"/>
      <c r="Y648" s="13"/>
      <c r="Z648" s="13"/>
      <c r="AA648" s="13"/>
    </row>
    <row r="649" ht="16.5" customHeight="1">
      <c r="A649" s="10"/>
      <c r="B649" s="10"/>
      <c r="C649" s="13"/>
      <c r="D649" s="13"/>
      <c r="E649" s="13"/>
      <c r="F649" s="185"/>
      <c r="G649" s="13"/>
      <c r="H649" s="13"/>
      <c r="I649" s="13"/>
      <c r="J649" s="13"/>
      <c r="K649" s="13"/>
      <c r="L649" s="13"/>
      <c r="M649" s="13"/>
      <c r="N649" s="13"/>
      <c r="O649" s="13"/>
      <c r="P649" s="13"/>
      <c r="Q649" s="13"/>
      <c r="R649" s="13"/>
      <c r="S649" s="13"/>
      <c r="T649" s="13"/>
      <c r="U649" s="13"/>
      <c r="V649" s="13"/>
      <c r="W649" s="13"/>
      <c r="X649" s="13"/>
      <c r="Y649" s="13"/>
      <c r="Z649" s="13"/>
      <c r="AA649" s="13"/>
    </row>
    <row r="650" ht="16.5" customHeight="1">
      <c r="A650" s="10"/>
      <c r="B650" s="10"/>
      <c r="C650" s="13"/>
      <c r="D650" s="13"/>
      <c r="E650" s="13"/>
      <c r="F650" s="185"/>
      <c r="G650" s="13"/>
      <c r="H650" s="13"/>
      <c r="I650" s="13"/>
      <c r="J650" s="13"/>
      <c r="K650" s="13"/>
      <c r="L650" s="13"/>
      <c r="M650" s="13"/>
      <c r="N650" s="13"/>
      <c r="O650" s="13"/>
      <c r="P650" s="13"/>
      <c r="Q650" s="13"/>
      <c r="R650" s="13"/>
      <c r="S650" s="13"/>
      <c r="T650" s="13"/>
      <c r="U650" s="13"/>
      <c r="V650" s="13"/>
      <c r="W650" s="13"/>
      <c r="X650" s="13"/>
      <c r="Y650" s="13"/>
      <c r="Z650" s="13"/>
      <c r="AA650" s="13"/>
    </row>
    <row r="651" ht="16.5" customHeight="1">
      <c r="A651" s="10"/>
      <c r="B651" s="10"/>
      <c r="C651" s="13"/>
      <c r="D651" s="13"/>
      <c r="E651" s="13"/>
      <c r="F651" s="185"/>
      <c r="G651" s="13"/>
      <c r="H651" s="13"/>
      <c r="I651" s="13"/>
      <c r="J651" s="13"/>
      <c r="K651" s="13"/>
      <c r="L651" s="13"/>
      <c r="M651" s="13"/>
      <c r="N651" s="13"/>
      <c r="O651" s="13"/>
      <c r="P651" s="13"/>
      <c r="Q651" s="13"/>
      <c r="R651" s="13"/>
      <c r="S651" s="13"/>
      <c r="T651" s="13"/>
      <c r="U651" s="13"/>
      <c r="V651" s="13"/>
      <c r="W651" s="13"/>
      <c r="X651" s="13"/>
      <c r="Y651" s="13"/>
      <c r="Z651" s="13"/>
      <c r="AA651" s="13"/>
    </row>
    <row r="652" ht="16.5" customHeight="1">
      <c r="A652" s="10"/>
      <c r="B652" s="10"/>
      <c r="C652" s="13"/>
      <c r="D652" s="13"/>
      <c r="E652" s="13"/>
      <c r="F652" s="185"/>
      <c r="G652" s="13"/>
      <c r="H652" s="13"/>
      <c r="I652" s="13"/>
      <c r="J652" s="13"/>
      <c r="K652" s="13"/>
      <c r="L652" s="13"/>
      <c r="M652" s="13"/>
      <c r="N652" s="13"/>
      <c r="O652" s="13"/>
      <c r="P652" s="13"/>
      <c r="Q652" s="13"/>
      <c r="R652" s="13"/>
      <c r="S652" s="13"/>
      <c r="T652" s="13"/>
      <c r="U652" s="13"/>
      <c r="V652" s="13"/>
      <c r="W652" s="13"/>
      <c r="X652" s="13"/>
      <c r="Y652" s="13"/>
      <c r="Z652" s="13"/>
      <c r="AA652" s="13"/>
    </row>
    <row r="653" ht="16.5" customHeight="1">
      <c r="A653" s="10"/>
      <c r="B653" s="10"/>
      <c r="C653" s="13"/>
      <c r="D653" s="13"/>
      <c r="E653" s="13"/>
      <c r="F653" s="185"/>
      <c r="G653" s="13"/>
      <c r="H653" s="13"/>
      <c r="I653" s="13"/>
      <c r="J653" s="13"/>
      <c r="K653" s="13"/>
      <c r="L653" s="13"/>
      <c r="M653" s="13"/>
      <c r="N653" s="13"/>
      <c r="O653" s="13"/>
      <c r="P653" s="13"/>
      <c r="Q653" s="13"/>
      <c r="R653" s="13"/>
      <c r="S653" s="13"/>
      <c r="T653" s="13"/>
      <c r="U653" s="13"/>
      <c r="V653" s="13"/>
      <c r="W653" s="13"/>
      <c r="X653" s="13"/>
      <c r="Y653" s="13"/>
      <c r="Z653" s="13"/>
      <c r="AA653" s="13"/>
    </row>
    <row r="654" ht="16.5" customHeight="1">
      <c r="A654" s="10"/>
      <c r="B654" s="10"/>
      <c r="C654" s="13"/>
      <c r="D654" s="13"/>
      <c r="E654" s="13"/>
      <c r="F654" s="185"/>
      <c r="G654" s="13"/>
      <c r="H654" s="13"/>
      <c r="I654" s="13"/>
      <c r="J654" s="13"/>
      <c r="K654" s="13"/>
      <c r="L654" s="13"/>
      <c r="M654" s="13"/>
      <c r="N654" s="13"/>
      <c r="O654" s="13"/>
      <c r="P654" s="13"/>
      <c r="Q654" s="13"/>
      <c r="R654" s="13"/>
      <c r="S654" s="13"/>
      <c r="T654" s="13"/>
      <c r="U654" s="13"/>
      <c r="V654" s="13"/>
      <c r="W654" s="13"/>
      <c r="X654" s="13"/>
      <c r="Y654" s="13"/>
      <c r="Z654" s="13"/>
      <c r="AA654" s="13"/>
    </row>
    <row r="655" ht="16.5" customHeight="1">
      <c r="A655" s="10"/>
      <c r="B655" s="10"/>
      <c r="C655" s="13"/>
      <c r="D655" s="13"/>
      <c r="E655" s="13"/>
      <c r="F655" s="185"/>
      <c r="G655" s="13"/>
      <c r="H655" s="13"/>
      <c r="I655" s="13"/>
      <c r="J655" s="13"/>
      <c r="K655" s="13"/>
      <c r="L655" s="13"/>
      <c r="M655" s="13"/>
      <c r="N655" s="13"/>
      <c r="O655" s="13"/>
      <c r="P655" s="13"/>
      <c r="Q655" s="13"/>
      <c r="R655" s="13"/>
      <c r="S655" s="13"/>
      <c r="T655" s="13"/>
      <c r="U655" s="13"/>
      <c r="V655" s="13"/>
      <c r="W655" s="13"/>
      <c r="X655" s="13"/>
      <c r="Y655" s="13"/>
      <c r="Z655" s="13"/>
      <c r="AA655" s="13"/>
    </row>
    <row r="656" ht="16.5" customHeight="1">
      <c r="A656" s="10"/>
      <c r="B656" s="10"/>
      <c r="C656" s="13"/>
      <c r="D656" s="13"/>
      <c r="E656" s="13"/>
      <c r="F656" s="185"/>
      <c r="G656" s="13"/>
      <c r="H656" s="13"/>
      <c r="I656" s="13"/>
      <c r="J656" s="13"/>
      <c r="K656" s="13"/>
      <c r="L656" s="13"/>
      <c r="M656" s="13"/>
      <c r="N656" s="13"/>
      <c r="O656" s="13"/>
      <c r="P656" s="13"/>
      <c r="Q656" s="13"/>
      <c r="R656" s="13"/>
      <c r="S656" s="13"/>
      <c r="T656" s="13"/>
      <c r="U656" s="13"/>
      <c r="V656" s="13"/>
      <c r="W656" s="13"/>
      <c r="X656" s="13"/>
      <c r="Y656" s="13"/>
      <c r="Z656" s="13"/>
      <c r="AA656" s="13"/>
    </row>
    <row r="657" ht="16.5" customHeight="1">
      <c r="A657" s="10"/>
      <c r="B657" s="10"/>
      <c r="C657" s="13"/>
      <c r="D657" s="13"/>
      <c r="E657" s="13"/>
      <c r="F657" s="185"/>
      <c r="G657" s="13"/>
      <c r="H657" s="13"/>
      <c r="I657" s="13"/>
      <c r="J657" s="13"/>
      <c r="K657" s="13"/>
      <c r="L657" s="13"/>
      <c r="M657" s="13"/>
      <c r="N657" s="13"/>
      <c r="O657" s="13"/>
      <c r="P657" s="13"/>
      <c r="Q657" s="13"/>
      <c r="R657" s="13"/>
      <c r="S657" s="13"/>
      <c r="T657" s="13"/>
      <c r="U657" s="13"/>
      <c r="V657" s="13"/>
      <c r="W657" s="13"/>
      <c r="X657" s="13"/>
      <c r="Y657" s="13"/>
      <c r="Z657" s="13"/>
      <c r="AA657" s="13"/>
    </row>
    <row r="658" ht="16.5" customHeight="1">
      <c r="A658" s="10"/>
      <c r="B658" s="10"/>
      <c r="C658" s="13"/>
      <c r="D658" s="13"/>
      <c r="E658" s="13"/>
      <c r="F658" s="185"/>
      <c r="G658" s="13"/>
      <c r="H658" s="13"/>
      <c r="I658" s="13"/>
      <c r="J658" s="13"/>
      <c r="K658" s="13"/>
      <c r="L658" s="13"/>
      <c r="M658" s="13"/>
      <c r="N658" s="13"/>
      <c r="O658" s="13"/>
      <c r="P658" s="13"/>
      <c r="Q658" s="13"/>
      <c r="R658" s="13"/>
      <c r="S658" s="13"/>
      <c r="T658" s="13"/>
      <c r="U658" s="13"/>
      <c r="V658" s="13"/>
      <c r="W658" s="13"/>
      <c r="X658" s="13"/>
      <c r="Y658" s="13"/>
      <c r="Z658" s="13"/>
      <c r="AA658" s="13"/>
    </row>
    <row r="659" ht="16.5" customHeight="1">
      <c r="A659" s="10"/>
      <c r="B659" s="10"/>
      <c r="C659" s="13"/>
      <c r="D659" s="13"/>
      <c r="E659" s="13"/>
      <c r="F659" s="185"/>
      <c r="G659" s="13"/>
      <c r="H659" s="13"/>
      <c r="I659" s="13"/>
      <c r="J659" s="13"/>
      <c r="K659" s="13"/>
      <c r="L659" s="13"/>
      <c r="M659" s="13"/>
      <c r="N659" s="13"/>
      <c r="O659" s="13"/>
      <c r="P659" s="13"/>
      <c r="Q659" s="13"/>
      <c r="R659" s="13"/>
      <c r="S659" s="13"/>
      <c r="T659" s="13"/>
      <c r="U659" s="13"/>
      <c r="V659" s="13"/>
      <c r="W659" s="13"/>
      <c r="X659" s="13"/>
      <c r="Y659" s="13"/>
      <c r="Z659" s="13"/>
      <c r="AA659" s="13"/>
    </row>
    <row r="660" ht="16.5" customHeight="1">
      <c r="A660" s="10"/>
      <c r="B660" s="10"/>
      <c r="C660" s="13"/>
      <c r="D660" s="13"/>
      <c r="E660" s="13"/>
      <c r="F660" s="185"/>
      <c r="G660" s="13"/>
      <c r="H660" s="13"/>
      <c r="I660" s="13"/>
      <c r="J660" s="13"/>
      <c r="K660" s="13"/>
      <c r="L660" s="13"/>
      <c r="M660" s="13"/>
      <c r="N660" s="13"/>
      <c r="O660" s="13"/>
      <c r="P660" s="13"/>
      <c r="Q660" s="13"/>
      <c r="R660" s="13"/>
      <c r="S660" s="13"/>
      <c r="T660" s="13"/>
      <c r="U660" s="13"/>
      <c r="V660" s="13"/>
      <c r="W660" s="13"/>
      <c r="X660" s="13"/>
      <c r="Y660" s="13"/>
      <c r="Z660" s="13"/>
      <c r="AA660" s="13"/>
    </row>
    <row r="661" ht="16.5" customHeight="1">
      <c r="A661" s="10"/>
      <c r="B661" s="10"/>
      <c r="C661" s="13"/>
      <c r="D661" s="13"/>
      <c r="E661" s="13"/>
      <c r="F661" s="185"/>
      <c r="G661" s="13"/>
      <c r="H661" s="13"/>
      <c r="I661" s="13"/>
      <c r="J661" s="13"/>
      <c r="K661" s="13"/>
      <c r="L661" s="13"/>
      <c r="M661" s="13"/>
      <c r="N661" s="13"/>
      <c r="O661" s="13"/>
      <c r="P661" s="13"/>
      <c r="Q661" s="13"/>
      <c r="R661" s="13"/>
      <c r="S661" s="13"/>
      <c r="T661" s="13"/>
      <c r="U661" s="13"/>
      <c r="V661" s="13"/>
      <c r="W661" s="13"/>
      <c r="X661" s="13"/>
      <c r="Y661" s="13"/>
      <c r="Z661" s="13"/>
      <c r="AA661" s="13"/>
    </row>
    <row r="662" ht="16.5" customHeight="1">
      <c r="A662" s="10"/>
      <c r="B662" s="10"/>
      <c r="C662" s="13"/>
      <c r="D662" s="13"/>
      <c r="E662" s="13"/>
      <c r="F662" s="185"/>
      <c r="G662" s="13"/>
      <c r="H662" s="13"/>
      <c r="I662" s="13"/>
      <c r="J662" s="13"/>
      <c r="K662" s="13"/>
      <c r="L662" s="13"/>
      <c r="M662" s="13"/>
      <c r="N662" s="13"/>
      <c r="O662" s="13"/>
      <c r="P662" s="13"/>
      <c r="Q662" s="13"/>
      <c r="R662" s="13"/>
      <c r="S662" s="13"/>
      <c r="T662" s="13"/>
      <c r="U662" s="13"/>
      <c r="V662" s="13"/>
      <c r="W662" s="13"/>
      <c r="X662" s="13"/>
      <c r="Y662" s="13"/>
      <c r="Z662" s="13"/>
      <c r="AA662" s="13"/>
    </row>
    <row r="663" ht="16.5" customHeight="1">
      <c r="A663" s="10"/>
      <c r="B663" s="10"/>
      <c r="C663" s="13"/>
      <c r="D663" s="13"/>
      <c r="E663" s="13"/>
      <c r="F663" s="185"/>
      <c r="G663" s="13"/>
      <c r="H663" s="13"/>
      <c r="I663" s="13"/>
      <c r="J663" s="13"/>
      <c r="K663" s="13"/>
      <c r="L663" s="13"/>
      <c r="M663" s="13"/>
      <c r="N663" s="13"/>
      <c r="O663" s="13"/>
      <c r="P663" s="13"/>
      <c r="Q663" s="13"/>
      <c r="R663" s="13"/>
      <c r="S663" s="13"/>
      <c r="T663" s="13"/>
      <c r="U663" s="13"/>
      <c r="V663" s="13"/>
      <c r="W663" s="13"/>
      <c r="X663" s="13"/>
      <c r="Y663" s="13"/>
      <c r="Z663" s="13"/>
      <c r="AA663" s="13"/>
    </row>
    <row r="664" ht="16.5" customHeight="1">
      <c r="A664" s="10"/>
      <c r="B664" s="10"/>
      <c r="C664" s="13"/>
      <c r="D664" s="13"/>
      <c r="E664" s="13"/>
      <c r="F664" s="185"/>
      <c r="G664" s="13"/>
      <c r="H664" s="13"/>
      <c r="I664" s="13"/>
      <c r="J664" s="13"/>
      <c r="K664" s="13"/>
      <c r="L664" s="13"/>
      <c r="M664" s="13"/>
      <c r="N664" s="13"/>
      <c r="O664" s="13"/>
      <c r="P664" s="13"/>
      <c r="Q664" s="13"/>
      <c r="R664" s="13"/>
      <c r="S664" s="13"/>
      <c r="T664" s="13"/>
      <c r="U664" s="13"/>
      <c r="V664" s="13"/>
      <c r="W664" s="13"/>
      <c r="X664" s="13"/>
      <c r="Y664" s="13"/>
      <c r="Z664" s="13"/>
      <c r="AA664" s="13"/>
    </row>
    <row r="665" ht="16.5" customHeight="1">
      <c r="A665" s="10"/>
      <c r="B665" s="10"/>
      <c r="C665" s="13"/>
      <c r="D665" s="13"/>
      <c r="E665" s="13"/>
      <c r="F665" s="185"/>
      <c r="G665" s="13"/>
      <c r="H665" s="13"/>
      <c r="I665" s="13"/>
      <c r="J665" s="13"/>
      <c r="K665" s="13"/>
      <c r="L665" s="13"/>
      <c r="M665" s="13"/>
      <c r="N665" s="13"/>
      <c r="O665" s="13"/>
      <c r="P665" s="13"/>
      <c r="Q665" s="13"/>
      <c r="R665" s="13"/>
      <c r="S665" s="13"/>
      <c r="T665" s="13"/>
      <c r="U665" s="13"/>
      <c r="V665" s="13"/>
      <c r="W665" s="13"/>
      <c r="X665" s="13"/>
      <c r="Y665" s="13"/>
      <c r="Z665" s="13"/>
      <c r="AA665" s="13"/>
    </row>
    <row r="666" ht="16.5" customHeight="1">
      <c r="A666" s="10"/>
      <c r="B666" s="10"/>
      <c r="C666" s="13"/>
      <c r="D666" s="13"/>
      <c r="E666" s="13"/>
      <c r="F666" s="185"/>
      <c r="G666" s="13"/>
      <c r="H666" s="13"/>
      <c r="I666" s="13"/>
      <c r="J666" s="13"/>
      <c r="K666" s="13"/>
      <c r="L666" s="13"/>
      <c r="M666" s="13"/>
      <c r="N666" s="13"/>
      <c r="O666" s="13"/>
      <c r="P666" s="13"/>
      <c r="Q666" s="13"/>
      <c r="R666" s="13"/>
      <c r="S666" s="13"/>
      <c r="T666" s="13"/>
      <c r="U666" s="13"/>
      <c r="V666" s="13"/>
      <c r="W666" s="13"/>
      <c r="X666" s="13"/>
      <c r="Y666" s="13"/>
      <c r="Z666" s="13"/>
      <c r="AA666" s="13"/>
    </row>
    <row r="667" ht="16.5" customHeight="1">
      <c r="A667" s="10"/>
      <c r="B667" s="10"/>
      <c r="C667" s="13"/>
      <c r="D667" s="13"/>
      <c r="E667" s="13"/>
      <c r="F667" s="185"/>
      <c r="G667" s="13"/>
      <c r="H667" s="13"/>
      <c r="I667" s="13"/>
      <c r="J667" s="13"/>
      <c r="K667" s="13"/>
      <c r="L667" s="13"/>
      <c r="M667" s="13"/>
      <c r="N667" s="13"/>
      <c r="O667" s="13"/>
      <c r="P667" s="13"/>
      <c r="Q667" s="13"/>
      <c r="R667" s="13"/>
      <c r="S667" s="13"/>
      <c r="T667" s="13"/>
      <c r="U667" s="13"/>
      <c r="V667" s="13"/>
      <c r="W667" s="13"/>
      <c r="X667" s="13"/>
      <c r="Y667" s="13"/>
      <c r="Z667" s="13"/>
      <c r="AA667" s="13"/>
    </row>
    <row r="668" ht="16.5" customHeight="1">
      <c r="A668" s="10"/>
      <c r="B668" s="10"/>
      <c r="C668" s="13"/>
      <c r="D668" s="13"/>
      <c r="E668" s="13"/>
      <c r="F668" s="185"/>
      <c r="G668" s="13"/>
      <c r="H668" s="13"/>
      <c r="I668" s="13"/>
      <c r="J668" s="13"/>
      <c r="K668" s="13"/>
      <c r="L668" s="13"/>
      <c r="M668" s="13"/>
      <c r="N668" s="13"/>
      <c r="O668" s="13"/>
      <c r="P668" s="13"/>
      <c r="Q668" s="13"/>
      <c r="R668" s="13"/>
      <c r="S668" s="13"/>
      <c r="T668" s="13"/>
      <c r="U668" s="13"/>
      <c r="V668" s="13"/>
      <c r="W668" s="13"/>
      <c r="X668" s="13"/>
      <c r="Y668" s="13"/>
      <c r="Z668" s="13"/>
      <c r="AA668" s="13"/>
    </row>
    <row r="669" ht="16.5" customHeight="1">
      <c r="A669" s="10"/>
      <c r="B669" s="10"/>
      <c r="C669" s="13"/>
      <c r="D669" s="13"/>
      <c r="E669" s="13"/>
      <c r="F669" s="185"/>
      <c r="G669" s="13"/>
      <c r="H669" s="13"/>
      <c r="I669" s="13"/>
      <c r="J669" s="13"/>
      <c r="K669" s="13"/>
      <c r="L669" s="13"/>
      <c r="M669" s="13"/>
      <c r="N669" s="13"/>
      <c r="O669" s="13"/>
      <c r="P669" s="13"/>
      <c r="Q669" s="13"/>
      <c r="R669" s="13"/>
      <c r="S669" s="13"/>
      <c r="T669" s="13"/>
      <c r="U669" s="13"/>
      <c r="V669" s="13"/>
      <c r="W669" s="13"/>
      <c r="X669" s="13"/>
      <c r="Y669" s="13"/>
      <c r="Z669" s="13"/>
      <c r="AA669" s="13"/>
    </row>
    <row r="670" ht="16.5" customHeight="1">
      <c r="A670" s="10"/>
      <c r="B670" s="10"/>
      <c r="C670" s="13"/>
      <c r="D670" s="13"/>
      <c r="E670" s="13"/>
      <c r="F670" s="185"/>
      <c r="G670" s="13"/>
      <c r="H670" s="13"/>
      <c r="I670" s="13"/>
      <c r="J670" s="13"/>
      <c r="K670" s="13"/>
      <c r="L670" s="13"/>
      <c r="M670" s="13"/>
      <c r="N670" s="13"/>
      <c r="O670" s="13"/>
      <c r="P670" s="13"/>
      <c r="Q670" s="13"/>
      <c r="R670" s="13"/>
      <c r="S670" s="13"/>
      <c r="T670" s="13"/>
      <c r="U670" s="13"/>
      <c r="V670" s="13"/>
      <c r="W670" s="13"/>
      <c r="X670" s="13"/>
      <c r="Y670" s="13"/>
      <c r="Z670" s="13"/>
      <c r="AA670" s="13"/>
    </row>
    <row r="671" ht="16.5" customHeight="1">
      <c r="A671" s="10"/>
      <c r="B671" s="10"/>
      <c r="C671" s="13"/>
      <c r="D671" s="13"/>
      <c r="E671" s="13"/>
      <c r="F671" s="185"/>
      <c r="G671" s="13"/>
      <c r="H671" s="13"/>
      <c r="I671" s="13"/>
      <c r="J671" s="13"/>
      <c r="K671" s="13"/>
      <c r="L671" s="13"/>
      <c r="M671" s="13"/>
      <c r="N671" s="13"/>
      <c r="O671" s="13"/>
      <c r="P671" s="13"/>
      <c r="Q671" s="13"/>
      <c r="R671" s="13"/>
      <c r="S671" s="13"/>
      <c r="T671" s="13"/>
      <c r="U671" s="13"/>
      <c r="V671" s="13"/>
      <c r="W671" s="13"/>
      <c r="X671" s="13"/>
      <c r="Y671" s="13"/>
      <c r="Z671" s="13"/>
      <c r="AA671" s="13"/>
    </row>
    <row r="672" ht="16.5" customHeight="1">
      <c r="A672" s="10"/>
      <c r="B672" s="10"/>
      <c r="C672" s="13"/>
      <c r="D672" s="13"/>
      <c r="E672" s="13"/>
      <c r="F672" s="185"/>
      <c r="G672" s="13"/>
      <c r="H672" s="13"/>
      <c r="I672" s="13"/>
      <c r="J672" s="13"/>
      <c r="K672" s="13"/>
      <c r="L672" s="13"/>
      <c r="M672" s="13"/>
      <c r="N672" s="13"/>
      <c r="O672" s="13"/>
      <c r="P672" s="13"/>
      <c r="Q672" s="13"/>
      <c r="R672" s="13"/>
      <c r="S672" s="13"/>
      <c r="T672" s="13"/>
      <c r="U672" s="13"/>
      <c r="V672" s="13"/>
      <c r="W672" s="13"/>
      <c r="X672" s="13"/>
      <c r="Y672" s="13"/>
      <c r="Z672" s="13"/>
      <c r="AA672" s="13"/>
    </row>
    <row r="673" ht="16.5" customHeight="1">
      <c r="A673" s="10"/>
      <c r="B673" s="10"/>
      <c r="C673" s="13"/>
      <c r="D673" s="13"/>
      <c r="E673" s="13"/>
      <c r="F673" s="185"/>
      <c r="G673" s="13"/>
      <c r="H673" s="13"/>
      <c r="I673" s="13"/>
      <c r="J673" s="13"/>
      <c r="K673" s="13"/>
      <c r="L673" s="13"/>
      <c r="M673" s="13"/>
      <c r="N673" s="13"/>
      <c r="O673" s="13"/>
      <c r="P673" s="13"/>
      <c r="Q673" s="13"/>
      <c r="R673" s="13"/>
      <c r="S673" s="13"/>
      <c r="T673" s="13"/>
      <c r="U673" s="13"/>
      <c r="V673" s="13"/>
      <c r="W673" s="13"/>
      <c r="X673" s="13"/>
      <c r="Y673" s="13"/>
      <c r="Z673" s="13"/>
      <c r="AA673" s="13"/>
    </row>
    <row r="674" ht="16.5" customHeight="1">
      <c r="A674" s="10"/>
      <c r="B674" s="10"/>
      <c r="C674" s="13"/>
      <c r="D674" s="13"/>
      <c r="E674" s="13"/>
      <c r="F674" s="185"/>
      <c r="G674" s="13"/>
      <c r="H674" s="13"/>
      <c r="I674" s="13"/>
      <c r="J674" s="13"/>
      <c r="K674" s="13"/>
      <c r="L674" s="13"/>
      <c r="M674" s="13"/>
      <c r="N674" s="13"/>
      <c r="O674" s="13"/>
      <c r="P674" s="13"/>
      <c r="Q674" s="13"/>
      <c r="R674" s="13"/>
      <c r="S674" s="13"/>
      <c r="T674" s="13"/>
      <c r="U674" s="13"/>
      <c r="V674" s="13"/>
      <c r="W674" s="13"/>
      <c r="X674" s="13"/>
      <c r="Y674" s="13"/>
      <c r="Z674" s="13"/>
      <c r="AA674" s="13"/>
    </row>
    <row r="675" ht="16.5" customHeight="1">
      <c r="A675" s="10"/>
      <c r="B675" s="10"/>
      <c r="C675" s="13"/>
      <c r="D675" s="13"/>
      <c r="E675" s="13"/>
      <c r="F675" s="185"/>
      <c r="G675" s="13"/>
      <c r="H675" s="13"/>
      <c r="I675" s="13"/>
      <c r="J675" s="13"/>
      <c r="K675" s="13"/>
      <c r="L675" s="13"/>
      <c r="M675" s="13"/>
      <c r="N675" s="13"/>
      <c r="O675" s="13"/>
      <c r="P675" s="13"/>
      <c r="Q675" s="13"/>
      <c r="R675" s="13"/>
      <c r="S675" s="13"/>
      <c r="T675" s="13"/>
      <c r="U675" s="13"/>
      <c r="V675" s="13"/>
      <c r="W675" s="13"/>
      <c r="X675" s="13"/>
      <c r="Y675" s="13"/>
      <c r="Z675" s="13"/>
      <c r="AA675" s="13"/>
    </row>
    <row r="676" ht="16.5" customHeight="1">
      <c r="A676" s="10"/>
      <c r="B676" s="10"/>
      <c r="C676" s="13"/>
      <c r="D676" s="13"/>
      <c r="E676" s="13"/>
      <c r="F676" s="185"/>
      <c r="G676" s="13"/>
      <c r="H676" s="13"/>
      <c r="I676" s="13"/>
      <c r="J676" s="13"/>
      <c r="K676" s="13"/>
      <c r="L676" s="13"/>
      <c r="M676" s="13"/>
      <c r="N676" s="13"/>
      <c r="O676" s="13"/>
      <c r="P676" s="13"/>
      <c r="Q676" s="13"/>
      <c r="R676" s="13"/>
      <c r="S676" s="13"/>
      <c r="T676" s="13"/>
      <c r="U676" s="13"/>
      <c r="V676" s="13"/>
      <c r="W676" s="13"/>
      <c r="X676" s="13"/>
      <c r="Y676" s="13"/>
      <c r="Z676" s="13"/>
      <c r="AA676" s="13"/>
    </row>
    <row r="677" ht="16.5" customHeight="1">
      <c r="A677" s="10"/>
      <c r="B677" s="10"/>
      <c r="C677" s="13"/>
      <c r="D677" s="13"/>
      <c r="E677" s="13"/>
      <c r="F677" s="185"/>
      <c r="G677" s="13"/>
      <c r="H677" s="13"/>
      <c r="I677" s="13"/>
      <c r="J677" s="13"/>
      <c r="K677" s="13"/>
      <c r="L677" s="13"/>
      <c r="M677" s="13"/>
      <c r="N677" s="13"/>
      <c r="O677" s="13"/>
      <c r="P677" s="13"/>
      <c r="Q677" s="13"/>
      <c r="R677" s="13"/>
      <c r="S677" s="13"/>
      <c r="T677" s="13"/>
      <c r="U677" s="13"/>
      <c r="V677" s="13"/>
      <c r="W677" s="13"/>
      <c r="X677" s="13"/>
      <c r="Y677" s="13"/>
      <c r="Z677" s="13"/>
      <c r="AA677" s="13"/>
    </row>
    <row r="678" ht="16.5" customHeight="1">
      <c r="A678" s="10"/>
      <c r="B678" s="10"/>
      <c r="C678" s="13"/>
      <c r="D678" s="13"/>
      <c r="E678" s="13"/>
      <c r="F678" s="185"/>
      <c r="G678" s="13"/>
      <c r="H678" s="13"/>
      <c r="I678" s="13"/>
      <c r="J678" s="13"/>
      <c r="K678" s="13"/>
      <c r="L678" s="13"/>
      <c r="M678" s="13"/>
      <c r="N678" s="13"/>
      <c r="O678" s="13"/>
      <c r="P678" s="13"/>
      <c r="Q678" s="13"/>
      <c r="R678" s="13"/>
      <c r="S678" s="13"/>
      <c r="T678" s="13"/>
      <c r="U678" s="13"/>
      <c r="V678" s="13"/>
      <c r="W678" s="13"/>
      <c r="X678" s="13"/>
      <c r="Y678" s="13"/>
      <c r="Z678" s="13"/>
      <c r="AA678" s="13"/>
    </row>
    <row r="679" ht="16.5" customHeight="1">
      <c r="A679" s="10"/>
      <c r="B679" s="10"/>
      <c r="C679" s="13"/>
      <c r="D679" s="13"/>
      <c r="E679" s="13"/>
      <c r="F679" s="185"/>
      <c r="G679" s="13"/>
      <c r="H679" s="13"/>
      <c r="I679" s="13"/>
      <c r="J679" s="13"/>
      <c r="K679" s="13"/>
      <c r="L679" s="13"/>
      <c r="M679" s="13"/>
      <c r="N679" s="13"/>
      <c r="O679" s="13"/>
      <c r="P679" s="13"/>
      <c r="Q679" s="13"/>
      <c r="R679" s="13"/>
      <c r="S679" s="13"/>
      <c r="T679" s="13"/>
      <c r="U679" s="13"/>
      <c r="V679" s="13"/>
      <c r="W679" s="13"/>
      <c r="X679" s="13"/>
      <c r="Y679" s="13"/>
      <c r="Z679" s="13"/>
      <c r="AA679" s="13"/>
    </row>
    <row r="680" ht="16.5" customHeight="1">
      <c r="A680" s="10"/>
      <c r="B680" s="10"/>
      <c r="C680" s="13"/>
      <c r="D680" s="13"/>
      <c r="E680" s="13"/>
      <c r="F680" s="185"/>
      <c r="G680" s="13"/>
      <c r="H680" s="13"/>
      <c r="I680" s="13"/>
      <c r="J680" s="13"/>
      <c r="K680" s="13"/>
      <c r="L680" s="13"/>
      <c r="M680" s="13"/>
      <c r="N680" s="13"/>
      <c r="O680" s="13"/>
      <c r="P680" s="13"/>
      <c r="Q680" s="13"/>
      <c r="R680" s="13"/>
      <c r="S680" s="13"/>
      <c r="T680" s="13"/>
      <c r="U680" s="13"/>
      <c r="V680" s="13"/>
      <c r="W680" s="13"/>
      <c r="X680" s="13"/>
      <c r="Y680" s="13"/>
      <c r="Z680" s="13"/>
      <c r="AA680" s="13"/>
    </row>
    <row r="681" ht="16.5" customHeight="1">
      <c r="A681" s="10"/>
      <c r="B681" s="10"/>
      <c r="C681" s="13"/>
      <c r="D681" s="13"/>
      <c r="E681" s="13"/>
      <c r="F681" s="185"/>
      <c r="G681" s="13"/>
      <c r="H681" s="13"/>
      <c r="I681" s="13"/>
      <c r="J681" s="13"/>
      <c r="K681" s="13"/>
      <c r="L681" s="13"/>
      <c r="M681" s="13"/>
      <c r="N681" s="13"/>
      <c r="O681" s="13"/>
      <c r="P681" s="13"/>
      <c r="Q681" s="13"/>
      <c r="R681" s="13"/>
      <c r="S681" s="13"/>
      <c r="T681" s="13"/>
      <c r="U681" s="13"/>
      <c r="V681" s="13"/>
      <c r="W681" s="13"/>
      <c r="X681" s="13"/>
      <c r="Y681" s="13"/>
      <c r="Z681" s="13"/>
      <c r="AA681" s="13"/>
    </row>
    <row r="682" ht="16.5" customHeight="1">
      <c r="A682" s="10"/>
      <c r="B682" s="10"/>
      <c r="C682" s="13"/>
      <c r="D682" s="13"/>
      <c r="E682" s="13"/>
      <c r="F682" s="185"/>
      <c r="G682" s="13"/>
      <c r="H682" s="13"/>
      <c r="I682" s="13"/>
      <c r="J682" s="13"/>
      <c r="K682" s="13"/>
      <c r="L682" s="13"/>
      <c r="M682" s="13"/>
      <c r="N682" s="13"/>
      <c r="O682" s="13"/>
      <c r="P682" s="13"/>
      <c r="Q682" s="13"/>
      <c r="R682" s="13"/>
      <c r="S682" s="13"/>
      <c r="T682" s="13"/>
      <c r="U682" s="13"/>
      <c r="V682" s="13"/>
      <c r="W682" s="13"/>
      <c r="X682" s="13"/>
      <c r="Y682" s="13"/>
      <c r="Z682" s="13"/>
      <c r="AA682" s="13"/>
    </row>
    <row r="683" ht="16.5" customHeight="1">
      <c r="A683" s="10"/>
      <c r="B683" s="10"/>
      <c r="C683" s="13"/>
      <c r="D683" s="13"/>
      <c r="E683" s="13"/>
      <c r="F683" s="185"/>
      <c r="G683" s="13"/>
      <c r="H683" s="13"/>
      <c r="I683" s="13"/>
      <c r="J683" s="13"/>
      <c r="K683" s="13"/>
      <c r="L683" s="13"/>
      <c r="M683" s="13"/>
      <c r="N683" s="13"/>
      <c r="O683" s="13"/>
      <c r="P683" s="13"/>
      <c r="Q683" s="13"/>
      <c r="R683" s="13"/>
      <c r="S683" s="13"/>
      <c r="T683" s="13"/>
      <c r="U683" s="13"/>
      <c r="V683" s="13"/>
      <c r="W683" s="13"/>
      <c r="X683" s="13"/>
      <c r="Y683" s="13"/>
      <c r="Z683" s="13"/>
      <c r="AA683" s="13"/>
    </row>
    <row r="684" ht="16.5" customHeight="1">
      <c r="A684" s="10"/>
      <c r="B684" s="10"/>
      <c r="C684" s="13"/>
      <c r="D684" s="13"/>
      <c r="E684" s="13"/>
      <c r="F684" s="185"/>
      <c r="G684" s="13"/>
      <c r="H684" s="13"/>
      <c r="I684" s="13"/>
      <c r="J684" s="13"/>
      <c r="K684" s="13"/>
      <c r="L684" s="13"/>
      <c r="M684" s="13"/>
      <c r="N684" s="13"/>
      <c r="O684" s="13"/>
      <c r="P684" s="13"/>
      <c r="Q684" s="13"/>
      <c r="R684" s="13"/>
      <c r="S684" s="13"/>
      <c r="T684" s="13"/>
      <c r="U684" s="13"/>
      <c r="V684" s="13"/>
      <c r="W684" s="13"/>
      <c r="X684" s="13"/>
      <c r="Y684" s="13"/>
      <c r="Z684" s="13"/>
      <c r="AA684" s="13"/>
    </row>
    <row r="685" ht="16.5" customHeight="1">
      <c r="A685" s="10"/>
      <c r="B685" s="10"/>
      <c r="C685" s="13"/>
      <c r="D685" s="13"/>
      <c r="E685" s="13"/>
      <c r="F685" s="185"/>
      <c r="G685" s="13"/>
      <c r="H685" s="13"/>
      <c r="I685" s="13"/>
      <c r="J685" s="13"/>
      <c r="K685" s="13"/>
      <c r="L685" s="13"/>
      <c r="M685" s="13"/>
      <c r="N685" s="13"/>
      <c r="O685" s="13"/>
      <c r="P685" s="13"/>
      <c r="Q685" s="13"/>
      <c r="R685" s="13"/>
      <c r="S685" s="13"/>
      <c r="T685" s="13"/>
      <c r="U685" s="13"/>
      <c r="V685" s="13"/>
      <c r="W685" s="13"/>
      <c r="X685" s="13"/>
      <c r="Y685" s="13"/>
      <c r="Z685" s="13"/>
      <c r="AA685" s="13"/>
    </row>
    <row r="686" ht="16.5" customHeight="1">
      <c r="A686" s="10"/>
      <c r="B686" s="10"/>
      <c r="C686" s="13"/>
      <c r="D686" s="13"/>
      <c r="E686" s="13"/>
      <c r="F686" s="185"/>
      <c r="G686" s="13"/>
      <c r="H686" s="13"/>
      <c r="I686" s="13"/>
      <c r="J686" s="13"/>
      <c r="K686" s="13"/>
      <c r="L686" s="13"/>
      <c r="M686" s="13"/>
      <c r="N686" s="13"/>
      <c r="O686" s="13"/>
      <c r="P686" s="13"/>
      <c r="Q686" s="13"/>
      <c r="R686" s="13"/>
      <c r="S686" s="13"/>
      <c r="T686" s="13"/>
      <c r="U686" s="13"/>
      <c r="V686" s="13"/>
      <c r="W686" s="13"/>
      <c r="X686" s="13"/>
      <c r="Y686" s="13"/>
      <c r="Z686" s="13"/>
      <c r="AA686" s="13"/>
    </row>
    <row r="687" ht="16.5" customHeight="1">
      <c r="A687" s="10"/>
      <c r="B687" s="10"/>
      <c r="C687" s="13"/>
      <c r="D687" s="13"/>
      <c r="E687" s="13"/>
      <c r="F687" s="185"/>
      <c r="G687" s="13"/>
      <c r="H687" s="13"/>
      <c r="I687" s="13"/>
      <c r="J687" s="13"/>
      <c r="K687" s="13"/>
      <c r="L687" s="13"/>
      <c r="M687" s="13"/>
      <c r="N687" s="13"/>
      <c r="O687" s="13"/>
      <c r="P687" s="13"/>
      <c r="Q687" s="13"/>
      <c r="R687" s="13"/>
      <c r="S687" s="13"/>
      <c r="T687" s="13"/>
      <c r="U687" s="13"/>
      <c r="V687" s="13"/>
      <c r="W687" s="13"/>
      <c r="X687" s="13"/>
      <c r="Y687" s="13"/>
      <c r="Z687" s="13"/>
      <c r="AA687" s="13"/>
    </row>
    <row r="688" ht="16.5" customHeight="1">
      <c r="A688" s="10"/>
      <c r="B688" s="10"/>
      <c r="C688" s="13"/>
      <c r="D688" s="13"/>
      <c r="E688" s="13"/>
      <c r="F688" s="185"/>
      <c r="G688" s="13"/>
      <c r="H688" s="13"/>
      <c r="I688" s="13"/>
      <c r="J688" s="13"/>
      <c r="K688" s="13"/>
      <c r="L688" s="13"/>
      <c r="M688" s="13"/>
      <c r="N688" s="13"/>
      <c r="O688" s="13"/>
      <c r="P688" s="13"/>
      <c r="Q688" s="13"/>
      <c r="R688" s="13"/>
      <c r="S688" s="13"/>
      <c r="T688" s="13"/>
      <c r="U688" s="13"/>
      <c r="V688" s="13"/>
      <c r="W688" s="13"/>
      <c r="X688" s="13"/>
      <c r="Y688" s="13"/>
      <c r="Z688" s="13"/>
      <c r="AA688" s="13"/>
    </row>
    <row r="689" ht="16.5" customHeight="1">
      <c r="A689" s="10"/>
      <c r="B689" s="10"/>
      <c r="C689" s="13"/>
      <c r="D689" s="13"/>
      <c r="E689" s="13"/>
      <c r="F689" s="185"/>
      <c r="G689" s="13"/>
      <c r="H689" s="13"/>
      <c r="I689" s="13"/>
      <c r="J689" s="13"/>
      <c r="K689" s="13"/>
      <c r="L689" s="13"/>
      <c r="M689" s="13"/>
      <c r="N689" s="13"/>
      <c r="O689" s="13"/>
      <c r="P689" s="13"/>
      <c r="Q689" s="13"/>
      <c r="R689" s="13"/>
      <c r="S689" s="13"/>
      <c r="T689" s="13"/>
      <c r="U689" s="13"/>
      <c r="V689" s="13"/>
      <c r="W689" s="13"/>
      <c r="X689" s="13"/>
      <c r="Y689" s="13"/>
      <c r="Z689" s="13"/>
      <c r="AA689" s="13"/>
    </row>
    <row r="690" ht="16.5" customHeight="1">
      <c r="A690" s="10"/>
      <c r="B690" s="10"/>
      <c r="C690" s="13"/>
      <c r="D690" s="13"/>
      <c r="E690" s="13"/>
      <c r="F690" s="185"/>
      <c r="G690" s="13"/>
      <c r="H690" s="13"/>
      <c r="I690" s="13"/>
      <c r="J690" s="13"/>
      <c r="K690" s="13"/>
      <c r="L690" s="13"/>
      <c r="M690" s="13"/>
      <c r="N690" s="13"/>
      <c r="O690" s="13"/>
      <c r="P690" s="13"/>
      <c r="Q690" s="13"/>
      <c r="R690" s="13"/>
      <c r="S690" s="13"/>
      <c r="T690" s="13"/>
      <c r="U690" s="13"/>
      <c r="V690" s="13"/>
      <c r="W690" s="13"/>
      <c r="X690" s="13"/>
      <c r="Y690" s="13"/>
      <c r="Z690" s="13"/>
      <c r="AA690" s="13"/>
    </row>
    <row r="691" ht="16.5" customHeight="1">
      <c r="A691" s="10"/>
      <c r="B691" s="10"/>
      <c r="C691" s="13"/>
      <c r="D691" s="13"/>
      <c r="E691" s="13"/>
      <c r="F691" s="185"/>
      <c r="G691" s="13"/>
      <c r="H691" s="13"/>
      <c r="I691" s="13"/>
      <c r="J691" s="13"/>
      <c r="K691" s="13"/>
      <c r="L691" s="13"/>
      <c r="M691" s="13"/>
      <c r="N691" s="13"/>
      <c r="O691" s="13"/>
      <c r="P691" s="13"/>
      <c r="Q691" s="13"/>
      <c r="R691" s="13"/>
      <c r="S691" s="13"/>
      <c r="T691" s="13"/>
      <c r="U691" s="13"/>
      <c r="V691" s="13"/>
      <c r="W691" s="13"/>
      <c r="X691" s="13"/>
      <c r="Y691" s="13"/>
      <c r="Z691" s="13"/>
      <c r="AA691" s="13"/>
    </row>
    <row r="692" ht="16.5" customHeight="1">
      <c r="A692" s="10"/>
      <c r="B692" s="10"/>
      <c r="C692" s="13"/>
      <c r="D692" s="13"/>
      <c r="E692" s="13"/>
      <c r="F692" s="185"/>
      <c r="G692" s="13"/>
      <c r="H692" s="13"/>
      <c r="I692" s="13"/>
      <c r="J692" s="13"/>
      <c r="K692" s="13"/>
      <c r="L692" s="13"/>
      <c r="M692" s="13"/>
      <c r="N692" s="13"/>
      <c r="O692" s="13"/>
      <c r="P692" s="13"/>
      <c r="Q692" s="13"/>
      <c r="R692" s="13"/>
      <c r="S692" s="13"/>
      <c r="T692" s="13"/>
      <c r="U692" s="13"/>
      <c r="V692" s="13"/>
      <c r="W692" s="13"/>
      <c r="X692" s="13"/>
      <c r="Y692" s="13"/>
      <c r="Z692" s="13"/>
      <c r="AA692" s="13"/>
    </row>
    <row r="693" ht="16.5" customHeight="1">
      <c r="A693" s="10"/>
      <c r="B693" s="10"/>
      <c r="C693" s="13"/>
      <c r="D693" s="13"/>
      <c r="E693" s="13"/>
      <c r="F693" s="185"/>
      <c r="G693" s="13"/>
      <c r="H693" s="13"/>
      <c r="I693" s="13"/>
      <c r="J693" s="13"/>
      <c r="K693" s="13"/>
      <c r="L693" s="13"/>
      <c r="M693" s="13"/>
      <c r="N693" s="13"/>
      <c r="O693" s="13"/>
      <c r="P693" s="13"/>
      <c r="Q693" s="13"/>
      <c r="R693" s="13"/>
      <c r="S693" s="13"/>
      <c r="T693" s="13"/>
      <c r="U693" s="13"/>
      <c r="V693" s="13"/>
      <c r="W693" s="13"/>
      <c r="X693" s="13"/>
      <c r="Y693" s="13"/>
      <c r="Z693" s="13"/>
      <c r="AA693" s="13"/>
    </row>
    <row r="694" ht="16.5" customHeight="1">
      <c r="A694" s="10"/>
      <c r="B694" s="10"/>
      <c r="C694" s="13"/>
      <c r="D694" s="13"/>
      <c r="E694" s="13"/>
      <c r="F694" s="185"/>
      <c r="G694" s="13"/>
      <c r="H694" s="13"/>
      <c r="I694" s="13"/>
      <c r="J694" s="13"/>
      <c r="K694" s="13"/>
      <c r="L694" s="13"/>
      <c r="M694" s="13"/>
      <c r="N694" s="13"/>
      <c r="O694" s="13"/>
      <c r="P694" s="13"/>
      <c r="Q694" s="13"/>
      <c r="R694" s="13"/>
      <c r="S694" s="13"/>
      <c r="T694" s="13"/>
      <c r="U694" s="13"/>
      <c r="V694" s="13"/>
      <c r="W694" s="13"/>
      <c r="X694" s="13"/>
      <c r="Y694" s="13"/>
      <c r="Z694" s="13"/>
      <c r="AA694" s="13"/>
    </row>
    <row r="695" ht="16.5" customHeight="1">
      <c r="A695" s="10"/>
      <c r="B695" s="10"/>
      <c r="C695" s="13"/>
      <c r="D695" s="13"/>
      <c r="E695" s="13"/>
      <c r="F695" s="185"/>
      <c r="G695" s="13"/>
      <c r="H695" s="13"/>
      <c r="I695" s="13"/>
      <c r="J695" s="13"/>
      <c r="K695" s="13"/>
      <c r="L695" s="13"/>
      <c r="M695" s="13"/>
      <c r="N695" s="13"/>
      <c r="O695" s="13"/>
      <c r="P695" s="13"/>
      <c r="Q695" s="13"/>
      <c r="R695" s="13"/>
      <c r="S695" s="13"/>
      <c r="T695" s="13"/>
      <c r="U695" s="13"/>
      <c r="V695" s="13"/>
      <c r="W695" s="13"/>
      <c r="X695" s="13"/>
      <c r="Y695" s="13"/>
      <c r="Z695" s="13"/>
      <c r="AA695" s="13"/>
    </row>
    <row r="696" ht="16.5" customHeight="1">
      <c r="A696" s="10"/>
      <c r="B696" s="10"/>
      <c r="C696" s="13"/>
      <c r="D696" s="13"/>
      <c r="E696" s="13"/>
      <c r="F696" s="185"/>
      <c r="G696" s="13"/>
      <c r="H696" s="13"/>
      <c r="I696" s="13"/>
      <c r="J696" s="13"/>
      <c r="K696" s="13"/>
      <c r="L696" s="13"/>
      <c r="M696" s="13"/>
      <c r="N696" s="13"/>
      <c r="O696" s="13"/>
      <c r="P696" s="13"/>
      <c r="Q696" s="13"/>
      <c r="R696" s="13"/>
      <c r="S696" s="13"/>
      <c r="T696" s="13"/>
      <c r="U696" s="13"/>
      <c r="V696" s="13"/>
      <c r="W696" s="13"/>
      <c r="X696" s="13"/>
      <c r="Y696" s="13"/>
      <c r="Z696" s="13"/>
      <c r="AA696" s="13"/>
    </row>
    <row r="697" ht="16.5" customHeight="1">
      <c r="A697" s="10"/>
      <c r="B697" s="10"/>
      <c r="C697" s="13"/>
      <c r="D697" s="13"/>
      <c r="E697" s="13"/>
      <c r="F697" s="185"/>
      <c r="G697" s="13"/>
      <c r="H697" s="13"/>
      <c r="I697" s="13"/>
      <c r="J697" s="13"/>
      <c r="K697" s="13"/>
      <c r="L697" s="13"/>
      <c r="M697" s="13"/>
      <c r="N697" s="13"/>
      <c r="O697" s="13"/>
      <c r="P697" s="13"/>
      <c r="Q697" s="13"/>
      <c r="R697" s="13"/>
      <c r="S697" s="13"/>
      <c r="T697" s="13"/>
      <c r="U697" s="13"/>
      <c r="V697" s="13"/>
      <c r="W697" s="13"/>
      <c r="X697" s="13"/>
      <c r="Y697" s="13"/>
      <c r="Z697" s="13"/>
      <c r="AA697" s="13"/>
    </row>
    <row r="698" ht="16.5" customHeight="1">
      <c r="A698" s="10"/>
      <c r="B698" s="10"/>
      <c r="C698" s="13"/>
      <c r="D698" s="13"/>
      <c r="E698" s="13"/>
      <c r="F698" s="185"/>
      <c r="G698" s="13"/>
      <c r="H698" s="13"/>
      <c r="I698" s="13"/>
      <c r="J698" s="13"/>
      <c r="K698" s="13"/>
      <c r="L698" s="13"/>
      <c r="M698" s="13"/>
      <c r="N698" s="13"/>
      <c r="O698" s="13"/>
      <c r="P698" s="13"/>
      <c r="Q698" s="13"/>
      <c r="R698" s="13"/>
      <c r="S698" s="13"/>
      <c r="T698" s="13"/>
      <c r="U698" s="13"/>
      <c r="V698" s="13"/>
      <c r="W698" s="13"/>
      <c r="X698" s="13"/>
      <c r="Y698" s="13"/>
      <c r="Z698" s="13"/>
      <c r="AA698" s="13"/>
    </row>
    <row r="699" ht="16.5" customHeight="1">
      <c r="A699" s="10"/>
      <c r="B699" s="10"/>
      <c r="C699" s="13"/>
      <c r="D699" s="13"/>
      <c r="E699" s="13"/>
      <c r="F699" s="185"/>
      <c r="G699" s="13"/>
      <c r="H699" s="13"/>
      <c r="I699" s="13"/>
      <c r="J699" s="13"/>
      <c r="K699" s="13"/>
      <c r="L699" s="13"/>
      <c r="M699" s="13"/>
      <c r="N699" s="13"/>
      <c r="O699" s="13"/>
      <c r="P699" s="13"/>
      <c r="Q699" s="13"/>
      <c r="R699" s="13"/>
      <c r="S699" s="13"/>
      <c r="T699" s="13"/>
      <c r="U699" s="13"/>
      <c r="V699" s="13"/>
      <c r="W699" s="13"/>
      <c r="X699" s="13"/>
      <c r="Y699" s="13"/>
      <c r="Z699" s="13"/>
      <c r="AA699" s="13"/>
    </row>
    <row r="700" ht="16.5" customHeight="1">
      <c r="A700" s="10"/>
      <c r="B700" s="10"/>
      <c r="C700" s="13"/>
      <c r="D700" s="13"/>
      <c r="E700" s="13"/>
      <c r="F700" s="185"/>
      <c r="G700" s="13"/>
      <c r="H700" s="13"/>
      <c r="I700" s="13"/>
      <c r="J700" s="13"/>
      <c r="K700" s="13"/>
      <c r="L700" s="13"/>
      <c r="M700" s="13"/>
      <c r="N700" s="13"/>
      <c r="O700" s="13"/>
      <c r="P700" s="13"/>
      <c r="Q700" s="13"/>
      <c r="R700" s="13"/>
      <c r="S700" s="13"/>
      <c r="T700" s="13"/>
      <c r="U700" s="13"/>
      <c r="V700" s="13"/>
      <c r="W700" s="13"/>
      <c r="X700" s="13"/>
      <c r="Y700" s="13"/>
      <c r="Z700" s="13"/>
      <c r="AA700" s="13"/>
    </row>
    <row r="701" ht="16.5" customHeight="1">
      <c r="A701" s="10"/>
      <c r="B701" s="10"/>
      <c r="C701" s="13"/>
      <c r="D701" s="13"/>
      <c r="E701" s="13"/>
      <c r="F701" s="185"/>
      <c r="G701" s="13"/>
      <c r="H701" s="13"/>
      <c r="I701" s="13"/>
      <c r="J701" s="13"/>
      <c r="K701" s="13"/>
      <c r="L701" s="13"/>
      <c r="M701" s="13"/>
      <c r="N701" s="13"/>
      <c r="O701" s="13"/>
      <c r="P701" s="13"/>
      <c r="Q701" s="13"/>
      <c r="R701" s="13"/>
      <c r="S701" s="13"/>
      <c r="T701" s="13"/>
      <c r="U701" s="13"/>
      <c r="V701" s="13"/>
      <c r="W701" s="13"/>
      <c r="X701" s="13"/>
      <c r="Y701" s="13"/>
      <c r="Z701" s="13"/>
      <c r="AA701" s="13"/>
    </row>
    <row r="702" ht="16.5" customHeight="1">
      <c r="A702" s="10"/>
      <c r="B702" s="10"/>
      <c r="C702" s="13"/>
      <c r="D702" s="13"/>
      <c r="E702" s="13"/>
      <c r="F702" s="185"/>
      <c r="G702" s="13"/>
      <c r="H702" s="13"/>
      <c r="I702" s="13"/>
      <c r="J702" s="13"/>
      <c r="K702" s="13"/>
      <c r="L702" s="13"/>
      <c r="M702" s="13"/>
      <c r="N702" s="13"/>
      <c r="O702" s="13"/>
      <c r="P702" s="13"/>
      <c r="Q702" s="13"/>
      <c r="R702" s="13"/>
      <c r="S702" s="13"/>
      <c r="T702" s="13"/>
      <c r="U702" s="13"/>
      <c r="V702" s="13"/>
      <c r="W702" s="13"/>
      <c r="X702" s="13"/>
      <c r="Y702" s="13"/>
      <c r="Z702" s="13"/>
      <c r="AA702" s="13"/>
    </row>
    <row r="703" ht="16.5" customHeight="1">
      <c r="A703" s="10"/>
      <c r="B703" s="10"/>
      <c r="C703" s="13"/>
      <c r="D703" s="13"/>
      <c r="E703" s="13"/>
      <c r="F703" s="185"/>
      <c r="G703" s="13"/>
      <c r="H703" s="13"/>
      <c r="I703" s="13"/>
      <c r="J703" s="13"/>
      <c r="K703" s="13"/>
      <c r="L703" s="13"/>
      <c r="M703" s="13"/>
      <c r="N703" s="13"/>
      <c r="O703" s="13"/>
      <c r="P703" s="13"/>
      <c r="Q703" s="13"/>
      <c r="R703" s="13"/>
      <c r="S703" s="13"/>
      <c r="T703" s="13"/>
      <c r="U703" s="13"/>
      <c r="V703" s="13"/>
      <c r="W703" s="13"/>
      <c r="X703" s="13"/>
      <c r="Y703" s="13"/>
      <c r="Z703" s="13"/>
      <c r="AA703" s="13"/>
    </row>
    <row r="704" ht="16.5" customHeight="1">
      <c r="A704" s="10"/>
      <c r="B704" s="10"/>
      <c r="C704" s="13"/>
      <c r="D704" s="13"/>
      <c r="E704" s="13"/>
      <c r="F704" s="185"/>
      <c r="G704" s="13"/>
      <c r="H704" s="13"/>
      <c r="I704" s="13"/>
      <c r="J704" s="13"/>
      <c r="K704" s="13"/>
      <c r="L704" s="13"/>
      <c r="M704" s="13"/>
      <c r="N704" s="13"/>
      <c r="O704" s="13"/>
      <c r="P704" s="13"/>
      <c r="Q704" s="13"/>
      <c r="R704" s="13"/>
      <c r="S704" s="13"/>
      <c r="T704" s="13"/>
      <c r="U704" s="13"/>
      <c r="V704" s="13"/>
      <c r="W704" s="13"/>
      <c r="X704" s="13"/>
      <c r="Y704" s="13"/>
      <c r="Z704" s="13"/>
      <c r="AA704" s="13"/>
    </row>
    <row r="705" ht="16.5" customHeight="1">
      <c r="A705" s="10"/>
      <c r="B705" s="10"/>
      <c r="C705" s="13"/>
      <c r="D705" s="13"/>
      <c r="E705" s="13"/>
      <c r="F705" s="185"/>
      <c r="G705" s="13"/>
      <c r="H705" s="13"/>
      <c r="I705" s="13"/>
      <c r="J705" s="13"/>
      <c r="K705" s="13"/>
      <c r="L705" s="13"/>
      <c r="M705" s="13"/>
      <c r="N705" s="13"/>
      <c r="O705" s="13"/>
      <c r="P705" s="13"/>
      <c r="Q705" s="13"/>
      <c r="R705" s="13"/>
      <c r="S705" s="13"/>
      <c r="T705" s="13"/>
      <c r="U705" s="13"/>
      <c r="V705" s="13"/>
      <c r="W705" s="13"/>
      <c r="X705" s="13"/>
      <c r="Y705" s="13"/>
      <c r="Z705" s="13"/>
      <c r="AA705" s="13"/>
    </row>
    <row r="706" ht="16.5" customHeight="1">
      <c r="A706" s="10"/>
      <c r="B706" s="10"/>
      <c r="C706" s="13"/>
      <c r="D706" s="13"/>
      <c r="E706" s="13"/>
      <c r="F706" s="185"/>
      <c r="G706" s="13"/>
      <c r="H706" s="13"/>
      <c r="I706" s="13"/>
      <c r="J706" s="13"/>
      <c r="K706" s="13"/>
      <c r="L706" s="13"/>
      <c r="M706" s="13"/>
      <c r="N706" s="13"/>
      <c r="O706" s="13"/>
      <c r="P706" s="13"/>
      <c r="Q706" s="13"/>
      <c r="R706" s="13"/>
      <c r="S706" s="13"/>
      <c r="T706" s="13"/>
      <c r="U706" s="13"/>
      <c r="V706" s="13"/>
      <c r="W706" s="13"/>
      <c r="X706" s="13"/>
      <c r="Y706" s="13"/>
      <c r="Z706" s="13"/>
      <c r="AA706" s="13"/>
    </row>
    <row r="707" ht="16.5" customHeight="1">
      <c r="A707" s="10"/>
      <c r="B707" s="10"/>
      <c r="C707" s="13"/>
      <c r="D707" s="13"/>
      <c r="E707" s="13"/>
      <c r="F707" s="185"/>
      <c r="G707" s="13"/>
      <c r="H707" s="13"/>
      <c r="I707" s="13"/>
      <c r="J707" s="13"/>
      <c r="K707" s="13"/>
      <c r="L707" s="13"/>
      <c r="M707" s="13"/>
      <c r="N707" s="13"/>
      <c r="O707" s="13"/>
      <c r="P707" s="13"/>
      <c r="Q707" s="13"/>
      <c r="R707" s="13"/>
      <c r="S707" s="13"/>
      <c r="T707" s="13"/>
      <c r="U707" s="13"/>
      <c r="V707" s="13"/>
      <c r="W707" s="13"/>
      <c r="X707" s="13"/>
      <c r="Y707" s="13"/>
      <c r="Z707" s="13"/>
      <c r="AA707" s="13"/>
    </row>
    <row r="708" ht="16.5" customHeight="1">
      <c r="A708" s="10"/>
      <c r="B708" s="10"/>
      <c r="C708" s="13"/>
      <c r="D708" s="13"/>
      <c r="E708" s="13"/>
      <c r="F708" s="185"/>
      <c r="G708" s="13"/>
      <c r="H708" s="13"/>
      <c r="I708" s="13"/>
      <c r="J708" s="13"/>
      <c r="K708" s="13"/>
      <c r="L708" s="13"/>
      <c r="M708" s="13"/>
      <c r="N708" s="13"/>
      <c r="O708" s="13"/>
      <c r="P708" s="13"/>
      <c r="Q708" s="13"/>
      <c r="R708" s="13"/>
      <c r="S708" s="13"/>
      <c r="T708" s="13"/>
      <c r="U708" s="13"/>
      <c r="V708" s="13"/>
      <c r="W708" s="13"/>
      <c r="X708" s="13"/>
      <c r="Y708" s="13"/>
      <c r="Z708" s="13"/>
      <c r="AA708" s="13"/>
    </row>
    <row r="709" ht="16.5" customHeight="1">
      <c r="A709" s="10"/>
      <c r="B709" s="10"/>
      <c r="C709" s="13"/>
      <c r="D709" s="13"/>
      <c r="E709" s="13"/>
      <c r="F709" s="185"/>
      <c r="G709" s="13"/>
      <c r="H709" s="13"/>
      <c r="I709" s="13"/>
      <c r="J709" s="13"/>
      <c r="K709" s="13"/>
      <c r="L709" s="13"/>
      <c r="M709" s="13"/>
      <c r="N709" s="13"/>
      <c r="O709" s="13"/>
      <c r="P709" s="13"/>
      <c r="Q709" s="13"/>
      <c r="R709" s="13"/>
      <c r="S709" s="13"/>
      <c r="T709" s="13"/>
      <c r="U709" s="13"/>
      <c r="V709" s="13"/>
      <c r="W709" s="13"/>
      <c r="X709" s="13"/>
      <c r="Y709" s="13"/>
      <c r="Z709" s="13"/>
      <c r="AA709" s="13"/>
    </row>
    <row r="710" ht="16.5" customHeight="1">
      <c r="A710" s="10"/>
      <c r="B710" s="10"/>
      <c r="C710" s="13"/>
      <c r="D710" s="13"/>
      <c r="E710" s="13"/>
      <c r="F710" s="185"/>
      <c r="G710" s="13"/>
      <c r="H710" s="13"/>
      <c r="I710" s="13"/>
      <c r="J710" s="13"/>
      <c r="K710" s="13"/>
      <c r="L710" s="13"/>
      <c r="M710" s="13"/>
      <c r="N710" s="13"/>
      <c r="O710" s="13"/>
      <c r="P710" s="13"/>
      <c r="Q710" s="13"/>
      <c r="R710" s="13"/>
      <c r="S710" s="13"/>
      <c r="T710" s="13"/>
      <c r="U710" s="13"/>
      <c r="V710" s="13"/>
      <c r="W710" s="13"/>
      <c r="X710" s="13"/>
      <c r="Y710" s="13"/>
      <c r="Z710" s="13"/>
      <c r="AA710" s="13"/>
    </row>
    <row r="711" ht="16.5" customHeight="1">
      <c r="A711" s="10"/>
      <c r="B711" s="10"/>
      <c r="C711" s="13"/>
      <c r="D711" s="13"/>
      <c r="E711" s="13"/>
      <c r="F711" s="185"/>
      <c r="G711" s="13"/>
      <c r="H711" s="13"/>
      <c r="I711" s="13"/>
      <c r="J711" s="13"/>
      <c r="K711" s="13"/>
      <c r="L711" s="13"/>
      <c r="M711" s="13"/>
      <c r="N711" s="13"/>
      <c r="O711" s="13"/>
      <c r="P711" s="13"/>
      <c r="Q711" s="13"/>
      <c r="R711" s="13"/>
      <c r="S711" s="13"/>
      <c r="T711" s="13"/>
      <c r="U711" s="13"/>
      <c r="V711" s="13"/>
      <c r="W711" s="13"/>
      <c r="X711" s="13"/>
      <c r="Y711" s="13"/>
      <c r="Z711" s="13"/>
      <c r="AA711" s="13"/>
    </row>
    <row r="712" ht="16.5" customHeight="1">
      <c r="A712" s="10"/>
      <c r="B712" s="10"/>
      <c r="C712" s="13"/>
      <c r="D712" s="13"/>
      <c r="E712" s="13"/>
      <c r="F712" s="185"/>
      <c r="G712" s="13"/>
      <c r="H712" s="13"/>
      <c r="I712" s="13"/>
      <c r="J712" s="13"/>
      <c r="K712" s="13"/>
      <c r="L712" s="13"/>
      <c r="M712" s="13"/>
      <c r="N712" s="13"/>
      <c r="O712" s="13"/>
      <c r="P712" s="13"/>
      <c r="Q712" s="13"/>
      <c r="R712" s="13"/>
      <c r="S712" s="13"/>
      <c r="T712" s="13"/>
      <c r="U712" s="13"/>
      <c r="V712" s="13"/>
      <c r="W712" s="13"/>
      <c r="X712" s="13"/>
      <c r="Y712" s="13"/>
      <c r="Z712" s="13"/>
      <c r="AA712" s="13"/>
    </row>
    <row r="713" ht="16.5" customHeight="1">
      <c r="A713" s="10"/>
      <c r="B713" s="10"/>
      <c r="C713" s="13"/>
      <c r="D713" s="13"/>
      <c r="E713" s="13"/>
      <c r="F713" s="185"/>
      <c r="G713" s="13"/>
      <c r="H713" s="13"/>
      <c r="I713" s="13"/>
      <c r="J713" s="13"/>
      <c r="K713" s="13"/>
      <c r="L713" s="13"/>
      <c r="M713" s="13"/>
      <c r="N713" s="13"/>
      <c r="O713" s="13"/>
      <c r="P713" s="13"/>
      <c r="Q713" s="13"/>
      <c r="R713" s="13"/>
      <c r="S713" s="13"/>
      <c r="T713" s="13"/>
      <c r="U713" s="13"/>
      <c r="V713" s="13"/>
      <c r="W713" s="13"/>
      <c r="X713" s="13"/>
      <c r="Y713" s="13"/>
      <c r="Z713" s="13"/>
      <c r="AA713" s="13"/>
    </row>
    <row r="714" ht="16.5" customHeight="1">
      <c r="A714" s="10"/>
      <c r="B714" s="10"/>
      <c r="C714" s="13"/>
      <c r="D714" s="13"/>
      <c r="E714" s="13"/>
      <c r="F714" s="185"/>
      <c r="G714" s="13"/>
      <c r="H714" s="13"/>
      <c r="I714" s="13"/>
      <c r="J714" s="13"/>
      <c r="K714" s="13"/>
      <c r="L714" s="13"/>
      <c r="M714" s="13"/>
      <c r="N714" s="13"/>
      <c r="O714" s="13"/>
      <c r="P714" s="13"/>
      <c r="Q714" s="13"/>
      <c r="R714" s="13"/>
      <c r="S714" s="13"/>
      <c r="T714" s="13"/>
      <c r="U714" s="13"/>
      <c r="V714" s="13"/>
      <c r="W714" s="13"/>
      <c r="X714" s="13"/>
      <c r="Y714" s="13"/>
      <c r="Z714" s="13"/>
      <c r="AA714" s="13"/>
    </row>
    <row r="715" ht="16.5" customHeight="1">
      <c r="A715" s="10"/>
      <c r="B715" s="10"/>
      <c r="C715" s="13"/>
      <c r="D715" s="13"/>
      <c r="E715" s="13"/>
      <c r="F715" s="185"/>
      <c r="G715" s="13"/>
      <c r="H715" s="13"/>
      <c r="I715" s="13"/>
      <c r="J715" s="13"/>
      <c r="K715" s="13"/>
      <c r="L715" s="13"/>
      <c r="M715" s="13"/>
      <c r="N715" s="13"/>
      <c r="O715" s="13"/>
      <c r="P715" s="13"/>
      <c r="Q715" s="13"/>
      <c r="R715" s="13"/>
      <c r="S715" s="13"/>
      <c r="T715" s="13"/>
      <c r="U715" s="13"/>
      <c r="V715" s="13"/>
      <c r="W715" s="13"/>
      <c r="X715" s="13"/>
      <c r="Y715" s="13"/>
      <c r="Z715" s="13"/>
      <c r="AA715" s="13"/>
    </row>
    <row r="716" ht="16.5" customHeight="1">
      <c r="A716" s="10"/>
      <c r="B716" s="10"/>
      <c r="C716" s="13"/>
      <c r="D716" s="13"/>
      <c r="E716" s="13"/>
      <c r="F716" s="185"/>
      <c r="G716" s="13"/>
      <c r="H716" s="13"/>
      <c r="I716" s="13"/>
      <c r="J716" s="13"/>
      <c r="K716" s="13"/>
      <c r="L716" s="13"/>
      <c r="M716" s="13"/>
      <c r="N716" s="13"/>
      <c r="O716" s="13"/>
      <c r="P716" s="13"/>
      <c r="Q716" s="13"/>
      <c r="R716" s="13"/>
      <c r="S716" s="13"/>
      <c r="T716" s="13"/>
      <c r="U716" s="13"/>
      <c r="V716" s="13"/>
      <c r="W716" s="13"/>
      <c r="X716" s="13"/>
      <c r="Y716" s="13"/>
      <c r="Z716" s="13"/>
      <c r="AA716" s="13"/>
    </row>
    <row r="717" ht="16.5" customHeight="1">
      <c r="A717" s="10"/>
      <c r="B717" s="10"/>
      <c r="C717" s="13"/>
      <c r="D717" s="13"/>
      <c r="E717" s="13"/>
      <c r="F717" s="185"/>
      <c r="G717" s="13"/>
      <c r="H717" s="13"/>
      <c r="I717" s="13"/>
      <c r="J717" s="13"/>
      <c r="K717" s="13"/>
      <c r="L717" s="13"/>
      <c r="M717" s="13"/>
      <c r="N717" s="13"/>
      <c r="O717" s="13"/>
      <c r="P717" s="13"/>
      <c r="Q717" s="13"/>
      <c r="R717" s="13"/>
      <c r="S717" s="13"/>
      <c r="T717" s="13"/>
      <c r="U717" s="13"/>
      <c r="V717" s="13"/>
      <c r="W717" s="13"/>
      <c r="X717" s="13"/>
      <c r="Y717" s="13"/>
      <c r="Z717" s="13"/>
      <c r="AA717" s="13"/>
    </row>
    <row r="718" ht="16.5" customHeight="1">
      <c r="A718" s="10"/>
      <c r="B718" s="10"/>
      <c r="C718" s="13"/>
      <c r="D718" s="13"/>
      <c r="E718" s="13"/>
      <c r="F718" s="185"/>
      <c r="G718" s="13"/>
      <c r="H718" s="13"/>
      <c r="I718" s="13"/>
      <c r="J718" s="13"/>
      <c r="K718" s="13"/>
      <c r="L718" s="13"/>
      <c r="M718" s="13"/>
      <c r="N718" s="13"/>
      <c r="O718" s="13"/>
      <c r="P718" s="13"/>
      <c r="Q718" s="13"/>
      <c r="R718" s="13"/>
      <c r="S718" s="13"/>
      <c r="T718" s="13"/>
      <c r="U718" s="13"/>
      <c r="V718" s="13"/>
      <c r="W718" s="13"/>
      <c r="X718" s="13"/>
      <c r="Y718" s="13"/>
      <c r="Z718" s="13"/>
      <c r="AA718" s="13"/>
    </row>
    <row r="719" ht="16.5" customHeight="1">
      <c r="A719" s="10"/>
      <c r="B719" s="10"/>
      <c r="C719" s="13"/>
      <c r="D719" s="13"/>
      <c r="E719" s="13"/>
      <c r="F719" s="185"/>
      <c r="G719" s="13"/>
      <c r="H719" s="13"/>
      <c r="I719" s="13"/>
      <c r="J719" s="13"/>
      <c r="K719" s="13"/>
      <c r="L719" s="13"/>
      <c r="M719" s="13"/>
      <c r="N719" s="13"/>
      <c r="O719" s="13"/>
      <c r="P719" s="13"/>
      <c r="Q719" s="13"/>
      <c r="R719" s="13"/>
      <c r="S719" s="13"/>
      <c r="T719" s="13"/>
      <c r="U719" s="13"/>
      <c r="V719" s="13"/>
      <c r="W719" s="13"/>
      <c r="X719" s="13"/>
      <c r="Y719" s="13"/>
      <c r="Z719" s="13"/>
      <c r="AA719" s="13"/>
    </row>
    <row r="720" ht="16.5" customHeight="1">
      <c r="A720" s="10"/>
      <c r="B720" s="10"/>
      <c r="C720" s="13"/>
      <c r="D720" s="13"/>
      <c r="E720" s="13"/>
      <c r="F720" s="185"/>
      <c r="G720" s="13"/>
      <c r="H720" s="13"/>
      <c r="I720" s="13"/>
      <c r="J720" s="13"/>
      <c r="K720" s="13"/>
      <c r="L720" s="13"/>
      <c r="M720" s="13"/>
      <c r="N720" s="13"/>
      <c r="O720" s="13"/>
      <c r="P720" s="13"/>
      <c r="Q720" s="13"/>
      <c r="R720" s="13"/>
      <c r="S720" s="13"/>
      <c r="T720" s="13"/>
      <c r="U720" s="13"/>
      <c r="V720" s="13"/>
      <c r="W720" s="13"/>
      <c r="X720" s="13"/>
      <c r="Y720" s="13"/>
      <c r="Z720" s="13"/>
      <c r="AA720" s="13"/>
    </row>
    <row r="721" ht="16.5" customHeight="1">
      <c r="A721" s="10"/>
      <c r="B721" s="10"/>
      <c r="C721" s="13"/>
      <c r="D721" s="13"/>
      <c r="E721" s="13"/>
      <c r="F721" s="185"/>
      <c r="G721" s="13"/>
      <c r="H721" s="13"/>
      <c r="I721" s="13"/>
      <c r="J721" s="13"/>
      <c r="K721" s="13"/>
      <c r="L721" s="13"/>
      <c r="M721" s="13"/>
      <c r="N721" s="13"/>
      <c r="O721" s="13"/>
      <c r="P721" s="13"/>
      <c r="Q721" s="13"/>
      <c r="R721" s="13"/>
      <c r="S721" s="13"/>
      <c r="T721" s="13"/>
      <c r="U721" s="13"/>
      <c r="V721" s="13"/>
      <c r="W721" s="13"/>
      <c r="X721" s="13"/>
      <c r="Y721" s="13"/>
      <c r="Z721" s="13"/>
      <c r="AA721" s="13"/>
    </row>
    <row r="722" ht="16.5" customHeight="1">
      <c r="A722" s="10"/>
      <c r="B722" s="10"/>
      <c r="C722" s="13"/>
      <c r="D722" s="13"/>
      <c r="E722" s="13"/>
      <c r="F722" s="185"/>
      <c r="G722" s="13"/>
      <c r="H722" s="13"/>
      <c r="I722" s="13"/>
      <c r="J722" s="13"/>
      <c r="K722" s="13"/>
      <c r="L722" s="13"/>
      <c r="M722" s="13"/>
      <c r="N722" s="13"/>
      <c r="O722" s="13"/>
      <c r="P722" s="13"/>
      <c r="Q722" s="13"/>
      <c r="R722" s="13"/>
      <c r="S722" s="13"/>
      <c r="T722" s="13"/>
      <c r="U722" s="13"/>
      <c r="V722" s="13"/>
      <c r="W722" s="13"/>
      <c r="X722" s="13"/>
      <c r="Y722" s="13"/>
      <c r="Z722" s="13"/>
      <c r="AA722" s="13"/>
    </row>
    <row r="723" ht="16.5" customHeight="1">
      <c r="A723" s="10"/>
      <c r="B723" s="10"/>
      <c r="C723" s="13"/>
      <c r="D723" s="13"/>
      <c r="E723" s="13"/>
      <c r="F723" s="185"/>
      <c r="G723" s="13"/>
      <c r="H723" s="13"/>
      <c r="I723" s="13"/>
      <c r="J723" s="13"/>
      <c r="K723" s="13"/>
      <c r="L723" s="13"/>
      <c r="M723" s="13"/>
      <c r="N723" s="13"/>
      <c r="O723" s="13"/>
      <c r="P723" s="13"/>
      <c r="Q723" s="13"/>
      <c r="R723" s="13"/>
      <c r="S723" s="13"/>
      <c r="T723" s="13"/>
      <c r="U723" s="13"/>
      <c r="V723" s="13"/>
      <c r="W723" s="13"/>
      <c r="X723" s="13"/>
      <c r="Y723" s="13"/>
      <c r="Z723" s="13"/>
      <c r="AA723" s="13"/>
    </row>
    <row r="724" ht="16.5" customHeight="1">
      <c r="A724" s="10"/>
      <c r="B724" s="10"/>
      <c r="C724" s="13"/>
      <c r="D724" s="13"/>
      <c r="E724" s="13"/>
      <c r="F724" s="185"/>
      <c r="G724" s="13"/>
      <c r="H724" s="13"/>
      <c r="I724" s="13"/>
      <c r="J724" s="13"/>
      <c r="K724" s="13"/>
      <c r="L724" s="13"/>
      <c r="M724" s="13"/>
      <c r="N724" s="13"/>
      <c r="O724" s="13"/>
      <c r="P724" s="13"/>
      <c r="Q724" s="13"/>
      <c r="R724" s="13"/>
      <c r="S724" s="13"/>
      <c r="T724" s="13"/>
      <c r="U724" s="13"/>
      <c r="V724" s="13"/>
      <c r="W724" s="13"/>
      <c r="X724" s="13"/>
      <c r="Y724" s="13"/>
      <c r="Z724" s="13"/>
      <c r="AA724" s="13"/>
    </row>
    <row r="725" ht="16.5" customHeight="1">
      <c r="A725" s="10"/>
      <c r="B725" s="10"/>
      <c r="C725" s="13"/>
      <c r="D725" s="13"/>
      <c r="E725" s="13"/>
      <c r="F725" s="185"/>
      <c r="G725" s="13"/>
      <c r="H725" s="13"/>
      <c r="I725" s="13"/>
      <c r="J725" s="13"/>
      <c r="K725" s="13"/>
      <c r="L725" s="13"/>
      <c r="M725" s="13"/>
      <c r="N725" s="13"/>
      <c r="O725" s="13"/>
      <c r="P725" s="13"/>
      <c r="Q725" s="13"/>
      <c r="R725" s="13"/>
      <c r="S725" s="13"/>
      <c r="T725" s="13"/>
      <c r="U725" s="13"/>
      <c r="V725" s="13"/>
      <c r="W725" s="13"/>
      <c r="X725" s="13"/>
      <c r="Y725" s="13"/>
      <c r="Z725" s="13"/>
      <c r="AA725" s="13"/>
    </row>
    <row r="726" ht="16.5" customHeight="1">
      <c r="A726" s="10"/>
      <c r="B726" s="10"/>
      <c r="C726" s="13"/>
      <c r="D726" s="13"/>
      <c r="E726" s="13"/>
      <c r="F726" s="185"/>
      <c r="G726" s="13"/>
      <c r="H726" s="13"/>
      <c r="I726" s="13"/>
      <c r="J726" s="13"/>
      <c r="K726" s="13"/>
      <c r="L726" s="13"/>
      <c r="M726" s="13"/>
      <c r="N726" s="13"/>
      <c r="O726" s="13"/>
      <c r="P726" s="13"/>
      <c r="Q726" s="13"/>
      <c r="R726" s="13"/>
      <c r="S726" s="13"/>
      <c r="T726" s="13"/>
      <c r="U726" s="13"/>
      <c r="V726" s="13"/>
      <c r="W726" s="13"/>
      <c r="X726" s="13"/>
      <c r="Y726" s="13"/>
      <c r="Z726" s="13"/>
      <c r="AA726" s="13"/>
    </row>
    <row r="727" ht="16.5" customHeight="1">
      <c r="A727" s="10"/>
      <c r="B727" s="10"/>
      <c r="C727" s="13"/>
      <c r="D727" s="13"/>
      <c r="E727" s="13"/>
      <c r="F727" s="185"/>
      <c r="G727" s="13"/>
      <c r="H727" s="13"/>
      <c r="I727" s="13"/>
      <c r="J727" s="13"/>
      <c r="K727" s="13"/>
      <c r="L727" s="13"/>
      <c r="M727" s="13"/>
      <c r="N727" s="13"/>
      <c r="O727" s="13"/>
      <c r="P727" s="13"/>
      <c r="Q727" s="13"/>
      <c r="R727" s="13"/>
      <c r="S727" s="13"/>
      <c r="T727" s="13"/>
      <c r="U727" s="13"/>
      <c r="V727" s="13"/>
      <c r="W727" s="13"/>
      <c r="X727" s="13"/>
      <c r="Y727" s="13"/>
      <c r="Z727" s="13"/>
      <c r="AA727" s="13"/>
    </row>
    <row r="728" ht="16.5" customHeight="1">
      <c r="A728" s="10"/>
      <c r="B728" s="10"/>
      <c r="C728" s="13"/>
      <c r="D728" s="13"/>
      <c r="E728" s="13"/>
      <c r="F728" s="185"/>
      <c r="G728" s="13"/>
      <c r="H728" s="13"/>
      <c r="I728" s="13"/>
      <c r="J728" s="13"/>
      <c r="K728" s="13"/>
      <c r="L728" s="13"/>
      <c r="M728" s="13"/>
      <c r="N728" s="13"/>
      <c r="O728" s="13"/>
      <c r="P728" s="13"/>
      <c r="Q728" s="13"/>
      <c r="R728" s="13"/>
      <c r="S728" s="13"/>
      <c r="T728" s="13"/>
      <c r="U728" s="13"/>
      <c r="V728" s="13"/>
      <c r="W728" s="13"/>
      <c r="X728" s="13"/>
      <c r="Y728" s="13"/>
      <c r="Z728" s="13"/>
      <c r="AA728" s="13"/>
    </row>
    <row r="729" ht="16.5" customHeight="1">
      <c r="A729" s="10"/>
      <c r="B729" s="10"/>
      <c r="C729" s="13"/>
      <c r="D729" s="13"/>
      <c r="E729" s="13"/>
      <c r="F729" s="185"/>
      <c r="G729" s="13"/>
      <c r="H729" s="13"/>
      <c r="I729" s="13"/>
      <c r="J729" s="13"/>
      <c r="K729" s="13"/>
      <c r="L729" s="13"/>
      <c r="M729" s="13"/>
      <c r="N729" s="13"/>
      <c r="O729" s="13"/>
      <c r="P729" s="13"/>
      <c r="Q729" s="13"/>
      <c r="R729" s="13"/>
      <c r="S729" s="13"/>
      <c r="T729" s="13"/>
      <c r="U729" s="13"/>
      <c r="V729" s="13"/>
      <c r="W729" s="13"/>
      <c r="X729" s="13"/>
      <c r="Y729" s="13"/>
      <c r="Z729" s="13"/>
      <c r="AA729" s="13"/>
    </row>
    <row r="730" ht="16.5" customHeight="1">
      <c r="A730" s="10"/>
      <c r="B730" s="10"/>
      <c r="C730" s="13"/>
      <c r="D730" s="13"/>
      <c r="E730" s="13"/>
      <c r="F730" s="185"/>
      <c r="G730" s="13"/>
      <c r="H730" s="13"/>
      <c r="I730" s="13"/>
      <c r="J730" s="13"/>
      <c r="K730" s="13"/>
      <c r="L730" s="13"/>
      <c r="M730" s="13"/>
      <c r="N730" s="13"/>
      <c r="O730" s="13"/>
      <c r="P730" s="13"/>
      <c r="Q730" s="13"/>
      <c r="R730" s="13"/>
      <c r="S730" s="13"/>
      <c r="T730" s="13"/>
      <c r="U730" s="13"/>
      <c r="V730" s="13"/>
      <c r="W730" s="13"/>
      <c r="X730" s="13"/>
      <c r="Y730" s="13"/>
      <c r="Z730" s="13"/>
      <c r="AA730" s="13"/>
    </row>
    <row r="731" ht="16.5" customHeight="1">
      <c r="A731" s="10"/>
      <c r="B731" s="10"/>
      <c r="C731" s="13"/>
      <c r="D731" s="13"/>
      <c r="E731" s="13"/>
      <c r="F731" s="185"/>
      <c r="G731" s="13"/>
      <c r="H731" s="13"/>
      <c r="I731" s="13"/>
      <c r="J731" s="13"/>
      <c r="K731" s="13"/>
      <c r="L731" s="13"/>
      <c r="M731" s="13"/>
      <c r="N731" s="13"/>
      <c r="O731" s="13"/>
      <c r="P731" s="13"/>
      <c r="Q731" s="13"/>
      <c r="R731" s="13"/>
      <c r="S731" s="13"/>
      <c r="T731" s="13"/>
      <c r="U731" s="13"/>
      <c r="V731" s="13"/>
      <c r="W731" s="13"/>
      <c r="X731" s="13"/>
      <c r="Y731" s="13"/>
      <c r="Z731" s="13"/>
      <c r="AA731" s="13"/>
    </row>
    <row r="732" ht="16.5" customHeight="1">
      <c r="A732" s="10"/>
      <c r="B732" s="10"/>
      <c r="C732" s="13"/>
      <c r="D732" s="13"/>
      <c r="E732" s="13"/>
      <c r="F732" s="185"/>
      <c r="G732" s="13"/>
      <c r="H732" s="13"/>
      <c r="I732" s="13"/>
      <c r="J732" s="13"/>
      <c r="K732" s="13"/>
      <c r="L732" s="13"/>
      <c r="M732" s="13"/>
      <c r="N732" s="13"/>
      <c r="O732" s="13"/>
      <c r="P732" s="13"/>
      <c r="Q732" s="13"/>
      <c r="R732" s="13"/>
      <c r="S732" s="13"/>
      <c r="T732" s="13"/>
      <c r="U732" s="13"/>
      <c r="V732" s="13"/>
      <c r="W732" s="13"/>
      <c r="X732" s="13"/>
      <c r="Y732" s="13"/>
      <c r="Z732" s="13"/>
      <c r="AA732" s="13"/>
    </row>
    <row r="733" ht="16.5" customHeight="1">
      <c r="A733" s="10"/>
      <c r="B733" s="10"/>
      <c r="C733" s="13"/>
      <c r="D733" s="13"/>
      <c r="E733" s="13"/>
      <c r="F733" s="185"/>
      <c r="G733" s="13"/>
      <c r="H733" s="13"/>
      <c r="I733" s="13"/>
      <c r="J733" s="13"/>
      <c r="K733" s="13"/>
      <c r="L733" s="13"/>
      <c r="M733" s="13"/>
      <c r="N733" s="13"/>
      <c r="O733" s="13"/>
      <c r="P733" s="13"/>
      <c r="Q733" s="13"/>
      <c r="R733" s="13"/>
      <c r="S733" s="13"/>
      <c r="T733" s="13"/>
      <c r="U733" s="13"/>
      <c r="V733" s="13"/>
      <c r="W733" s="13"/>
      <c r="X733" s="13"/>
      <c r="Y733" s="13"/>
      <c r="Z733" s="13"/>
      <c r="AA733" s="13"/>
    </row>
    <row r="734" ht="16.5" customHeight="1">
      <c r="A734" s="10"/>
      <c r="B734" s="10"/>
      <c r="C734" s="13"/>
      <c r="D734" s="13"/>
      <c r="E734" s="13"/>
      <c r="F734" s="185"/>
      <c r="G734" s="13"/>
      <c r="H734" s="13"/>
      <c r="I734" s="13"/>
      <c r="J734" s="13"/>
      <c r="K734" s="13"/>
      <c r="L734" s="13"/>
      <c r="M734" s="13"/>
      <c r="N734" s="13"/>
      <c r="O734" s="13"/>
      <c r="P734" s="13"/>
      <c r="Q734" s="13"/>
      <c r="R734" s="13"/>
      <c r="S734" s="13"/>
      <c r="T734" s="13"/>
      <c r="U734" s="13"/>
      <c r="V734" s="13"/>
      <c r="W734" s="13"/>
      <c r="X734" s="13"/>
      <c r="Y734" s="13"/>
      <c r="Z734" s="13"/>
      <c r="AA734" s="13"/>
    </row>
    <row r="735" ht="16.5" customHeight="1">
      <c r="A735" s="10"/>
      <c r="B735" s="10"/>
      <c r="C735" s="13"/>
      <c r="D735" s="13"/>
      <c r="E735" s="13"/>
      <c r="F735" s="185"/>
      <c r="G735" s="13"/>
      <c r="H735" s="13"/>
      <c r="I735" s="13"/>
      <c r="J735" s="13"/>
      <c r="K735" s="13"/>
      <c r="L735" s="13"/>
      <c r="M735" s="13"/>
      <c r="N735" s="13"/>
      <c r="O735" s="13"/>
      <c r="P735" s="13"/>
      <c r="Q735" s="13"/>
      <c r="R735" s="13"/>
      <c r="S735" s="13"/>
      <c r="T735" s="13"/>
      <c r="U735" s="13"/>
      <c r="V735" s="13"/>
      <c r="W735" s="13"/>
      <c r="X735" s="13"/>
      <c r="Y735" s="13"/>
      <c r="Z735" s="13"/>
      <c r="AA735" s="13"/>
    </row>
    <row r="736" ht="16.5" customHeight="1">
      <c r="A736" s="10"/>
      <c r="B736" s="10"/>
      <c r="C736" s="13"/>
      <c r="D736" s="13"/>
      <c r="E736" s="13"/>
      <c r="F736" s="185"/>
      <c r="G736" s="13"/>
      <c r="H736" s="13"/>
      <c r="I736" s="13"/>
      <c r="J736" s="13"/>
      <c r="K736" s="13"/>
      <c r="L736" s="13"/>
      <c r="M736" s="13"/>
      <c r="N736" s="13"/>
      <c r="O736" s="13"/>
      <c r="P736" s="13"/>
      <c r="Q736" s="13"/>
      <c r="R736" s="13"/>
      <c r="S736" s="13"/>
      <c r="T736" s="13"/>
      <c r="U736" s="13"/>
      <c r="V736" s="13"/>
      <c r="W736" s="13"/>
      <c r="X736" s="13"/>
      <c r="Y736" s="13"/>
      <c r="Z736" s="13"/>
      <c r="AA736" s="13"/>
    </row>
    <row r="737" ht="16.5" customHeight="1">
      <c r="A737" s="10"/>
      <c r="B737" s="10"/>
      <c r="C737" s="13"/>
      <c r="D737" s="13"/>
      <c r="E737" s="13"/>
      <c r="F737" s="185"/>
      <c r="G737" s="13"/>
      <c r="H737" s="13"/>
      <c r="I737" s="13"/>
      <c r="J737" s="13"/>
      <c r="K737" s="13"/>
      <c r="L737" s="13"/>
      <c r="M737" s="13"/>
      <c r="N737" s="13"/>
      <c r="O737" s="13"/>
      <c r="P737" s="13"/>
      <c r="Q737" s="13"/>
      <c r="R737" s="13"/>
      <c r="S737" s="13"/>
      <c r="T737" s="13"/>
      <c r="U737" s="13"/>
      <c r="V737" s="13"/>
      <c r="W737" s="13"/>
      <c r="X737" s="13"/>
      <c r="Y737" s="13"/>
      <c r="Z737" s="13"/>
      <c r="AA737" s="13"/>
    </row>
    <row r="738" ht="16.5" customHeight="1">
      <c r="A738" s="10"/>
      <c r="B738" s="10"/>
      <c r="C738" s="13"/>
      <c r="D738" s="13"/>
      <c r="E738" s="13"/>
      <c r="F738" s="185"/>
      <c r="G738" s="13"/>
      <c r="H738" s="13"/>
      <c r="I738" s="13"/>
      <c r="J738" s="13"/>
      <c r="K738" s="13"/>
      <c r="L738" s="13"/>
      <c r="M738" s="13"/>
      <c r="N738" s="13"/>
      <c r="O738" s="13"/>
      <c r="P738" s="13"/>
      <c r="Q738" s="13"/>
      <c r="R738" s="13"/>
      <c r="S738" s="13"/>
      <c r="T738" s="13"/>
      <c r="U738" s="13"/>
      <c r="V738" s="13"/>
      <c r="W738" s="13"/>
      <c r="X738" s="13"/>
      <c r="Y738" s="13"/>
      <c r="Z738" s="13"/>
      <c r="AA738" s="13"/>
    </row>
    <row r="739" ht="16.5" customHeight="1">
      <c r="A739" s="10"/>
      <c r="B739" s="10"/>
      <c r="C739" s="13"/>
      <c r="D739" s="13"/>
      <c r="E739" s="13"/>
      <c r="F739" s="185"/>
      <c r="G739" s="13"/>
      <c r="H739" s="13"/>
      <c r="I739" s="13"/>
      <c r="J739" s="13"/>
      <c r="K739" s="13"/>
      <c r="L739" s="13"/>
      <c r="M739" s="13"/>
      <c r="N739" s="13"/>
      <c r="O739" s="13"/>
      <c r="P739" s="13"/>
      <c r="Q739" s="13"/>
      <c r="R739" s="13"/>
      <c r="S739" s="13"/>
      <c r="T739" s="13"/>
      <c r="U739" s="13"/>
      <c r="V739" s="13"/>
      <c r="W739" s="13"/>
      <c r="X739" s="13"/>
      <c r="Y739" s="13"/>
      <c r="Z739" s="13"/>
      <c r="AA739" s="13"/>
    </row>
    <row r="740" ht="16.5" customHeight="1">
      <c r="A740" s="10"/>
      <c r="B740" s="10"/>
      <c r="C740" s="13"/>
      <c r="D740" s="13"/>
      <c r="E740" s="13"/>
      <c r="F740" s="185"/>
      <c r="G740" s="13"/>
      <c r="H740" s="13"/>
      <c r="I740" s="13"/>
      <c r="J740" s="13"/>
      <c r="K740" s="13"/>
      <c r="L740" s="13"/>
      <c r="M740" s="13"/>
      <c r="N740" s="13"/>
      <c r="O740" s="13"/>
      <c r="P740" s="13"/>
      <c r="Q740" s="13"/>
      <c r="R740" s="13"/>
      <c r="S740" s="13"/>
      <c r="T740" s="13"/>
      <c r="U740" s="13"/>
      <c r="V740" s="13"/>
      <c r="W740" s="13"/>
      <c r="X740" s="13"/>
      <c r="Y740" s="13"/>
      <c r="Z740" s="13"/>
      <c r="AA740" s="13"/>
    </row>
    <row r="741" ht="16.5" customHeight="1">
      <c r="A741" s="10"/>
      <c r="B741" s="10"/>
      <c r="C741" s="13"/>
      <c r="D741" s="13"/>
      <c r="E741" s="13"/>
      <c r="F741" s="185"/>
      <c r="G741" s="13"/>
      <c r="H741" s="13"/>
      <c r="I741" s="13"/>
      <c r="J741" s="13"/>
      <c r="K741" s="13"/>
      <c r="L741" s="13"/>
      <c r="M741" s="13"/>
      <c r="N741" s="13"/>
      <c r="O741" s="13"/>
      <c r="P741" s="13"/>
      <c r="Q741" s="13"/>
      <c r="R741" s="13"/>
      <c r="S741" s="13"/>
      <c r="T741" s="13"/>
      <c r="U741" s="13"/>
      <c r="V741" s="13"/>
      <c r="W741" s="13"/>
      <c r="X741" s="13"/>
      <c r="Y741" s="13"/>
      <c r="Z741" s="13"/>
      <c r="AA741" s="13"/>
    </row>
    <row r="742" ht="16.5" customHeight="1">
      <c r="A742" s="10"/>
      <c r="B742" s="10"/>
      <c r="C742" s="13"/>
      <c r="D742" s="13"/>
      <c r="E742" s="13"/>
      <c r="F742" s="185"/>
      <c r="G742" s="13"/>
      <c r="H742" s="13"/>
      <c r="I742" s="13"/>
      <c r="J742" s="13"/>
      <c r="K742" s="13"/>
      <c r="L742" s="13"/>
      <c r="M742" s="13"/>
      <c r="N742" s="13"/>
      <c r="O742" s="13"/>
      <c r="P742" s="13"/>
      <c r="Q742" s="13"/>
      <c r="R742" s="13"/>
      <c r="S742" s="13"/>
      <c r="T742" s="13"/>
      <c r="U742" s="13"/>
      <c r="V742" s="13"/>
      <c r="W742" s="13"/>
      <c r="X742" s="13"/>
      <c r="Y742" s="13"/>
      <c r="Z742" s="13"/>
      <c r="AA742" s="13"/>
    </row>
    <row r="743" ht="16.5" customHeight="1">
      <c r="A743" s="10"/>
      <c r="B743" s="10"/>
      <c r="C743" s="13"/>
      <c r="D743" s="13"/>
      <c r="E743" s="13"/>
      <c r="F743" s="185"/>
      <c r="G743" s="13"/>
      <c r="H743" s="13"/>
      <c r="I743" s="13"/>
      <c r="J743" s="13"/>
      <c r="K743" s="13"/>
      <c r="L743" s="13"/>
      <c r="M743" s="13"/>
      <c r="N743" s="13"/>
      <c r="O743" s="13"/>
      <c r="P743" s="13"/>
      <c r="Q743" s="13"/>
      <c r="R743" s="13"/>
      <c r="S743" s="13"/>
      <c r="T743" s="13"/>
      <c r="U743" s="13"/>
      <c r="V743" s="13"/>
      <c r="W743" s="13"/>
      <c r="X743" s="13"/>
      <c r="Y743" s="13"/>
      <c r="Z743" s="13"/>
      <c r="AA743" s="13"/>
    </row>
    <row r="744" ht="16.5" customHeight="1">
      <c r="A744" s="10"/>
      <c r="B744" s="10"/>
      <c r="C744" s="13"/>
      <c r="D744" s="13"/>
      <c r="E744" s="13"/>
      <c r="F744" s="185"/>
      <c r="G744" s="13"/>
      <c r="H744" s="13"/>
      <c r="I744" s="13"/>
      <c r="J744" s="13"/>
      <c r="K744" s="13"/>
      <c r="L744" s="13"/>
      <c r="M744" s="13"/>
      <c r="N744" s="13"/>
      <c r="O744" s="13"/>
      <c r="P744" s="13"/>
      <c r="Q744" s="13"/>
      <c r="R744" s="13"/>
      <c r="S744" s="13"/>
      <c r="T744" s="13"/>
      <c r="U744" s="13"/>
      <c r="V744" s="13"/>
      <c r="W744" s="13"/>
      <c r="X744" s="13"/>
      <c r="Y744" s="13"/>
      <c r="Z744" s="13"/>
      <c r="AA744" s="13"/>
    </row>
    <row r="745" ht="16.5" customHeight="1">
      <c r="A745" s="10"/>
      <c r="B745" s="10"/>
      <c r="C745" s="13"/>
      <c r="D745" s="13"/>
      <c r="E745" s="13"/>
      <c r="F745" s="185"/>
      <c r="G745" s="13"/>
      <c r="H745" s="13"/>
      <c r="I745" s="13"/>
      <c r="J745" s="13"/>
      <c r="K745" s="13"/>
      <c r="L745" s="13"/>
      <c r="M745" s="13"/>
      <c r="N745" s="13"/>
      <c r="O745" s="13"/>
      <c r="P745" s="13"/>
      <c r="Q745" s="13"/>
      <c r="R745" s="13"/>
      <c r="S745" s="13"/>
      <c r="T745" s="13"/>
      <c r="U745" s="13"/>
      <c r="V745" s="13"/>
      <c r="W745" s="13"/>
      <c r="X745" s="13"/>
      <c r="Y745" s="13"/>
      <c r="Z745" s="13"/>
      <c r="AA745" s="13"/>
    </row>
    <row r="746" ht="16.5" customHeight="1">
      <c r="A746" s="10"/>
      <c r="B746" s="10"/>
      <c r="C746" s="13"/>
      <c r="D746" s="13"/>
      <c r="E746" s="13"/>
      <c r="F746" s="185"/>
      <c r="G746" s="13"/>
      <c r="H746" s="13"/>
      <c r="I746" s="13"/>
      <c r="J746" s="13"/>
      <c r="K746" s="13"/>
      <c r="L746" s="13"/>
      <c r="M746" s="13"/>
      <c r="N746" s="13"/>
      <c r="O746" s="13"/>
      <c r="P746" s="13"/>
      <c r="Q746" s="13"/>
      <c r="R746" s="13"/>
      <c r="S746" s="13"/>
      <c r="T746" s="13"/>
      <c r="U746" s="13"/>
      <c r="V746" s="13"/>
      <c r="W746" s="13"/>
      <c r="X746" s="13"/>
      <c r="Y746" s="13"/>
      <c r="Z746" s="13"/>
      <c r="AA746" s="13"/>
    </row>
    <row r="747" ht="16.5" customHeight="1">
      <c r="A747" s="10"/>
      <c r="B747" s="10"/>
      <c r="C747" s="13"/>
      <c r="D747" s="13"/>
      <c r="E747" s="13"/>
      <c r="F747" s="185"/>
      <c r="G747" s="13"/>
      <c r="H747" s="13"/>
      <c r="I747" s="13"/>
      <c r="J747" s="13"/>
      <c r="K747" s="13"/>
      <c r="L747" s="13"/>
      <c r="M747" s="13"/>
      <c r="N747" s="13"/>
      <c r="O747" s="13"/>
      <c r="P747" s="13"/>
      <c r="Q747" s="13"/>
      <c r="R747" s="13"/>
      <c r="S747" s="13"/>
      <c r="T747" s="13"/>
      <c r="U747" s="13"/>
      <c r="V747" s="13"/>
      <c r="W747" s="13"/>
      <c r="X747" s="13"/>
      <c r="Y747" s="13"/>
      <c r="Z747" s="13"/>
      <c r="AA747" s="13"/>
    </row>
    <row r="748" ht="16.5" customHeight="1">
      <c r="A748" s="10"/>
      <c r="B748" s="10"/>
      <c r="C748" s="13"/>
      <c r="D748" s="13"/>
      <c r="E748" s="13"/>
      <c r="F748" s="185"/>
      <c r="G748" s="13"/>
      <c r="H748" s="13"/>
      <c r="I748" s="13"/>
      <c r="J748" s="13"/>
      <c r="K748" s="13"/>
      <c r="L748" s="13"/>
      <c r="M748" s="13"/>
      <c r="N748" s="13"/>
      <c r="O748" s="13"/>
      <c r="P748" s="13"/>
      <c r="Q748" s="13"/>
      <c r="R748" s="13"/>
      <c r="S748" s="13"/>
      <c r="T748" s="13"/>
      <c r="U748" s="13"/>
      <c r="V748" s="13"/>
      <c r="W748" s="13"/>
      <c r="X748" s="13"/>
      <c r="Y748" s="13"/>
      <c r="Z748" s="13"/>
      <c r="AA748" s="13"/>
    </row>
    <row r="749" ht="16.5" customHeight="1">
      <c r="A749" s="10"/>
      <c r="B749" s="10"/>
      <c r="C749" s="13"/>
      <c r="D749" s="13"/>
      <c r="E749" s="13"/>
      <c r="F749" s="185"/>
      <c r="G749" s="13"/>
      <c r="H749" s="13"/>
      <c r="I749" s="13"/>
      <c r="J749" s="13"/>
      <c r="K749" s="13"/>
      <c r="L749" s="13"/>
      <c r="M749" s="13"/>
      <c r="N749" s="13"/>
      <c r="O749" s="13"/>
      <c r="P749" s="13"/>
      <c r="Q749" s="13"/>
      <c r="R749" s="13"/>
      <c r="S749" s="13"/>
      <c r="T749" s="13"/>
      <c r="U749" s="13"/>
      <c r="V749" s="13"/>
      <c r="W749" s="13"/>
      <c r="X749" s="13"/>
      <c r="Y749" s="13"/>
      <c r="Z749" s="13"/>
      <c r="AA749" s="13"/>
    </row>
    <row r="750" ht="16.5" customHeight="1">
      <c r="A750" s="10"/>
      <c r="B750" s="10"/>
      <c r="C750" s="13"/>
      <c r="D750" s="13"/>
      <c r="E750" s="13"/>
      <c r="F750" s="185"/>
      <c r="G750" s="13"/>
      <c r="H750" s="13"/>
      <c r="I750" s="13"/>
      <c r="J750" s="13"/>
      <c r="K750" s="13"/>
      <c r="L750" s="13"/>
      <c r="M750" s="13"/>
      <c r="N750" s="13"/>
      <c r="O750" s="13"/>
      <c r="P750" s="13"/>
      <c r="Q750" s="13"/>
      <c r="R750" s="13"/>
      <c r="S750" s="13"/>
      <c r="T750" s="13"/>
      <c r="U750" s="13"/>
      <c r="V750" s="13"/>
      <c r="W750" s="13"/>
      <c r="X750" s="13"/>
      <c r="Y750" s="13"/>
      <c r="Z750" s="13"/>
      <c r="AA750" s="13"/>
    </row>
    <row r="751" ht="16.5" customHeight="1">
      <c r="A751" s="10"/>
      <c r="B751" s="10"/>
      <c r="C751" s="13"/>
      <c r="D751" s="13"/>
      <c r="E751" s="13"/>
      <c r="F751" s="185"/>
      <c r="G751" s="13"/>
      <c r="H751" s="13"/>
      <c r="I751" s="13"/>
      <c r="J751" s="13"/>
      <c r="K751" s="13"/>
      <c r="L751" s="13"/>
      <c r="M751" s="13"/>
      <c r="N751" s="13"/>
      <c r="O751" s="13"/>
      <c r="P751" s="13"/>
      <c r="Q751" s="13"/>
      <c r="R751" s="13"/>
      <c r="S751" s="13"/>
      <c r="T751" s="13"/>
      <c r="U751" s="13"/>
      <c r="V751" s="13"/>
      <c r="W751" s="13"/>
      <c r="X751" s="13"/>
      <c r="Y751" s="13"/>
      <c r="Z751" s="13"/>
      <c r="AA751" s="13"/>
    </row>
    <row r="752" ht="16.5" customHeight="1">
      <c r="A752" s="10"/>
      <c r="B752" s="10"/>
      <c r="C752" s="13"/>
      <c r="D752" s="13"/>
      <c r="E752" s="13"/>
      <c r="F752" s="185"/>
      <c r="G752" s="13"/>
      <c r="H752" s="13"/>
      <c r="I752" s="13"/>
      <c r="J752" s="13"/>
      <c r="K752" s="13"/>
      <c r="L752" s="13"/>
      <c r="M752" s="13"/>
      <c r="N752" s="13"/>
      <c r="O752" s="13"/>
      <c r="P752" s="13"/>
      <c r="Q752" s="13"/>
      <c r="R752" s="13"/>
      <c r="S752" s="13"/>
      <c r="T752" s="13"/>
      <c r="U752" s="13"/>
      <c r="V752" s="13"/>
      <c r="W752" s="13"/>
      <c r="X752" s="13"/>
      <c r="Y752" s="13"/>
      <c r="Z752" s="13"/>
      <c r="AA752" s="13"/>
    </row>
    <row r="753" ht="16.5" customHeight="1">
      <c r="A753" s="10"/>
      <c r="B753" s="10"/>
      <c r="C753" s="13"/>
      <c r="D753" s="13"/>
      <c r="E753" s="13"/>
      <c r="F753" s="185"/>
      <c r="G753" s="13"/>
      <c r="H753" s="13"/>
      <c r="I753" s="13"/>
      <c r="J753" s="13"/>
      <c r="K753" s="13"/>
      <c r="L753" s="13"/>
      <c r="M753" s="13"/>
      <c r="N753" s="13"/>
      <c r="O753" s="13"/>
      <c r="P753" s="13"/>
      <c r="Q753" s="13"/>
      <c r="R753" s="13"/>
      <c r="S753" s="13"/>
      <c r="T753" s="13"/>
      <c r="U753" s="13"/>
      <c r="V753" s="13"/>
      <c r="W753" s="13"/>
      <c r="X753" s="13"/>
      <c r="Y753" s="13"/>
      <c r="Z753" s="13"/>
      <c r="AA753" s="13"/>
    </row>
    <row r="754" ht="16.5" customHeight="1">
      <c r="A754" s="10"/>
      <c r="B754" s="10"/>
      <c r="C754" s="13"/>
      <c r="D754" s="13"/>
      <c r="E754" s="13"/>
      <c r="F754" s="185"/>
      <c r="G754" s="13"/>
      <c r="H754" s="13"/>
      <c r="I754" s="13"/>
      <c r="J754" s="13"/>
      <c r="K754" s="13"/>
      <c r="L754" s="13"/>
      <c r="M754" s="13"/>
      <c r="N754" s="13"/>
      <c r="O754" s="13"/>
      <c r="P754" s="13"/>
      <c r="Q754" s="13"/>
      <c r="R754" s="13"/>
      <c r="S754" s="13"/>
      <c r="T754" s="13"/>
      <c r="U754" s="13"/>
      <c r="V754" s="13"/>
      <c r="W754" s="13"/>
      <c r="X754" s="13"/>
      <c r="Y754" s="13"/>
      <c r="Z754" s="13"/>
      <c r="AA754" s="13"/>
    </row>
    <row r="755" ht="16.5" customHeight="1">
      <c r="A755" s="10"/>
      <c r="B755" s="10"/>
      <c r="C755" s="13"/>
      <c r="D755" s="13"/>
      <c r="E755" s="13"/>
      <c r="F755" s="185"/>
      <c r="G755" s="13"/>
      <c r="H755" s="13"/>
      <c r="I755" s="13"/>
      <c r="J755" s="13"/>
      <c r="K755" s="13"/>
      <c r="L755" s="13"/>
      <c r="M755" s="13"/>
      <c r="N755" s="13"/>
      <c r="O755" s="13"/>
      <c r="P755" s="13"/>
      <c r="Q755" s="13"/>
      <c r="R755" s="13"/>
      <c r="S755" s="13"/>
      <c r="T755" s="13"/>
      <c r="U755" s="13"/>
      <c r="V755" s="13"/>
      <c r="W755" s="13"/>
      <c r="X755" s="13"/>
      <c r="Y755" s="13"/>
      <c r="Z755" s="13"/>
      <c r="AA755" s="13"/>
    </row>
    <row r="756" ht="16.5" customHeight="1">
      <c r="A756" s="10"/>
      <c r="B756" s="10"/>
      <c r="C756" s="13"/>
      <c r="D756" s="13"/>
      <c r="E756" s="13"/>
      <c r="F756" s="185"/>
      <c r="G756" s="13"/>
      <c r="H756" s="13"/>
      <c r="I756" s="13"/>
      <c r="J756" s="13"/>
      <c r="K756" s="13"/>
      <c r="L756" s="13"/>
      <c r="M756" s="13"/>
      <c r="N756" s="13"/>
      <c r="O756" s="13"/>
      <c r="P756" s="13"/>
      <c r="Q756" s="13"/>
      <c r="R756" s="13"/>
      <c r="S756" s="13"/>
      <c r="T756" s="13"/>
      <c r="U756" s="13"/>
      <c r="V756" s="13"/>
      <c r="W756" s="13"/>
      <c r="X756" s="13"/>
      <c r="Y756" s="13"/>
      <c r="Z756" s="13"/>
      <c r="AA756" s="13"/>
    </row>
    <row r="757" ht="16.5" customHeight="1">
      <c r="A757" s="10"/>
      <c r="B757" s="10"/>
      <c r="C757" s="13"/>
      <c r="D757" s="13"/>
      <c r="E757" s="13"/>
      <c r="F757" s="185"/>
      <c r="G757" s="13"/>
      <c r="H757" s="13"/>
      <c r="I757" s="13"/>
      <c r="J757" s="13"/>
      <c r="K757" s="13"/>
      <c r="L757" s="13"/>
      <c r="M757" s="13"/>
      <c r="N757" s="13"/>
      <c r="O757" s="13"/>
      <c r="P757" s="13"/>
      <c r="Q757" s="13"/>
      <c r="R757" s="13"/>
      <c r="S757" s="13"/>
      <c r="T757" s="13"/>
      <c r="U757" s="13"/>
      <c r="V757" s="13"/>
      <c r="W757" s="13"/>
      <c r="X757" s="13"/>
      <c r="Y757" s="13"/>
      <c r="Z757" s="13"/>
      <c r="AA757" s="13"/>
    </row>
    <row r="758" ht="16.5" customHeight="1">
      <c r="A758" s="10"/>
      <c r="B758" s="10"/>
      <c r="C758" s="13"/>
      <c r="D758" s="13"/>
      <c r="E758" s="13"/>
      <c r="F758" s="185"/>
      <c r="G758" s="13"/>
      <c r="H758" s="13"/>
      <c r="I758" s="13"/>
      <c r="J758" s="13"/>
      <c r="K758" s="13"/>
      <c r="L758" s="13"/>
      <c r="M758" s="13"/>
      <c r="N758" s="13"/>
      <c r="O758" s="13"/>
      <c r="P758" s="13"/>
      <c r="Q758" s="13"/>
      <c r="R758" s="13"/>
      <c r="S758" s="13"/>
      <c r="T758" s="13"/>
      <c r="U758" s="13"/>
      <c r="V758" s="13"/>
      <c r="W758" s="13"/>
      <c r="X758" s="13"/>
      <c r="Y758" s="13"/>
      <c r="Z758" s="13"/>
      <c r="AA758" s="13"/>
    </row>
    <row r="759" ht="16.5" customHeight="1">
      <c r="A759" s="10"/>
      <c r="B759" s="10"/>
      <c r="C759" s="13"/>
      <c r="D759" s="13"/>
      <c r="E759" s="13"/>
      <c r="F759" s="185"/>
      <c r="G759" s="13"/>
      <c r="H759" s="13"/>
      <c r="I759" s="13"/>
      <c r="J759" s="13"/>
      <c r="K759" s="13"/>
      <c r="L759" s="13"/>
      <c r="M759" s="13"/>
      <c r="N759" s="13"/>
      <c r="O759" s="13"/>
      <c r="P759" s="13"/>
      <c r="Q759" s="13"/>
      <c r="R759" s="13"/>
      <c r="S759" s="13"/>
      <c r="T759" s="13"/>
      <c r="U759" s="13"/>
      <c r="V759" s="13"/>
      <c r="W759" s="13"/>
      <c r="X759" s="13"/>
      <c r="Y759" s="13"/>
      <c r="Z759" s="13"/>
      <c r="AA759" s="13"/>
    </row>
    <row r="760" ht="16.5" customHeight="1">
      <c r="A760" s="10"/>
      <c r="B760" s="10"/>
      <c r="C760" s="13"/>
      <c r="D760" s="13"/>
      <c r="E760" s="13"/>
      <c r="F760" s="185"/>
      <c r="G760" s="13"/>
      <c r="H760" s="13"/>
      <c r="I760" s="13"/>
      <c r="J760" s="13"/>
      <c r="K760" s="13"/>
      <c r="L760" s="13"/>
      <c r="M760" s="13"/>
      <c r="N760" s="13"/>
      <c r="O760" s="13"/>
      <c r="P760" s="13"/>
      <c r="Q760" s="13"/>
      <c r="R760" s="13"/>
      <c r="S760" s="13"/>
      <c r="T760" s="13"/>
      <c r="U760" s="13"/>
      <c r="V760" s="13"/>
      <c r="W760" s="13"/>
      <c r="X760" s="13"/>
      <c r="Y760" s="13"/>
      <c r="Z760" s="13"/>
      <c r="AA760" s="13"/>
    </row>
    <row r="761" ht="16.5" customHeight="1">
      <c r="A761" s="10"/>
      <c r="B761" s="10"/>
      <c r="C761" s="13"/>
      <c r="D761" s="13"/>
      <c r="E761" s="13"/>
      <c r="F761" s="185"/>
      <c r="G761" s="13"/>
      <c r="H761" s="13"/>
      <c r="I761" s="13"/>
      <c r="J761" s="13"/>
      <c r="K761" s="13"/>
      <c r="L761" s="13"/>
      <c r="M761" s="13"/>
      <c r="N761" s="13"/>
      <c r="O761" s="13"/>
      <c r="P761" s="13"/>
      <c r="Q761" s="13"/>
      <c r="R761" s="13"/>
      <c r="S761" s="13"/>
      <c r="T761" s="13"/>
      <c r="U761" s="13"/>
      <c r="V761" s="13"/>
      <c r="W761" s="13"/>
      <c r="X761" s="13"/>
      <c r="Y761" s="13"/>
      <c r="Z761" s="13"/>
      <c r="AA761" s="13"/>
    </row>
    <row r="762" ht="16.5" customHeight="1">
      <c r="A762" s="10"/>
      <c r="B762" s="10"/>
      <c r="C762" s="13"/>
      <c r="D762" s="13"/>
      <c r="E762" s="13"/>
      <c r="F762" s="185"/>
      <c r="G762" s="13"/>
      <c r="H762" s="13"/>
      <c r="I762" s="13"/>
      <c r="J762" s="13"/>
      <c r="K762" s="13"/>
      <c r="L762" s="13"/>
      <c r="M762" s="13"/>
      <c r="N762" s="13"/>
      <c r="O762" s="13"/>
      <c r="P762" s="13"/>
      <c r="Q762" s="13"/>
      <c r="R762" s="13"/>
      <c r="S762" s="13"/>
      <c r="T762" s="13"/>
      <c r="U762" s="13"/>
      <c r="V762" s="13"/>
      <c r="W762" s="13"/>
      <c r="X762" s="13"/>
      <c r="Y762" s="13"/>
      <c r="Z762" s="13"/>
      <c r="AA762" s="13"/>
    </row>
    <row r="763" ht="16.5" customHeight="1">
      <c r="A763" s="10"/>
      <c r="B763" s="10"/>
      <c r="C763" s="13"/>
      <c r="D763" s="13"/>
      <c r="E763" s="13"/>
      <c r="F763" s="185"/>
      <c r="G763" s="13"/>
      <c r="H763" s="13"/>
      <c r="I763" s="13"/>
      <c r="J763" s="13"/>
      <c r="K763" s="13"/>
      <c r="L763" s="13"/>
      <c r="M763" s="13"/>
      <c r="N763" s="13"/>
      <c r="O763" s="13"/>
      <c r="P763" s="13"/>
      <c r="Q763" s="13"/>
      <c r="R763" s="13"/>
      <c r="S763" s="13"/>
      <c r="T763" s="13"/>
      <c r="U763" s="13"/>
      <c r="V763" s="13"/>
      <c r="W763" s="13"/>
      <c r="X763" s="13"/>
      <c r="Y763" s="13"/>
      <c r="Z763" s="13"/>
      <c r="AA763" s="13"/>
    </row>
    <row r="764" ht="16.5" customHeight="1">
      <c r="A764" s="10"/>
      <c r="B764" s="10"/>
      <c r="C764" s="13"/>
      <c r="D764" s="13"/>
      <c r="E764" s="13"/>
      <c r="F764" s="185"/>
      <c r="G764" s="13"/>
      <c r="H764" s="13"/>
      <c r="I764" s="13"/>
      <c r="J764" s="13"/>
      <c r="K764" s="13"/>
      <c r="L764" s="13"/>
      <c r="M764" s="13"/>
      <c r="N764" s="13"/>
      <c r="O764" s="13"/>
      <c r="P764" s="13"/>
      <c r="Q764" s="13"/>
      <c r="R764" s="13"/>
      <c r="S764" s="13"/>
      <c r="T764" s="13"/>
      <c r="U764" s="13"/>
      <c r="V764" s="13"/>
      <c r="W764" s="13"/>
      <c r="X764" s="13"/>
      <c r="Y764" s="13"/>
      <c r="Z764" s="13"/>
      <c r="AA764" s="13"/>
    </row>
    <row r="765" ht="16.5" customHeight="1">
      <c r="A765" s="10"/>
      <c r="B765" s="10"/>
      <c r="C765" s="13"/>
      <c r="D765" s="13"/>
      <c r="E765" s="13"/>
      <c r="F765" s="185"/>
      <c r="G765" s="13"/>
      <c r="H765" s="13"/>
      <c r="I765" s="13"/>
      <c r="J765" s="13"/>
      <c r="K765" s="13"/>
      <c r="L765" s="13"/>
      <c r="M765" s="13"/>
      <c r="N765" s="13"/>
      <c r="O765" s="13"/>
      <c r="P765" s="13"/>
      <c r="Q765" s="13"/>
      <c r="R765" s="13"/>
      <c r="S765" s="13"/>
      <c r="T765" s="13"/>
      <c r="U765" s="13"/>
      <c r="V765" s="13"/>
      <c r="W765" s="13"/>
      <c r="X765" s="13"/>
      <c r="Y765" s="13"/>
      <c r="Z765" s="13"/>
      <c r="AA765" s="13"/>
    </row>
    <row r="766" ht="16.5" customHeight="1">
      <c r="A766" s="10"/>
      <c r="B766" s="10"/>
      <c r="C766" s="13"/>
      <c r="D766" s="13"/>
      <c r="E766" s="13"/>
      <c r="F766" s="185"/>
      <c r="G766" s="13"/>
      <c r="H766" s="13"/>
      <c r="I766" s="13"/>
      <c r="J766" s="13"/>
      <c r="K766" s="13"/>
      <c r="L766" s="13"/>
      <c r="M766" s="13"/>
      <c r="N766" s="13"/>
      <c r="O766" s="13"/>
      <c r="P766" s="13"/>
      <c r="Q766" s="13"/>
      <c r="R766" s="13"/>
      <c r="S766" s="13"/>
      <c r="T766" s="13"/>
      <c r="U766" s="13"/>
      <c r="V766" s="13"/>
      <c r="W766" s="13"/>
      <c r="X766" s="13"/>
      <c r="Y766" s="13"/>
      <c r="Z766" s="13"/>
      <c r="AA766" s="13"/>
    </row>
    <row r="767" ht="16.5" customHeight="1">
      <c r="A767" s="10"/>
      <c r="B767" s="10"/>
      <c r="C767" s="13"/>
      <c r="D767" s="13"/>
      <c r="E767" s="13"/>
      <c r="F767" s="185"/>
      <c r="G767" s="13"/>
      <c r="H767" s="13"/>
      <c r="I767" s="13"/>
      <c r="J767" s="13"/>
      <c r="K767" s="13"/>
      <c r="L767" s="13"/>
      <c r="M767" s="13"/>
      <c r="N767" s="13"/>
      <c r="O767" s="13"/>
      <c r="P767" s="13"/>
      <c r="Q767" s="13"/>
      <c r="R767" s="13"/>
      <c r="S767" s="13"/>
      <c r="T767" s="13"/>
      <c r="U767" s="13"/>
      <c r="V767" s="13"/>
      <c r="W767" s="13"/>
      <c r="X767" s="13"/>
      <c r="Y767" s="13"/>
      <c r="Z767" s="13"/>
      <c r="AA767" s="13"/>
    </row>
    <row r="768" ht="16.5" customHeight="1">
      <c r="A768" s="10"/>
      <c r="B768" s="10"/>
      <c r="C768" s="13"/>
      <c r="D768" s="13"/>
      <c r="E768" s="13"/>
      <c r="F768" s="185"/>
      <c r="G768" s="13"/>
      <c r="H768" s="13"/>
      <c r="I768" s="13"/>
      <c r="J768" s="13"/>
      <c r="K768" s="13"/>
      <c r="L768" s="13"/>
      <c r="M768" s="13"/>
      <c r="N768" s="13"/>
      <c r="O768" s="13"/>
      <c r="P768" s="13"/>
      <c r="Q768" s="13"/>
      <c r="R768" s="13"/>
      <c r="S768" s="13"/>
      <c r="T768" s="13"/>
      <c r="U768" s="13"/>
      <c r="V768" s="13"/>
      <c r="W768" s="13"/>
      <c r="X768" s="13"/>
      <c r="Y768" s="13"/>
      <c r="Z768" s="13"/>
      <c r="AA768" s="13"/>
    </row>
    <row r="769" ht="16.5" customHeight="1">
      <c r="A769" s="10"/>
      <c r="B769" s="10"/>
      <c r="C769" s="13"/>
      <c r="D769" s="13"/>
      <c r="E769" s="13"/>
      <c r="F769" s="185"/>
      <c r="G769" s="13"/>
      <c r="H769" s="13"/>
      <c r="I769" s="13"/>
      <c r="J769" s="13"/>
      <c r="K769" s="13"/>
      <c r="L769" s="13"/>
      <c r="M769" s="13"/>
      <c r="N769" s="13"/>
      <c r="O769" s="13"/>
      <c r="P769" s="13"/>
      <c r="Q769" s="13"/>
      <c r="R769" s="13"/>
      <c r="S769" s="13"/>
      <c r="T769" s="13"/>
      <c r="U769" s="13"/>
      <c r="V769" s="13"/>
      <c r="W769" s="13"/>
      <c r="X769" s="13"/>
      <c r="Y769" s="13"/>
      <c r="Z769" s="13"/>
      <c r="AA769" s="13"/>
    </row>
    <row r="770" ht="16.5" customHeight="1">
      <c r="A770" s="10"/>
      <c r="B770" s="10"/>
      <c r="C770" s="13"/>
      <c r="D770" s="13"/>
      <c r="E770" s="13"/>
      <c r="F770" s="185"/>
      <c r="G770" s="13"/>
      <c r="H770" s="13"/>
      <c r="I770" s="13"/>
      <c r="J770" s="13"/>
      <c r="K770" s="13"/>
      <c r="L770" s="13"/>
      <c r="M770" s="13"/>
      <c r="N770" s="13"/>
      <c r="O770" s="13"/>
      <c r="P770" s="13"/>
      <c r="Q770" s="13"/>
      <c r="R770" s="13"/>
      <c r="S770" s="13"/>
      <c r="T770" s="13"/>
      <c r="U770" s="13"/>
      <c r="V770" s="13"/>
      <c r="W770" s="13"/>
      <c r="X770" s="13"/>
      <c r="Y770" s="13"/>
      <c r="Z770" s="13"/>
      <c r="AA770" s="13"/>
    </row>
    <row r="771" ht="16.5" customHeight="1">
      <c r="A771" s="10"/>
      <c r="B771" s="10"/>
      <c r="C771" s="13"/>
      <c r="D771" s="13"/>
      <c r="E771" s="13"/>
      <c r="F771" s="185"/>
      <c r="G771" s="13"/>
      <c r="H771" s="13"/>
      <c r="I771" s="13"/>
      <c r="J771" s="13"/>
      <c r="K771" s="13"/>
      <c r="L771" s="13"/>
      <c r="M771" s="13"/>
      <c r="N771" s="13"/>
      <c r="O771" s="13"/>
      <c r="P771" s="13"/>
      <c r="Q771" s="13"/>
      <c r="R771" s="13"/>
      <c r="S771" s="13"/>
      <c r="T771" s="13"/>
      <c r="U771" s="13"/>
      <c r="V771" s="13"/>
      <c r="W771" s="13"/>
      <c r="X771" s="13"/>
      <c r="Y771" s="13"/>
      <c r="Z771" s="13"/>
      <c r="AA771" s="13"/>
    </row>
    <row r="772" ht="16.5" customHeight="1">
      <c r="A772" s="10"/>
      <c r="B772" s="10"/>
      <c r="C772" s="13"/>
      <c r="D772" s="13"/>
      <c r="E772" s="13"/>
      <c r="F772" s="185"/>
      <c r="G772" s="13"/>
      <c r="H772" s="13"/>
      <c r="I772" s="13"/>
      <c r="J772" s="13"/>
      <c r="K772" s="13"/>
      <c r="L772" s="13"/>
      <c r="M772" s="13"/>
      <c r="N772" s="13"/>
      <c r="O772" s="13"/>
      <c r="P772" s="13"/>
      <c r="Q772" s="13"/>
      <c r="R772" s="13"/>
      <c r="S772" s="13"/>
      <c r="T772" s="13"/>
      <c r="U772" s="13"/>
      <c r="V772" s="13"/>
      <c r="W772" s="13"/>
      <c r="X772" s="13"/>
      <c r="Y772" s="13"/>
      <c r="Z772" s="13"/>
      <c r="AA772" s="13"/>
    </row>
    <row r="773" ht="16.5" customHeight="1">
      <c r="A773" s="10"/>
      <c r="B773" s="10"/>
      <c r="C773" s="13"/>
      <c r="D773" s="13"/>
      <c r="E773" s="13"/>
      <c r="F773" s="185"/>
      <c r="G773" s="13"/>
      <c r="H773" s="13"/>
      <c r="I773" s="13"/>
      <c r="J773" s="13"/>
      <c r="K773" s="13"/>
      <c r="L773" s="13"/>
      <c r="M773" s="13"/>
      <c r="N773" s="13"/>
      <c r="O773" s="13"/>
      <c r="P773" s="13"/>
      <c r="Q773" s="13"/>
      <c r="R773" s="13"/>
      <c r="S773" s="13"/>
      <c r="T773" s="13"/>
      <c r="U773" s="13"/>
      <c r="V773" s="13"/>
      <c r="W773" s="13"/>
      <c r="X773" s="13"/>
      <c r="Y773" s="13"/>
      <c r="Z773" s="13"/>
      <c r="AA773" s="13"/>
    </row>
    <row r="774" ht="16.5" customHeight="1">
      <c r="A774" s="10"/>
      <c r="B774" s="10"/>
      <c r="C774" s="13"/>
      <c r="D774" s="13"/>
      <c r="E774" s="13"/>
      <c r="F774" s="185"/>
      <c r="G774" s="13"/>
      <c r="H774" s="13"/>
      <c r="I774" s="13"/>
      <c r="J774" s="13"/>
      <c r="K774" s="13"/>
      <c r="L774" s="13"/>
      <c r="M774" s="13"/>
      <c r="N774" s="13"/>
      <c r="O774" s="13"/>
      <c r="P774" s="13"/>
      <c r="Q774" s="13"/>
      <c r="R774" s="13"/>
      <c r="S774" s="13"/>
      <c r="T774" s="13"/>
      <c r="U774" s="13"/>
      <c r="V774" s="13"/>
      <c r="W774" s="13"/>
      <c r="X774" s="13"/>
      <c r="Y774" s="13"/>
      <c r="Z774" s="13"/>
      <c r="AA774" s="13"/>
    </row>
    <row r="775" ht="16.5" customHeight="1">
      <c r="A775" s="10"/>
      <c r="B775" s="10"/>
      <c r="C775" s="13"/>
      <c r="D775" s="13"/>
      <c r="E775" s="13"/>
      <c r="F775" s="185"/>
      <c r="G775" s="13"/>
      <c r="H775" s="13"/>
      <c r="I775" s="13"/>
      <c r="J775" s="13"/>
      <c r="K775" s="13"/>
      <c r="L775" s="13"/>
      <c r="M775" s="13"/>
      <c r="N775" s="13"/>
      <c r="O775" s="13"/>
      <c r="P775" s="13"/>
      <c r="Q775" s="13"/>
      <c r="R775" s="13"/>
      <c r="S775" s="13"/>
      <c r="T775" s="13"/>
      <c r="U775" s="13"/>
      <c r="V775" s="13"/>
      <c r="W775" s="13"/>
      <c r="X775" s="13"/>
      <c r="Y775" s="13"/>
      <c r="Z775" s="13"/>
      <c r="AA775" s="13"/>
    </row>
    <row r="776" ht="16.5" customHeight="1">
      <c r="A776" s="10"/>
      <c r="B776" s="10"/>
      <c r="C776" s="13"/>
      <c r="D776" s="13"/>
      <c r="E776" s="13"/>
      <c r="F776" s="185"/>
      <c r="G776" s="13"/>
      <c r="H776" s="13"/>
      <c r="I776" s="13"/>
      <c r="J776" s="13"/>
      <c r="K776" s="13"/>
      <c r="L776" s="13"/>
      <c r="M776" s="13"/>
      <c r="N776" s="13"/>
      <c r="O776" s="13"/>
      <c r="P776" s="13"/>
      <c r="Q776" s="13"/>
      <c r="R776" s="13"/>
      <c r="S776" s="13"/>
      <c r="T776" s="13"/>
      <c r="U776" s="13"/>
      <c r="V776" s="13"/>
      <c r="W776" s="13"/>
      <c r="X776" s="13"/>
      <c r="Y776" s="13"/>
      <c r="Z776" s="13"/>
      <c r="AA776" s="13"/>
    </row>
    <row r="777" ht="16.5" customHeight="1">
      <c r="A777" s="10"/>
      <c r="B777" s="10"/>
      <c r="C777" s="13"/>
      <c r="D777" s="13"/>
      <c r="E777" s="13"/>
      <c r="F777" s="185"/>
      <c r="G777" s="13"/>
      <c r="H777" s="13"/>
      <c r="I777" s="13"/>
      <c r="J777" s="13"/>
      <c r="K777" s="13"/>
      <c r="L777" s="13"/>
      <c r="M777" s="13"/>
      <c r="N777" s="13"/>
      <c r="O777" s="13"/>
      <c r="P777" s="13"/>
      <c r="Q777" s="13"/>
      <c r="R777" s="13"/>
      <c r="S777" s="13"/>
      <c r="T777" s="13"/>
      <c r="U777" s="13"/>
      <c r="V777" s="13"/>
      <c r="W777" s="13"/>
      <c r="X777" s="13"/>
      <c r="Y777" s="13"/>
      <c r="Z777" s="13"/>
      <c r="AA777" s="13"/>
    </row>
    <row r="778" ht="16.5" customHeight="1">
      <c r="A778" s="10"/>
      <c r="B778" s="10"/>
      <c r="C778" s="13"/>
      <c r="D778" s="13"/>
      <c r="E778" s="13"/>
      <c r="F778" s="185"/>
      <c r="G778" s="13"/>
      <c r="H778" s="13"/>
      <c r="I778" s="13"/>
      <c r="J778" s="13"/>
      <c r="K778" s="13"/>
      <c r="L778" s="13"/>
      <c r="M778" s="13"/>
      <c r="N778" s="13"/>
      <c r="O778" s="13"/>
      <c r="P778" s="13"/>
      <c r="Q778" s="13"/>
      <c r="R778" s="13"/>
      <c r="S778" s="13"/>
      <c r="T778" s="13"/>
      <c r="U778" s="13"/>
      <c r="V778" s="13"/>
      <c r="W778" s="13"/>
      <c r="X778" s="13"/>
      <c r="Y778" s="13"/>
      <c r="Z778" s="13"/>
      <c r="AA778" s="13"/>
    </row>
    <row r="779" ht="16.5" customHeight="1">
      <c r="A779" s="10"/>
      <c r="B779" s="10"/>
      <c r="C779" s="13"/>
      <c r="D779" s="13"/>
      <c r="E779" s="13"/>
      <c r="F779" s="185"/>
      <c r="G779" s="13"/>
      <c r="H779" s="13"/>
      <c r="I779" s="13"/>
      <c r="J779" s="13"/>
      <c r="K779" s="13"/>
      <c r="L779" s="13"/>
      <c r="M779" s="13"/>
      <c r="N779" s="13"/>
      <c r="O779" s="13"/>
      <c r="P779" s="13"/>
      <c r="Q779" s="13"/>
      <c r="R779" s="13"/>
      <c r="S779" s="13"/>
      <c r="T779" s="13"/>
      <c r="U779" s="13"/>
      <c r="V779" s="13"/>
      <c r="W779" s="13"/>
      <c r="X779" s="13"/>
      <c r="Y779" s="13"/>
      <c r="Z779" s="13"/>
      <c r="AA779" s="13"/>
    </row>
    <row r="780" ht="16.5" customHeight="1">
      <c r="A780" s="10"/>
      <c r="B780" s="10"/>
      <c r="C780" s="13"/>
      <c r="D780" s="13"/>
      <c r="E780" s="13"/>
      <c r="F780" s="185"/>
      <c r="G780" s="13"/>
      <c r="H780" s="13"/>
      <c r="I780" s="13"/>
      <c r="J780" s="13"/>
      <c r="K780" s="13"/>
      <c r="L780" s="13"/>
      <c r="M780" s="13"/>
      <c r="N780" s="13"/>
      <c r="O780" s="13"/>
      <c r="P780" s="13"/>
      <c r="Q780" s="13"/>
      <c r="R780" s="13"/>
      <c r="S780" s="13"/>
      <c r="T780" s="13"/>
      <c r="U780" s="13"/>
      <c r="V780" s="13"/>
      <c r="W780" s="13"/>
      <c r="X780" s="13"/>
      <c r="Y780" s="13"/>
      <c r="Z780" s="13"/>
      <c r="AA780" s="13"/>
    </row>
    <row r="781" ht="16.5" customHeight="1">
      <c r="A781" s="10"/>
      <c r="B781" s="10"/>
      <c r="C781" s="13"/>
      <c r="D781" s="13"/>
      <c r="E781" s="13"/>
      <c r="F781" s="185"/>
      <c r="G781" s="13"/>
      <c r="H781" s="13"/>
      <c r="I781" s="13"/>
      <c r="J781" s="13"/>
      <c r="K781" s="13"/>
      <c r="L781" s="13"/>
      <c r="M781" s="13"/>
      <c r="N781" s="13"/>
      <c r="O781" s="13"/>
      <c r="P781" s="13"/>
      <c r="Q781" s="13"/>
      <c r="R781" s="13"/>
      <c r="S781" s="13"/>
      <c r="T781" s="13"/>
      <c r="U781" s="13"/>
      <c r="V781" s="13"/>
      <c r="W781" s="13"/>
      <c r="X781" s="13"/>
      <c r="Y781" s="13"/>
      <c r="Z781" s="13"/>
      <c r="AA781" s="13"/>
    </row>
    <row r="782" ht="16.5" customHeight="1">
      <c r="A782" s="10"/>
      <c r="B782" s="10"/>
      <c r="C782" s="13"/>
      <c r="D782" s="13"/>
      <c r="E782" s="13"/>
      <c r="F782" s="185"/>
      <c r="G782" s="13"/>
      <c r="H782" s="13"/>
      <c r="I782" s="13"/>
      <c r="J782" s="13"/>
      <c r="K782" s="13"/>
      <c r="L782" s="13"/>
      <c r="M782" s="13"/>
      <c r="N782" s="13"/>
      <c r="O782" s="13"/>
      <c r="P782" s="13"/>
      <c r="Q782" s="13"/>
      <c r="R782" s="13"/>
      <c r="S782" s="13"/>
      <c r="T782" s="13"/>
      <c r="U782" s="13"/>
      <c r="V782" s="13"/>
      <c r="W782" s="13"/>
      <c r="X782" s="13"/>
      <c r="Y782" s="13"/>
      <c r="Z782" s="13"/>
      <c r="AA782" s="13"/>
    </row>
    <row r="783" ht="16.5" customHeight="1">
      <c r="A783" s="10"/>
      <c r="B783" s="10"/>
      <c r="C783" s="13"/>
      <c r="D783" s="13"/>
      <c r="E783" s="13"/>
      <c r="F783" s="185"/>
      <c r="G783" s="13"/>
      <c r="H783" s="13"/>
      <c r="I783" s="13"/>
      <c r="J783" s="13"/>
      <c r="K783" s="13"/>
      <c r="L783" s="13"/>
      <c r="M783" s="13"/>
      <c r="N783" s="13"/>
      <c r="O783" s="13"/>
      <c r="P783" s="13"/>
      <c r="Q783" s="13"/>
      <c r="R783" s="13"/>
      <c r="S783" s="13"/>
      <c r="T783" s="13"/>
      <c r="U783" s="13"/>
      <c r="V783" s="13"/>
      <c r="W783" s="13"/>
      <c r="X783" s="13"/>
      <c r="Y783" s="13"/>
      <c r="Z783" s="13"/>
      <c r="AA783" s="13"/>
    </row>
    <row r="784" ht="16.5" customHeight="1">
      <c r="A784" s="10"/>
      <c r="B784" s="10"/>
      <c r="C784" s="13"/>
      <c r="D784" s="13"/>
      <c r="E784" s="13"/>
      <c r="F784" s="185"/>
      <c r="G784" s="13"/>
      <c r="H784" s="13"/>
      <c r="I784" s="13"/>
      <c r="J784" s="13"/>
      <c r="K784" s="13"/>
      <c r="L784" s="13"/>
      <c r="M784" s="13"/>
      <c r="N784" s="13"/>
      <c r="O784" s="13"/>
      <c r="P784" s="13"/>
      <c r="Q784" s="13"/>
      <c r="R784" s="13"/>
      <c r="S784" s="13"/>
      <c r="T784" s="13"/>
      <c r="U784" s="13"/>
      <c r="V784" s="13"/>
      <c r="W784" s="13"/>
      <c r="X784" s="13"/>
      <c r="Y784" s="13"/>
      <c r="Z784" s="13"/>
      <c r="AA784" s="13"/>
    </row>
    <row r="785" ht="16.5" customHeight="1">
      <c r="A785" s="10"/>
      <c r="B785" s="10"/>
      <c r="C785" s="13"/>
      <c r="D785" s="13"/>
      <c r="E785" s="13"/>
      <c r="F785" s="185"/>
      <c r="G785" s="13"/>
      <c r="H785" s="13"/>
      <c r="I785" s="13"/>
      <c r="J785" s="13"/>
      <c r="K785" s="13"/>
      <c r="L785" s="13"/>
      <c r="M785" s="13"/>
      <c r="N785" s="13"/>
      <c r="O785" s="13"/>
      <c r="P785" s="13"/>
      <c r="Q785" s="13"/>
      <c r="R785" s="13"/>
      <c r="S785" s="13"/>
      <c r="T785" s="13"/>
      <c r="U785" s="13"/>
      <c r="V785" s="13"/>
      <c r="W785" s="13"/>
      <c r="X785" s="13"/>
      <c r="Y785" s="13"/>
      <c r="Z785" s="13"/>
      <c r="AA785" s="13"/>
    </row>
    <row r="786" ht="16.5" customHeight="1">
      <c r="A786" s="10"/>
      <c r="B786" s="10"/>
      <c r="C786" s="13"/>
      <c r="D786" s="13"/>
      <c r="E786" s="13"/>
      <c r="F786" s="185"/>
      <c r="G786" s="13"/>
      <c r="H786" s="13"/>
      <c r="I786" s="13"/>
      <c r="J786" s="13"/>
      <c r="K786" s="13"/>
      <c r="L786" s="13"/>
      <c r="M786" s="13"/>
      <c r="N786" s="13"/>
      <c r="O786" s="13"/>
      <c r="P786" s="13"/>
      <c r="Q786" s="13"/>
      <c r="R786" s="13"/>
      <c r="S786" s="13"/>
      <c r="T786" s="13"/>
      <c r="U786" s="13"/>
      <c r="V786" s="13"/>
      <c r="W786" s="13"/>
      <c r="X786" s="13"/>
      <c r="Y786" s="13"/>
      <c r="Z786" s="13"/>
      <c r="AA786" s="13"/>
    </row>
    <row r="787" ht="16.5" customHeight="1">
      <c r="A787" s="10"/>
      <c r="B787" s="10"/>
      <c r="C787" s="13"/>
      <c r="D787" s="13"/>
      <c r="E787" s="13"/>
      <c r="F787" s="185"/>
      <c r="G787" s="13"/>
      <c r="H787" s="13"/>
      <c r="I787" s="13"/>
      <c r="J787" s="13"/>
      <c r="K787" s="13"/>
      <c r="L787" s="13"/>
      <c r="M787" s="13"/>
      <c r="N787" s="13"/>
      <c r="O787" s="13"/>
      <c r="P787" s="13"/>
      <c r="Q787" s="13"/>
      <c r="R787" s="13"/>
      <c r="S787" s="13"/>
      <c r="T787" s="13"/>
      <c r="U787" s="13"/>
      <c r="V787" s="13"/>
      <c r="W787" s="13"/>
      <c r="X787" s="13"/>
      <c r="Y787" s="13"/>
      <c r="Z787" s="13"/>
      <c r="AA787" s="13"/>
    </row>
    <row r="788" ht="16.5" customHeight="1">
      <c r="A788" s="10"/>
      <c r="B788" s="10"/>
      <c r="C788" s="13"/>
      <c r="D788" s="13"/>
      <c r="E788" s="13"/>
      <c r="F788" s="185"/>
      <c r="G788" s="13"/>
      <c r="H788" s="13"/>
      <c r="I788" s="13"/>
      <c r="J788" s="13"/>
      <c r="K788" s="13"/>
      <c r="L788" s="13"/>
      <c r="M788" s="13"/>
      <c r="N788" s="13"/>
      <c r="O788" s="13"/>
      <c r="P788" s="13"/>
      <c r="Q788" s="13"/>
      <c r="R788" s="13"/>
      <c r="S788" s="13"/>
      <c r="T788" s="13"/>
      <c r="U788" s="13"/>
      <c r="V788" s="13"/>
      <c r="W788" s="13"/>
      <c r="X788" s="13"/>
      <c r="Y788" s="13"/>
      <c r="Z788" s="13"/>
      <c r="AA788" s="13"/>
    </row>
    <row r="789" ht="16.5" customHeight="1">
      <c r="A789" s="10"/>
      <c r="B789" s="10"/>
      <c r="C789" s="13"/>
      <c r="D789" s="13"/>
      <c r="E789" s="13"/>
      <c r="F789" s="185"/>
      <c r="G789" s="13"/>
      <c r="H789" s="13"/>
      <c r="I789" s="13"/>
      <c r="J789" s="13"/>
      <c r="K789" s="13"/>
      <c r="L789" s="13"/>
      <c r="M789" s="13"/>
      <c r="N789" s="13"/>
      <c r="O789" s="13"/>
      <c r="P789" s="13"/>
      <c r="Q789" s="13"/>
      <c r="R789" s="13"/>
      <c r="S789" s="13"/>
      <c r="T789" s="13"/>
      <c r="U789" s="13"/>
      <c r="V789" s="13"/>
      <c r="W789" s="13"/>
      <c r="X789" s="13"/>
      <c r="Y789" s="13"/>
      <c r="Z789" s="13"/>
      <c r="AA789" s="13"/>
    </row>
    <row r="790" ht="16.5" customHeight="1">
      <c r="A790" s="10"/>
      <c r="B790" s="10"/>
      <c r="C790" s="13"/>
      <c r="D790" s="13"/>
      <c r="E790" s="13"/>
      <c r="F790" s="185"/>
      <c r="G790" s="13"/>
      <c r="H790" s="13"/>
      <c r="I790" s="13"/>
      <c r="J790" s="13"/>
      <c r="K790" s="13"/>
      <c r="L790" s="13"/>
      <c r="M790" s="13"/>
      <c r="N790" s="13"/>
      <c r="O790" s="13"/>
      <c r="P790" s="13"/>
      <c r="Q790" s="13"/>
      <c r="R790" s="13"/>
      <c r="S790" s="13"/>
      <c r="T790" s="13"/>
      <c r="U790" s="13"/>
      <c r="V790" s="13"/>
      <c r="W790" s="13"/>
      <c r="X790" s="13"/>
      <c r="Y790" s="13"/>
      <c r="Z790" s="13"/>
      <c r="AA790" s="13"/>
    </row>
    <row r="791" ht="16.5" customHeight="1">
      <c r="A791" s="10"/>
      <c r="B791" s="10"/>
      <c r="C791" s="13"/>
      <c r="D791" s="13"/>
      <c r="E791" s="13"/>
      <c r="F791" s="185"/>
      <c r="G791" s="13"/>
      <c r="H791" s="13"/>
      <c r="I791" s="13"/>
      <c r="J791" s="13"/>
      <c r="K791" s="13"/>
      <c r="L791" s="13"/>
      <c r="M791" s="13"/>
      <c r="N791" s="13"/>
      <c r="O791" s="13"/>
      <c r="P791" s="13"/>
      <c r="Q791" s="13"/>
      <c r="R791" s="13"/>
      <c r="S791" s="13"/>
      <c r="T791" s="13"/>
      <c r="U791" s="13"/>
      <c r="V791" s="13"/>
      <c r="W791" s="13"/>
      <c r="X791" s="13"/>
      <c r="Y791" s="13"/>
      <c r="Z791" s="13"/>
      <c r="AA791" s="13"/>
    </row>
    <row r="792" ht="16.5" customHeight="1">
      <c r="A792" s="10"/>
      <c r="B792" s="10"/>
      <c r="C792" s="13"/>
      <c r="D792" s="13"/>
      <c r="E792" s="13"/>
      <c r="F792" s="185"/>
      <c r="G792" s="13"/>
      <c r="H792" s="13"/>
      <c r="I792" s="13"/>
      <c r="J792" s="13"/>
      <c r="K792" s="13"/>
      <c r="L792" s="13"/>
      <c r="M792" s="13"/>
      <c r="N792" s="13"/>
      <c r="O792" s="13"/>
      <c r="P792" s="13"/>
      <c r="Q792" s="13"/>
      <c r="R792" s="13"/>
      <c r="S792" s="13"/>
      <c r="T792" s="13"/>
      <c r="U792" s="13"/>
      <c r="V792" s="13"/>
      <c r="W792" s="13"/>
      <c r="X792" s="13"/>
      <c r="Y792" s="13"/>
      <c r="Z792" s="13"/>
      <c r="AA792" s="13"/>
    </row>
    <row r="793" ht="16.5" customHeight="1">
      <c r="A793" s="10"/>
      <c r="B793" s="10"/>
      <c r="C793" s="13"/>
      <c r="D793" s="13"/>
      <c r="E793" s="13"/>
      <c r="F793" s="185"/>
      <c r="G793" s="13"/>
      <c r="H793" s="13"/>
      <c r="I793" s="13"/>
      <c r="J793" s="13"/>
      <c r="K793" s="13"/>
      <c r="L793" s="13"/>
      <c r="M793" s="13"/>
      <c r="N793" s="13"/>
      <c r="O793" s="13"/>
      <c r="P793" s="13"/>
      <c r="Q793" s="13"/>
      <c r="R793" s="13"/>
      <c r="S793" s="13"/>
      <c r="T793" s="13"/>
      <c r="U793" s="13"/>
      <c r="V793" s="13"/>
      <c r="W793" s="13"/>
      <c r="X793" s="13"/>
      <c r="Y793" s="13"/>
      <c r="Z793" s="13"/>
      <c r="AA793" s="13"/>
    </row>
    <row r="794" ht="16.5" customHeight="1">
      <c r="A794" s="10"/>
      <c r="B794" s="10"/>
      <c r="C794" s="13"/>
      <c r="D794" s="13"/>
      <c r="E794" s="13"/>
      <c r="F794" s="185"/>
      <c r="G794" s="13"/>
      <c r="H794" s="13"/>
      <c r="I794" s="13"/>
      <c r="J794" s="13"/>
      <c r="K794" s="13"/>
      <c r="L794" s="13"/>
      <c r="M794" s="13"/>
      <c r="N794" s="13"/>
      <c r="O794" s="13"/>
      <c r="P794" s="13"/>
      <c r="Q794" s="13"/>
      <c r="R794" s="13"/>
      <c r="S794" s="13"/>
      <c r="T794" s="13"/>
      <c r="U794" s="13"/>
      <c r="V794" s="13"/>
      <c r="W794" s="13"/>
      <c r="X794" s="13"/>
      <c r="Y794" s="13"/>
      <c r="Z794" s="13"/>
      <c r="AA794" s="13"/>
    </row>
    <row r="795" ht="16.5" customHeight="1">
      <c r="A795" s="10"/>
      <c r="B795" s="10"/>
      <c r="C795" s="13"/>
      <c r="D795" s="13"/>
      <c r="E795" s="13"/>
      <c r="F795" s="185"/>
      <c r="G795" s="13"/>
      <c r="H795" s="13"/>
      <c r="I795" s="13"/>
      <c r="J795" s="13"/>
      <c r="K795" s="13"/>
      <c r="L795" s="13"/>
      <c r="M795" s="13"/>
      <c r="N795" s="13"/>
      <c r="O795" s="13"/>
      <c r="P795" s="13"/>
      <c r="Q795" s="13"/>
      <c r="R795" s="13"/>
      <c r="S795" s="13"/>
      <c r="T795" s="13"/>
      <c r="U795" s="13"/>
      <c r="V795" s="13"/>
      <c r="W795" s="13"/>
      <c r="X795" s="13"/>
      <c r="Y795" s="13"/>
      <c r="Z795" s="13"/>
      <c r="AA795" s="13"/>
    </row>
    <row r="796" ht="16.5" customHeight="1">
      <c r="A796" s="10"/>
      <c r="B796" s="10"/>
      <c r="C796" s="13"/>
      <c r="D796" s="13"/>
      <c r="E796" s="13"/>
      <c r="F796" s="185"/>
      <c r="G796" s="13"/>
      <c r="H796" s="13"/>
      <c r="I796" s="13"/>
      <c r="J796" s="13"/>
      <c r="K796" s="13"/>
      <c r="L796" s="13"/>
      <c r="M796" s="13"/>
      <c r="N796" s="13"/>
      <c r="O796" s="13"/>
      <c r="P796" s="13"/>
      <c r="Q796" s="13"/>
      <c r="R796" s="13"/>
      <c r="S796" s="13"/>
      <c r="T796" s="13"/>
      <c r="U796" s="13"/>
      <c r="V796" s="13"/>
      <c r="W796" s="13"/>
      <c r="X796" s="13"/>
      <c r="Y796" s="13"/>
      <c r="Z796" s="13"/>
      <c r="AA796" s="13"/>
    </row>
    <row r="797" ht="16.5" customHeight="1">
      <c r="A797" s="10"/>
      <c r="B797" s="10"/>
      <c r="C797" s="13"/>
      <c r="D797" s="13"/>
      <c r="E797" s="13"/>
      <c r="F797" s="185"/>
      <c r="G797" s="13"/>
      <c r="H797" s="13"/>
      <c r="I797" s="13"/>
      <c r="J797" s="13"/>
      <c r="K797" s="13"/>
      <c r="L797" s="13"/>
      <c r="M797" s="13"/>
      <c r="N797" s="13"/>
      <c r="O797" s="13"/>
      <c r="P797" s="13"/>
      <c r="Q797" s="13"/>
      <c r="R797" s="13"/>
      <c r="S797" s="13"/>
      <c r="T797" s="13"/>
      <c r="U797" s="13"/>
      <c r="V797" s="13"/>
      <c r="W797" s="13"/>
      <c r="X797" s="13"/>
      <c r="Y797" s="13"/>
      <c r="Z797" s="13"/>
      <c r="AA797" s="13"/>
    </row>
    <row r="798" ht="16.5" customHeight="1">
      <c r="A798" s="10"/>
      <c r="B798" s="10"/>
      <c r="C798" s="13"/>
      <c r="D798" s="13"/>
      <c r="E798" s="13"/>
      <c r="F798" s="185"/>
      <c r="G798" s="13"/>
      <c r="H798" s="13"/>
      <c r="I798" s="13"/>
      <c r="J798" s="13"/>
      <c r="K798" s="13"/>
      <c r="L798" s="13"/>
      <c r="M798" s="13"/>
      <c r="N798" s="13"/>
      <c r="O798" s="13"/>
      <c r="P798" s="13"/>
      <c r="Q798" s="13"/>
      <c r="R798" s="13"/>
      <c r="S798" s="13"/>
      <c r="T798" s="13"/>
      <c r="U798" s="13"/>
      <c r="V798" s="13"/>
      <c r="W798" s="13"/>
      <c r="X798" s="13"/>
      <c r="Y798" s="13"/>
      <c r="Z798" s="13"/>
      <c r="AA798" s="13"/>
    </row>
    <row r="799" ht="16.5" customHeight="1">
      <c r="A799" s="10"/>
      <c r="B799" s="10"/>
      <c r="C799" s="13"/>
      <c r="D799" s="13"/>
      <c r="E799" s="13"/>
      <c r="F799" s="185"/>
      <c r="G799" s="13"/>
      <c r="H799" s="13"/>
      <c r="I799" s="13"/>
      <c r="J799" s="13"/>
      <c r="K799" s="13"/>
      <c r="L799" s="13"/>
      <c r="M799" s="13"/>
      <c r="N799" s="13"/>
      <c r="O799" s="13"/>
      <c r="P799" s="13"/>
      <c r="Q799" s="13"/>
      <c r="R799" s="13"/>
      <c r="S799" s="13"/>
      <c r="T799" s="13"/>
      <c r="U799" s="13"/>
      <c r="V799" s="13"/>
      <c r="W799" s="13"/>
      <c r="X799" s="13"/>
      <c r="Y799" s="13"/>
      <c r="Z799" s="13"/>
      <c r="AA799" s="13"/>
    </row>
    <row r="800" ht="16.5" customHeight="1">
      <c r="A800" s="10"/>
      <c r="B800" s="10"/>
      <c r="C800" s="13"/>
      <c r="D800" s="13"/>
      <c r="E800" s="13"/>
      <c r="F800" s="185"/>
      <c r="G800" s="13"/>
      <c r="H800" s="13"/>
      <c r="I800" s="13"/>
      <c r="J800" s="13"/>
      <c r="K800" s="13"/>
      <c r="L800" s="13"/>
      <c r="M800" s="13"/>
      <c r="N800" s="13"/>
      <c r="O800" s="13"/>
      <c r="P800" s="13"/>
      <c r="Q800" s="13"/>
      <c r="R800" s="13"/>
      <c r="S800" s="13"/>
      <c r="T800" s="13"/>
      <c r="U800" s="13"/>
      <c r="V800" s="13"/>
      <c r="W800" s="13"/>
      <c r="X800" s="13"/>
      <c r="Y800" s="13"/>
      <c r="Z800" s="13"/>
      <c r="AA800" s="13"/>
    </row>
    <row r="801" ht="16.5" customHeight="1">
      <c r="A801" s="10"/>
      <c r="B801" s="10"/>
      <c r="C801" s="13"/>
      <c r="D801" s="13"/>
      <c r="E801" s="13"/>
      <c r="F801" s="185"/>
      <c r="G801" s="13"/>
      <c r="H801" s="13"/>
      <c r="I801" s="13"/>
      <c r="J801" s="13"/>
      <c r="K801" s="13"/>
      <c r="L801" s="13"/>
      <c r="M801" s="13"/>
      <c r="N801" s="13"/>
      <c r="O801" s="13"/>
      <c r="P801" s="13"/>
      <c r="Q801" s="13"/>
      <c r="R801" s="13"/>
      <c r="S801" s="13"/>
      <c r="T801" s="13"/>
      <c r="U801" s="13"/>
      <c r="V801" s="13"/>
      <c r="W801" s="13"/>
      <c r="X801" s="13"/>
      <c r="Y801" s="13"/>
      <c r="Z801" s="13"/>
      <c r="AA801" s="13"/>
    </row>
    <row r="802" ht="16.5" customHeight="1">
      <c r="A802" s="10"/>
      <c r="B802" s="10"/>
      <c r="C802" s="13"/>
      <c r="D802" s="13"/>
      <c r="E802" s="13"/>
      <c r="F802" s="185"/>
      <c r="G802" s="13"/>
      <c r="H802" s="13"/>
      <c r="I802" s="13"/>
      <c r="J802" s="13"/>
      <c r="K802" s="13"/>
      <c r="L802" s="13"/>
      <c r="M802" s="13"/>
      <c r="N802" s="13"/>
      <c r="O802" s="13"/>
      <c r="P802" s="13"/>
      <c r="Q802" s="13"/>
      <c r="R802" s="13"/>
      <c r="S802" s="13"/>
      <c r="T802" s="13"/>
      <c r="U802" s="13"/>
      <c r="V802" s="13"/>
      <c r="W802" s="13"/>
      <c r="X802" s="13"/>
      <c r="Y802" s="13"/>
      <c r="Z802" s="13"/>
      <c r="AA802" s="13"/>
    </row>
    <row r="803" ht="16.5" customHeight="1">
      <c r="A803" s="10"/>
      <c r="B803" s="10"/>
      <c r="C803" s="13"/>
      <c r="D803" s="13"/>
      <c r="E803" s="13"/>
      <c r="F803" s="185"/>
      <c r="G803" s="13"/>
      <c r="H803" s="13"/>
      <c r="I803" s="13"/>
      <c r="J803" s="13"/>
      <c r="K803" s="13"/>
      <c r="L803" s="13"/>
      <c r="M803" s="13"/>
      <c r="N803" s="13"/>
      <c r="O803" s="13"/>
      <c r="P803" s="13"/>
      <c r="Q803" s="13"/>
      <c r="R803" s="13"/>
      <c r="S803" s="13"/>
      <c r="T803" s="13"/>
      <c r="U803" s="13"/>
      <c r="V803" s="13"/>
      <c r="W803" s="13"/>
      <c r="X803" s="13"/>
      <c r="Y803" s="13"/>
      <c r="Z803" s="13"/>
      <c r="AA803" s="13"/>
    </row>
    <row r="804" ht="16.5" customHeight="1">
      <c r="A804" s="10"/>
      <c r="B804" s="10"/>
      <c r="C804" s="13"/>
      <c r="D804" s="13"/>
      <c r="E804" s="13"/>
      <c r="F804" s="185"/>
      <c r="G804" s="13"/>
      <c r="H804" s="13"/>
      <c r="I804" s="13"/>
      <c r="J804" s="13"/>
      <c r="K804" s="13"/>
      <c r="L804" s="13"/>
      <c r="M804" s="13"/>
      <c r="N804" s="13"/>
      <c r="O804" s="13"/>
      <c r="P804" s="13"/>
      <c r="Q804" s="13"/>
      <c r="R804" s="13"/>
      <c r="S804" s="13"/>
      <c r="T804" s="13"/>
      <c r="U804" s="13"/>
      <c r="V804" s="13"/>
      <c r="W804" s="13"/>
      <c r="X804" s="13"/>
      <c r="Y804" s="13"/>
      <c r="Z804" s="13"/>
      <c r="AA804" s="13"/>
    </row>
    <row r="805" ht="16.5" customHeight="1">
      <c r="A805" s="10"/>
      <c r="B805" s="10"/>
      <c r="C805" s="13"/>
      <c r="D805" s="13"/>
      <c r="E805" s="13"/>
      <c r="F805" s="185"/>
      <c r="G805" s="13"/>
      <c r="H805" s="13"/>
      <c r="I805" s="13"/>
      <c r="J805" s="13"/>
      <c r="K805" s="13"/>
      <c r="L805" s="13"/>
      <c r="M805" s="13"/>
      <c r="N805" s="13"/>
      <c r="O805" s="13"/>
      <c r="P805" s="13"/>
      <c r="Q805" s="13"/>
      <c r="R805" s="13"/>
      <c r="S805" s="13"/>
      <c r="T805" s="13"/>
      <c r="U805" s="13"/>
      <c r="V805" s="13"/>
      <c r="W805" s="13"/>
      <c r="X805" s="13"/>
      <c r="Y805" s="13"/>
      <c r="Z805" s="13"/>
      <c r="AA805" s="13"/>
    </row>
    <row r="806" ht="16.5" customHeight="1">
      <c r="A806" s="10"/>
      <c r="B806" s="10"/>
      <c r="C806" s="13"/>
      <c r="D806" s="13"/>
      <c r="E806" s="13"/>
      <c r="F806" s="185"/>
      <c r="G806" s="13"/>
      <c r="H806" s="13"/>
      <c r="I806" s="13"/>
      <c r="J806" s="13"/>
      <c r="K806" s="13"/>
      <c r="L806" s="13"/>
      <c r="M806" s="13"/>
      <c r="N806" s="13"/>
      <c r="O806" s="13"/>
      <c r="P806" s="13"/>
      <c r="Q806" s="13"/>
      <c r="R806" s="13"/>
      <c r="S806" s="13"/>
      <c r="T806" s="13"/>
      <c r="U806" s="13"/>
      <c r="V806" s="13"/>
      <c r="W806" s="13"/>
      <c r="X806" s="13"/>
      <c r="Y806" s="13"/>
      <c r="Z806" s="13"/>
      <c r="AA806" s="13"/>
    </row>
    <row r="807" ht="16.5" customHeight="1">
      <c r="A807" s="10"/>
      <c r="B807" s="10"/>
      <c r="C807" s="13"/>
      <c r="D807" s="13"/>
      <c r="E807" s="13"/>
      <c r="F807" s="185"/>
      <c r="G807" s="13"/>
      <c r="H807" s="13"/>
      <c r="I807" s="13"/>
      <c r="J807" s="13"/>
      <c r="K807" s="13"/>
      <c r="L807" s="13"/>
      <c r="M807" s="13"/>
      <c r="N807" s="13"/>
      <c r="O807" s="13"/>
      <c r="P807" s="13"/>
      <c r="Q807" s="13"/>
      <c r="R807" s="13"/>
      <c r="S807" s="13"/>
      <c r="T807" s="13"/>
      <c r="U807" s="13"/>
      <c r="V807" s="13"/>
      <c r="W807" s="13"/>
      <c r="X807" s="13"/>
      <c r="Y807" s="13"/>
      <c r="Z807" s="13"/>
      <c r="AA807" s="13"/>
    </row>
    <row r="808" ht="16.5" customHeight="1">
      <c r="A808" s="10"/>
      <c r="B808" s="10"/>
      <c r="C808" s="13"/>
      <c r="D808" s="13"/>
      <c r="E808" s="13"/>
      <c r="F808" s="185"/>
      <c r="G808" s="13"/>
      <c r="H808" s="13"/>
      <c r="I808" s="13"/>
      <c r="J808" s="13"/>
      <c r="K808" s="13"/>
      <c r="L808" s="13"/>
      <c r="M808" s="13"/>
      <c r="N808" s="13"/>
      <c r="O808" s="13"/>
      <c r="P808" s="13"/>
      <c r="Q808" s="13"/>
      <c r="R808" s="13"/>
      <c r="S808" s="13"/>
      <c r="T808" s="13"/>
      <c r="U808" s="13"/>
      <c r="V808" s="13"/>
      <c r="W808" s="13"/>
      <c r="X808" s="13"/>
      <c r="Y808" s="13"/>
      <c r="Z808" s="13"/>
      <c r="AA808" s="13"/>
    </row>
    <row r="809" ht="16.5" customHeight="1">
      <c r="A809" s="10"/>
      <c r="B809" s="10"/>
      <c r="C809" s="13"/>
      <c r="D809" s="13"/>
      <c r="E809" s="13"/>
      <c r="F809" s="185"/>
      <c r="G809" s="13"/>
      <c r="H809" s="13"/>
      <c r="I809" s="13"/>
      <c r="J809" s="13"/>
      <c r="K809" s="13"/>
      <c r="L809" s="13"/>
      <c r="M809" s="13"/>
      <c r="N809" s="13"/>
      <c r="O809" s="13"/>
      <c r="P809" s="13"/>
      <c r="Q809" s="13"/>
      <c r="R809" s="13"/>
      <c r="S809" s="13"/>
      <c r="T809" s="13"/>
      <c r="U809" s="13"/>
      <c r="V809" s="13"/>
      <c r="W809" s="13"/>
      <c r="X809" s="13"/>
      <c r="Y809" s="13"/>
      <c r="Z809" s="13"/>
      <c r="AA809" s="13"/>
    </row>
    <row r="810" ht="16.5" customHeight="1">
      <c r="A810" s="10"/>
      <c r="B810" s="10"/>
      <c r="C810" s="13"/>
      <c r="D810" s="13"/>
      <c r="E810" s="13"/>
      <c r="F810" s="185"/>
      <c r="G810" s="13"/>
      <c r="H810" s="13"/>
      <c r="I810" s="13"/>
      <c r="J810" s="13"/>
      <c r="K810" s="13"/>
      <c r="L810" s="13"/>
      <c r="M810" s="13"/>
      <c r="N810" s="13"/>
      <c r="O810" s="13"/>
      <c r="P810" s="13"/>
      <c r="Q810" s="13"/>
      <c r="R810" s="13"/>
      <c r="S810" s="13"/>
      <c r="T810" s="13"/>
      <c r="U810" s="13"/>
      <c r="V810" s="13"/>
      <c r="W810" s="13"/>
      <c r="X810" s="13"/>
      <c r="Y810" s="13"/>
      <c r="Z810" s="13"/>
      <c r="AA810" s="13"/>
    </row>
    <row r="811" ht="16.5" customHeight="1">
      <c r="A811" s="10"/>
      <c r="B811" s="10"/>
      <c r="C811" s="13"/>
      <c r="D811" s="13"/>
      <c r="E811" s="13"/>
      <c r="F811" s="185"/>
      <c r="G811" s="13"/>
      <c r="H811" s="13"/>
      <c r="I811" s="13"/>
      <c r="J811" s="13"/>
      <c r="K811" s="13"/>
      <c r="L811" s="13"/>
      <c r="M811" s="13"/>
      <c r="N811" s="13"/>
      <c r="O811" s="13"/>
      <c r="P811" s="13"/>
      <c r="Q811" s="13"/>
      <c r="R811" s="13"/>
      <c r="S811" s="13"/>
      <c r="T811" s="13"/>
      <c r="U811" s="13"/>
      <c r="V811" s="13"/>
      <c r="W811" s="13"/>
      <c r="X811" s="13"/>
      <c r="Y811" s="13"/>
      <c r="Z811" s="13"/>
      <c r="AA811" s="13"/>
    </row>
    <row r="812" ht="16.5" customHeight="1">
      <c r="A812" s="10"/>
      <c r="B812" s="10"/>
      <c r="C812" s="13"/>
      <c r="D812" s="13"/>
      <c r="E812" s="13"/>
      <c r="F812" s="185"/>
      <c r="G812" s="13"/>
      <c r="H812" s="13"/>
      <c r="I812" s="13"/>
      <c r="J812" s="13"/>
      <c r="K812" s="13"/>
      <c r="L812" s="13"/>
      <c r="M812" s="13"/>
      <c r="N812" s="13"/>
      <c r="O812" s="13"/>
      <c r="P812" s="13"/>
      <c r="Q812" s="13"/>
      <c r="R812" s="13"/>
      <c r="S812" s="13"/>
      <c r="T812" s="13"/>
      <c r="U812" s="13"/>
      <c r="V812" s="13"/>
      <c r="W812" s="13"/>
      <c r="X812" s="13"/>
      <c r="Y812" s="13"/>
      <c r="Z812" s="13"/>
      <c r="AA812" s="13"/>
    </row>
    <row r="813" ht="16.5" customHeight="1">
      <c r="A813" s="10"/>
      <c r="B813" s="10"/>
      <c r="C813" s="13"/>
      <c r="D813" s="13"/>
      <c r="E813" s="13"/>
      <c r="F813" s="185"/>
      <c r="G813" s="13"/>
      <c r="H813" s="13"/>
      <c r="I813" s="13"/>
      <c r="J813" s="13"/>
      <c r="K813" s="13"/>
      <c r="L813" s="13"/>
      <c r="M813" s="13"/>
      <c r="N813" s="13"/>
      <c r="O813" s="13"/>
      <c r="P813" s="13"/>
      <c r="Q813" s="13"/>
      <c r="R813" s="13"/>
      <c r="S813" s="13"/>
      <c r="T813" s="13"/>
      <c r="U813" s="13"/>
      <c r="V813" s="13"/>
      <c r="W813" s="13"/>
      <c r="X813" s="13"/>
      <c r="Y813" s="13"/>
      <c r="Z813" s="13"/>
      <c r="AA813" s="13"/>
    </row>
    <row r="814" ht="16.5" customHeight="1">
      <c r="A814" s="10"/>
      <c r="B814" s="10"/>
      <c r="C814" s="13"/>
      <c r="D814" s="13"/>
      <c r="E814" s="13"/>
      <c r="F814" s="185"/>
      <c r="G814" s="13"/>
      <c r="H814" s="13"/>
      <c r="I814" s="13"/>
      <c r="J814" s="13"/>
      <c r="K814" s="13"/>
      <c r="L814" s="13"/>
      <c r="M814" s="13"/>
      <c r="N814" s="13"/>
      <c r="O814" s="13"/>
      <c r="P814" s="13"/>
      <c r="Q814" s="13"/>
      <c r="R814" s="13"/>
      <c r="S814" s="13"/>
      <c r="T814" s="13"/>
      <c r="U814" s="13"/>
      <c r="V814" s="13"/>
      <c r="W814" s="13"/>
      <c r="X814" s="13"/>
      <c r="Y814" s="13"/>
      <c r="Z814" s="13"/>
      <c r="AA814" s="13"/>
    </row>
    <row r="815" ht="16.5" customHeight="1">
      <c r="A815" s="10"/>
      <c r="B815" s="10"/>
      <c r="C815" s="13"/>
      <c r="D815" s="13"/>
      <c r="E815" s="13"/>
      <c r="F815" s="185"/>
      <c r="G815" s="13"/>
      <c r="H815" s="13"/>
      <c r="I815" s="13"/>
      <c r="J815" s="13"/>
      <c r="K815" s="13"/>
      <c r="L815" s="13"/>
      <c r="M815" s="13"/>
      <c r="N815" s="13"/>
      <c r="O815" s="13"/>
      <c r="P815" s="13"/>
      <c r="Q815" s="13"/>
      <c r="R815" s="13"/>
      <c r="S815" s="13"/>
      <c r="T815" s="13"/>
      <c r="U815" s="13"/>
      <c r="V815" s="13"/>
      <c r="W815" s="13"/>
      <c r="X815" s="13"/>
      <c r="Y815" s="13"/>
      <c r="Z815" s="13"/>
      <c r="AA815" s="13"/>
    </row>
    <row r="816" ht="16.5" customHeight="1">
      <c r="A816" s="10"/>
      <c r="B816" s="10"/>
      <c r="C816" s="13"/>
      <c r="D816" s="13"/>
      <c r="E816" s="13"/>
      <c r="F816" s="185"/>
      <c r="G816" s="13"/>
      <c r="H816" s="13"/>
      <c r="I816" s="13"/>
      <c r="J816" s="13"/>
      <c r="K816" s="13"/>
      <c r="L816" s="13"/>
      <c r="M816" s="13"/>
      <c r="N816" s="13"/>
      <c r="O816" s="13"/>
      <c r="P816" s="13"/>
      <c r="Q816" s="13"/>
      <c r="R816" s="13"/>
      <c r="S816" s="13"/>
      <c r="T816" s="13"/>
      <c r="U816" s="13"/>
      <c r="V816" s="13"/>
      <c r="W816" s="13"/>
      <c r="X816" s="13"/>
      <c r="Y816" s="13"/>
      <c r="Z816" s="13"/>
      <c r="AA816" s="13"/>
    </row>
    <row r="817" ht="16.5" customHeight="1">
      <c r="A817" s="10"/>
      <c r="B817" s="10"/>
      <c r="C817" s="13"/>
      <c r="D817" s="13"/>
      <c r="E817" s="13"/>
      <c r="F817" s="185"/>
      <c r="G817" s="13"/>
      <c r="H817" s="13"/>
      <c r="I817" s="13"/>
      <c r="J817" s="13"/>
      <c r="K817" s="13"/>
      <c r="L817" s="13"/>
      <c r="M817" s="13"/>
      <c r="N817" s="13"/>
      <c r="O817" s="13"/>
      <c r="P817" s="13"/>
      <c r="Q817" s="13"/>
      <c r="R817" s="13"/>
      <c r="S817" s="13"/>
      <c r="T817" s="13"/>
      <c r="U817" s="13"/>
      <c r="V817" s="13"/>
      <c r="W817" s="13"/>
      <c r="X817" s="13"/>
      <c r="Y817" s="13"/>
      <c r="Z817" s="13"/>
      <c r="AA817" s="13"/>
    </row>
    <row r="818" ht="16.5" customHeight="1">
      <c r="A818" s="10"/>
      <c r="B818" s="10"/>
      <c r="C818" s="13"/>
      <c r="D818" s="13"/>
      <c r="E818" s="13"/>
      <c r="F818" s="185"/>
      <c r="G818" s="13"/>
      <c r="H818" s="13"/>
      <c r="I818" s="13"/>
      <c r="J818" s="13"/>
      <c r="K818" s="13"/>
      <c r="L818" s="13"/>
      <c r="M818" s="13"/>
      <c r="N818" s="13"/>
      <c r="O818" s="13"/>
      <c r="P818" s="13"/>
      <c r="Q818" s="13"/>
      <c r="R818" s="13"/>
      <c r="S818" s="13"/>
      <c r="T818" s="13"/>
      <c r="U818" s="13"/>
      <c r="V818" s="13"/>
      <c r="W818" s="13"/>
      <c r="X818" s="13"/>
      <c r="Y818" s="13"/>
      <c r="Z818" s="13"/>
      <c r="AA818" s="13"/>
    </row>
    <row r="819" ht="16.5" customHeight="1">
      <c r="A819" s="10"/>
      <c r="B819" s="10"/>
      <c r="C819" s="13"/>
      <c r="D819" s="13"/>
      <c r="E819" s="13"/>
      <c r="F819" s="185"/>
      <c r="G819" s="13"/>
      <c r="H819" s="13"/>
      <c r="I819" s="13"/>
      <c r="J819" s="13"/>
      <c r="K819" s="13"/>
      <c r="L819" s="13"/>
      <c r="M819" s="13"/>
      <c r="N819" s="13"/>
      <c r="O819" s="13"/>
      <c r="P819" s="13"/>
      <c r="Q819" s="13"/>
      <c r="R819" s="13"/>
      <c r="S819" s="13"/>
      <c r="T819" s="13"/>
      <c r="U819" s="13"/>
      <c r="V819" s="13"/>
      <c r="W819" s="13"/>
      <c r="X819" s="13"/>
      <c r="Y819" s="13"/>
      <c r="Z819" s="13"/>
      <c r="AA819" s="13"/>
    </row>
    <row r="820" ht="16.5" customHeight="1">
      <c r="A820" s="10"/>
      <c r="B820" s="10"/>
      <c r="C820" s="13"/>
      <c r="D820" s="13"/>
      <c r="E820" s="13"/>
      <c r="F820" s="185"/>
      <c r="G820" s="13"/>
      <c r="H820" s="13"/>
      <c r="I820" s="13"/>
      <c r="J820" s="13"/>
      <c r="K820" s="13"/>
      <c r="L820" s="13"/>
      <c r="M820" s="13"/>
      <c r="N820" s="13"/>
      <c r="O820" s="13"/>
      <c r="P820" s="13"/>
      <c r="Q820" s="13"/>
      <c r="R820" s="13"/>
      <c r="S820" s="13"/>
      <c r="T820" s="13"/>
      <c r="U820" s="13"/>
      <c r="V820" s="13"/>
      <c r="W820" s="13"/>
      <c r="X820" s="13"/>
      <c r="Y820" s="13"/>
      <c r="Z820" s="13"/>
      <c r="AA820" s="13"/>
    </row>
    <row r="821" ht="16.5" customHeight="1">
      <c r="A821" s="10"/>
      <c r="B821" s="10"/>
      <c r="C821" s="13"/>
      <c r="D821" s="13"/>
      <c r="E821" s="13"/>
      <c r="F821" s="185"/>
      <c r="G821" s="13"/>
      <c r="H821" s="13"/>
      <c r="I821" s="13"/>
      <c r="J821" s="13"/>
      <c r="K821" s="13"/>
      <c r="L821" s="13"/>
      <c r="M821" s="13"/>
      <c r="N821" s="13"/>
      <c r="O821" s="13"/>
      <c r="P821" s="13"/>
      <c r="Q821" s="13"/>
      <c r="R821" s="13"/>
      <c r="S821" s="13"/>
      <c r="T821" s="13"/>
      <c r="U821" s="13"/>
      <c r="V821" s="13"/>
      <c r="W821" s="13"/>
      <c r="X821" s="13"/>
      <c r="Y821" s="13"/>
      <c r="Z821" s="13"/>
      <c r="AA821" s="13"/>
    </row>
    <row r="822" ht="16.5" customHeight="1">
      <c r="A822" s="10"/>
      <c r="B822" s="10"/>
      <c r="C822" s="13"/>
      <c r="D822" s="13"/>
      <c r="E822" s="13"/>
      <c r="F822" s="185"/>
      <c r="G822" s="13"/>
      <c r="H822" s="13"/>
      <c r="I822" s="13"/>
      <c r="J822" s="13"/>
      <c r="K822" s="13"/>
      <c r="L822" s="13"/>
      <c r="M822" s="13"/>
      <c r="N822" s="13"/>
      <c r="O822" s="13"/>
      <c r="P822" s="13"/>
      <c r="Q822" s="13"/>
      <c r="R822" s="13"/>
      <c r="S822" s="13"/>
      <c r="T822" s="13"/>
      <c r="U822" s="13"/>
      <c r="V822" s="13"/>
      <c r="W822" s="13"/>
      <c r="X822" s="13"/>
      <c r="Y822" s="13"/>
      <c r="Z822" s="13"/>
      <c r="AA822" s="13"/>
    </row>
    <row r="823" ht="16.5" customHeight="1">
      <c r="A823" s="10"/>
      <c r="B823" s="10"/>
      <c r="C823" s="13"/>
      <c r="D823" s="13"/>
      <c r="E823" s="13"/>
      <c r="F823" s="185"/>
      <c r="G823" s="13"/>
      <c r="H823" s="13"/>
      <c r="I823" s="13"/>
      <c r="J823" s="13"/>
      <c r="K823" s="13"/>
      <c r="L823" s="13"/>
      <c r="M823" s="13"/>
      <c r="N823" s="13"/>
      <c r="O823" s="13"/>
      <c r="P823" s="13"/>
      <c r="Q823" s="13"/>
      <c r="R823" s="13"/>
      <c r="S823" s="13"/>
      <c r="T823" s="13"/>
      <c r="U823" s="13"/>
      <c r="V823" s="13"/>
      <c r="W823" s="13"/>
      <c r="X823" s="13"/>
      <c r="Y823" s="13"/>
      <c r="Z823" s="13"/>
      <c r="AA823" s="13"/>
    </row>
    <row r="824" ht="16.5" customHeight="1">
      <c r="A824" s="10"/>
      <c r="B824" s="10"/>
      <c r="C824" s="13"/>
      <c r="D824" s="13"/>
      <c r="E824" s="13"/>
      <c r="F824" s="185"/>
      <c r="G824" s="13"/>
      <c r="H824" s="13"/>
      <c r="I824" s="13"/>
      <c r="J824" s="13"/>
      <c r="K824" s="13"/>
      <c r="L824" s="13"/>
      <c r="M824" s="13"/>
      <c r="N824" s="13"/>
      <c r="O824" s="13"/>
      <c r="P824" s="13"/>
      <c r="Q824" s="13"/>
      <c r="R824" s="13"/>
      <c r="S824" s="13"/>
      <c r="T824" s="13"/>
      <c r="U824" s="13"/>
      <c r="V824" s="13"/>
      <c r="W824" s="13"/>
      <c r="X824" s="13"/>
      <c r="Y824" s="13"/>
      <c r="Z824" s="13"/>
      <c r="AA824" s="13"/>
    </row>
    <row r="825" ht="16.5" customHeight="1">
      <c r="A825" s="10"/>
      <c r="B825" s="10"/>
      <c r="C825" s="13"/>
      <c r="D825" s="13"/>
      <c r="E825" s="13"/>
      <c r="F825" s="185"/>
      <c r="G825" s="13"/>
      <c r="H825" s="13"/>
      <c r="I825" s="13"/>
      <c r="J825" s="13"/>
      <c r="K825" s="13"/>
      <c r="L825" s="13"/>
      <c r="M825" s="13"/>
      <c r="N825" s="13"/>
      <c r="O825" s="13"/>
      <c r="P825" s="13"/>
      <c r="Q825" s="13"/>
      <c r="R825" s="13"/>
      <c r="S825" s="13"/>
      <c r="T825" s="13"/>
      <c r="U825" s="13"/>
      <c r="V825" s="13"/>
      <c r="W825" s="13"/>
      <c r="X825" s="13"/>
      <c r="Y825" s="13"/>
      <c r="Z825" s="13"/>
      <c r="AA825" s="13"/>
    </row>
    <row r="826" ht="16.5" customHeight="1">
      <c r="A826" s="10"/>
      <c r="B826" s="10"/>
      <c r="C826" s="13"/>
      <c r="D826" s="13"/>
      <c r="E826" s="13"/>
      <c r="F826" s="185"/>
      <c r="G826" s="13"/>
      <c r="H826" s="13"/>
      <c r="I826" s="13"/>
      <c r="J826" s="13"/>
      <c r="K826" s="13"/>
      <c r="L826" s="13"/>
      <c r="M826" s="13"/>
      <c r="N826" s="13"/>
      <c r="O826" s="13"/>
      <c r="P826" s="13"/>
      <c r="Q826" s="13"/>
      <c r="R826" s="13"/>
      <c r="S826" s="13"/>
      <c r="T826" s="13"/>
      <c r="U826" s="13"/>
      <c r="V826" s="13"/>
      <c r="W826" s="13"/>
      <c r="X826" s="13"/>
      <c r="Y826" s="13"/>
      <c r="Z826" s="13"/>
      <c r="AA826" s="13"/>
    </row>
    <row r="827" ht="16.5" customHeight="1">
      <c r="A827" s="10"/>
      <c r="B827" s="10"/>
      <c r="C827" s="13"/>
      <c r="D827" s="13"/>
      <c r="E827" s="13"/>
      <c r="F827" s="185"/>
      <c r="G827" s="13"/>
      <c r="H827" s="13"/>
      <c r="I827" s="13"/>
      <c r="J827" s="13"/>
      <c r="K827" s="13"/>
      <c r="L827" s="13"/>
      <c r="M827" s="13"/>
      <c r="N827" s="13"/>
      <c r="O827" s="13"/>
      <c r="P827" s="13"/>
      <c r="Q827" s="13"/>
      <c r="R827" s="13"/>
      <c r="S827" s="13"/>
      <c r="T827" s="13"/>
      <c r="U827" s="13"/>
      <c r="V827" s="13"/>
      <c r="W827" s="13"/>
      <c r="X827" s="13"/>
      <c r="Y827" s="13"/>
      <c r="Z827" s="13"/>
      <c r="AA827" s="13"/>
    </row>
    <row r="828" ht="16.5" customHeight="1">
      <c r="A828" s="10"/>
      <c r="B828" s="10"/>
      <c r="C828" s="13"/>
      <c r="D828" s="13"/>
      <c r="E828" s="13"/>
      <c r="F828" s="185"/>
      <c r="G828" s="13"/>
      <c r="H828" s="13"/>
      <c r="I828" s="13"/>
      <c r="J828" s="13"/>
      <c r="K828" s="13"/>
      <c r="L828" s="13"/>
      <c r="M828" s="13"/>
      <c r="N828" s="13"/>
      <c r="O828" s="13"/>
      <c r="P828" s="13"/>
      <c r="Q828" s="13"/>
      <c r="R828" s="13"/>
      <c r="S828" s="13"/>
      <c r="T828" s="13"/>
      <c r="U828" s="13"/>
      <c r="V828" s="13"/>
      <c r="W828" s="13"/>
      <c r="X828" s="13"/>
      <c r="Y828" s="13"/>
      <c r="Z828" s="13"/>
      <c r="AA828" s="13"/>
    </row>
    <row r="829" ht="16.5" customHeight="1">
      <c r="A829" s="10"/>
      <c r="B829" s="10"/>
      <c r="C829" s="13"/>
      <c r="D829" s="13"/>
      <c r="E829" s="13"/>
      <c r="F829" s="185"/>
      <c r="G829" s="13"/>
      <c r="H829" s="13"/>
      <c r="I829" s="13"/>
      <c r="J829" s="13"/>
      <c r="K829" s="13"/>
      <c r="L829" s="13"/>
      <c r="M829" s="13"/>
      <c r="N829" s="13"/>
      <c r="O829" s="13"/>
      <c r="P829" s="13"/>
      <c r="Q829" s="13"/>
      <c r="R829" s="13"/>
      <c r="S829" s="13"/>
      <c r="T829" s="13"/>
      <c r="U829" s="13"/>
      <c r="V829" s="13"/>
      <c r="W829" s="13"/>
      <c r="X829" s="13"/>
      <c r="Y829" s="13"/>
      <c r="Z829" s="13"/>
      <c r="AA829" s="13"/>
    </row>
    <row r="830" ht="16.5" customHeight="1">
      <c r="A830" s="10"/>
      <c r="B830" s="10"/>
      <c r="C830" s="13"/>
      <c r="D830" s="13"/>
      <c r="E830" s="13"/>
      <c r="F830" s="185"/>
      <c r="G830" s="13"/>
      <c r="H830" s="13"/>
      <c r="I830" s="13"/>
      <c r="J830" s="13"/>
      <c r="K830" s="13"/>
      <c r="L830" s="13"/>
      <c r="M830" s="13"/>
      <c r="N830" s="13"/>
      <c r="O830" s="13"/>
      <c r="P830" s="13"/>
      <c r="Q830" s="13"/>
      <c r="R830" s="13"/>
      <c r="S830" s="13"/>
      <c r="T830" s="13"/>
      <c r="U830" s="13"/>
      <c r="V830" s="13"/>
      <c r="W830" s="13"/>
      <c r="X830" s="13"/>
      <c r="Y830" s="13"/>
      <c r="Z830" s="13"/>
      <c r="AA830" s="13"/>
    </row>
    <row r="831" ht="16.5" customHeight="1">
      <c r="A831" s="10"/>
      <c r="B831" s="10"/>
      <c r="C831" s="13"/>
      <c r="D831" s="13"/>
      <c r="E831" s="13"/>
      <c r="F831" s="185"/>
      <c r="G831" s="13"/>
      <c r="H831" s="13"/>
      <c r="I831" s="13"/>
      <c r="J831" s="13"/>
      <c r="K831" s="13"/>
      <c r="L831" s="13"/>
      <c r="M831" s="13"/>
      <c r="N831" s="13"/>
      <c r="O831" s="13"/>
      <c r="P831" s="13"/>
      <c r="Q831" s="13"/>
      <c r="R831" s="13"/>
      <c r="S831" s="13"/>
      <c r="T831" s="13"/>
      <c r="U831" s="13"/>
      <c r="V831" s="13"/>
      <c r="W831" s="13"/>
      <c r="X831" s="13"/>
      <c r="Y831" s="13"/>
      <c r="Z831" s="13"/>
      <c r="AA831" s="13"/>
    </row>
    <row r="832" ht="16.5" customHeight="1">
      <c r="A832" s="10"/>
      <c r="B832" s="10"/>
      <c r="C832" s="13"/>
      <c r="D832" s="13"/>
      <c r="E832" s="13"/>
      <c r="F832" s="185"/>
      <c r="G832" s="13"/>
      <c r="H832" s="13"/>
      <c r="I832" s="13"/>
      <c r="J832" s="13"/>
      <c r="K832" s="13"/>
      <c r="L832" s="13"/>
      <c r="M832" s="13"/>
      <c r="N832" s="13"/>
      <c r="O832" s="13"/>
      <c r="P832" s="13"/>
      <c r="Q832" s="13"/>
      <c r="R832" s="13"/>
      <c r="S832" s="13"/>
      <c r="T832" s="13"/>
      <c r="U832" s="13"/>
      <c r="V832" s="13"/>
      <c r="W832" s="13"/>
      <c r="X832" s="13"/>
      <c r="Y832" s="13"/>
      <c r="Z832" s="13"/>
      <c r="AA832" s="13"/>
    </row>
    <row r="833" ht="16.5" customHeight="1">
      <c r="A833" s="10"/>
      <c r="B833" s="10"/>
      <c r="C833" s="13"/>
      <c r="D833" s="13"/>
      <c r="E833" s="13"/>
      <c r="F833" s="185"/>
      <c r="G833" s="13"/>
      <c r="H833" s="13"/>
      <c r="I833" s="13"/>
      <c r="J833" s="13"/>
      <c r="K833" s="13"/>
      <c r="L833" s="13"/>
      <c r="M833" s="13"/>
      <c r="N833" s="13"/>
      <c r="O833" s="13"/>
      <c r="P833" s="13"/>
      <c r="Q833" s="13"/>
      <c r="R833" s="13"/>
      <c r="S833" s="13"/>
      <c r="T833" s="13"/>
      <c r="U833" s="13"/>
      <c r="V833" s="13"/>
      <c r="W833" s="13"/>
      <c r="X833" s="13"/>
      <c r="Y833" s="13"/>
      <c r="Z833" s="13"/>
      <c r="AA833" s="13"/>
    </row>
    <row r="834" ht="16.5" customHeight="1">
      <c r="A834" s="10"/>
      <c r="B834" s="10"/>
      <c r="C834" s="13"/>
      <c r="D834" s="13"/>
      <c r="E834" s="13"/>
      <c r="F834" s="185"/>
      <c r="G834" s="13"/>
      <c r="H834" s="13"/>
      <c r="I834" s="13"/>
      <c r="J834" s="13"/>
      <c r="K834" s="13"/>
      <c r="L834" s="13"/>
      <c r="M834" s="13"/>
      <c r="N834" s="13"/>
      <c r="O834" s="13"/>
      <c r="P834" s="13"/>
      <c r="Q834" s="13"/>
      <c r="R834" s="13"/>
      <c r="S834" s="13"/>
      <c r="T834" s="13"/>
      <c r="U834" s="13"/>
      <c r="V834" s="13"/>
      <c r="W834" s="13"/>
      <c r="X834" s="13"/>
      <c r="Y834" s="13"/>
      <c r="Z834" s="13"/>
      <c r="AA834" s="13"/>
    </row>
    <row r="835" ht="16.5" customHeight="1">
      <c r="A835" s="10"/>
      <c r="B835" s="10"/>
      <c r="C835" s="13"/>
      <c r="D835" s="13"/>
      <c r="E835" s="13"/>
      <c r="F835" s="185"/>
      <c r="G835" s="13"/>
      <c r="H835" s="13"/>
      <c r="I835" s="13"/>
      <c r="J835" s="13"/>
      <c r="K835" s="13"/>
      <c r="L835" s="13"/>
      <c r="M835" s="13"/>
      <c r="N835" s="13"/>
      <c r="O835" s="13"/>
      <c r="P835" s="13"/>
      <c r="Q835" s="13"/>
      <c r="R835" s="13"/>
      <c r="S835" s="13"/>
      <c r="T835" s="13"/>
      <c r="U835" s="13"/>
      <c r="V835" s="13"/>
      <c r="W835" s="13"/>
      <c r="X835" s="13"/>
      <c r="Y835" s="13"/>
      <c r="Z835" s="13"/>
      <c r="AA835" s="13"/>
    </row>
    <row r="836" ht="16.5" customHeight="1">
      <c r="A836" s="10"/>
      <c r="B836" s="10"/>
      <c r="C836" s="13"/>
      <c r="D836" s="13"/>
      <c r="E836" s="13"/>
      <c r="F836" s="185"/>
      <c r="G836" s="13"/>
      <c r="H836" s="13"/>
      <c r="I836" s="13"/>
      <c r="J836" s="13"/>
      <c r="K836" s="13"/>
      <c r="L836" s="13"/>
      <c r="M836" s="13"/>
      <c r="N836" s="13"/>
      <c r="O836" s="13"/>
      <c r="P836" s="13"/>
      <c r="Q836" s="13"/>
      <c r="R836" s="13"/>
      <c r="S836" s="13"/>
      <c r="T836" s="13"/>
      <c r="U836" s="13"/>
      <c r="V836" s="13"/>
      <c r="W836" s="13"/>
      <c r="X836" s="13"/>
      <c r="Y836" s="13"/>
      <c r="Z836" s="13"/>
      <c r="AA836" s="13"/>
    </row>
    <row r="837" ht="16.5" customHeight="1">
      <c r="A837" s="10"/>
      <c r="B837" s="10"/>
      <c r="C837" s="13"/>
      <c r="D837" s="13"/>
      <c r="E837" s="13"/>
      <c r="F837" s="185"/>
      <c r="G837" s="13"/>
      <c r="H837" s="13"/>
      <c r="I837" s="13"/>
      <c r="J837" s="13"/>
      <c r="K837" s="13"/>
      <c r="L837" s="13"/>
      <c r="M837" s="13"/>
      <c r="N837" s="13"/>
      <c r="O837" s="13"/>
      <c r="P837" s="13"/>
      <c r="Q837" s="13"/>
      <c r="R837" s="13"/>
      <c r="S837" s="13"/>
      <c r="T837" s="13"/>
      <c r="U837" s="13"/>
      <c r="V837" s="13"/>
      <c r="W837" s="13"/>
      <c r="X837" s="13"/>
      <c r="Y837" s="13"/>
      <c r="Z837" s="13"/>
      <c r="AA837" s="13"/>
    </row>
    <row r="838" ht="16.5" customHeight="1">
      <c r="A838" s="10"/>
      <c r="B838" s="10"/>
      <c r="C838" s="13"/>
      <c r="D838" s="13"/>
      <c r="E838" s="13"/>
      <c r="F838" s="185"/>
      <c r="G838" s="13"/>
      <c r="H838" s="13"/>
      <c r="I838" s="13"/>
      <c r="J838" s="13"/>
      <c r="K838" s="13"/>
      <c r="L838" s="13"/>
      <c r="M838" s="13"/>
      <c r="N838" s="13"/>
      <c r="O838" s="13"/>
      <c r="P838" s="13"/>
      <c r="Q838" s="13"/>
      <c r="R838" s="13"/>
      <c r="S838" s="13"/>
      <c r="T838" s="13"/>
      <c r="U838" s="13"/>
      <c r="V838" s="13"/>
      <c r="W838" s="13"/>
      <c r="X838" s="13"/>
      <c r="Y838" s="13"/>
      <c r="Z838" s="13"/>
      <c r="AA838" s="13"/>
    </row>
    <row r="839" ht="16.5" customHeight="1">
      <c r="A839" s="10"/>
      <c r="B839" s="10"/>
      <c r="C839" s="13"/>
      <c r="D839" s="13"/>
      <c r="E839" s="13"/>
      <c r="F839" s="185"/>
      <c r="G839" s="13"/>
      <c r="H839" s="13"/>
      <c r="I839" s="13"/>
      <c r="J839" s="13"/>
      <c r="K839" s="13"/>
      <c r="L839" s="13"/>
      <c r="M839" s="13"/>
      <c r="N839" s="13"/>
      <c r="O839" s="13"/>
      <c r="P839" s="13"/>
      <c r="Q839" s="13"/>
      <c r="R839" s="13"/>
      <c r="S839" s="13"/>
      <c r="T839" s="13"/>
      <c r="U839" s="13"/>
      <c r="V839" s="13"/>
      <c r="W839" s="13"/>
      <c r="X839" s="13"/>
      <c r="Y839" s="13"/>
      <c r="Z839" s="13"/>
      <c r="AA839" s="13"/>
    </row>
    <row r="840" ht="16.5" customHeight="1">
      <c r="A840" s="10"/>
      <c r="B840" s="10"/>
      <c r="C840" s="13"/>
      <c r="D840" s="13"/>
      <c r="E840" s="13"/>
      <c r="F840" s="185"/>
      <c r="G840" s="13"/>
      <c r="H840" s="13"/>
      <c r="I840" s="13"/>
      <c r="J840" s="13"/>
      <c r="K840" s="13"/>
      <c r="L840" s="13"/>
      <c r="M840" s="13"/>
      <c r="N840" s="13"/>
      <c r="O840" s="13"/>
      <c r="P840" s="13"/>
      <c r="Q840" s="13"/>
      <c r="R840" s="13"/>
      <c r="S840" s="13"/>
      <c r="T840" s="13"/>
      <c r="U840" s="13"/>
      <c r="V840" s="13"/>
      <c r="W840" s="13"/>
      <c r="X840" s="13"/>
      <c r="Y840" s="13"/>
      <c r="Z840" s="13"/>
      <c r="AA840" s="13"/>
    </row>
    <row r="841" ht="16.5" customHeight="1">
      <c r="A841" s="10"/>
      <c r="B841" s="10"/>
      <c r="C841" s="13"/>
      <c r="D841" s="13"/>
      <c r="E841" s="13"/>
      <c r="F841" s="185"/>
      <c r="G841" s="13"/>
      <c r="H841" s="13"/>
      <c r="I841" s="13"/>
      <c r="J841" s="13"/>
      <c r="K841" s="13"/>
      <c r="L841" s="13"/>
      <c r="M841" s="13"/>
      <c r="N841" s="13"/>
      <c r="O841" s="13"/>
      <c r="P841" s="13"/>
      <c r="Q841" s="13"/>
      <c r="R841" s="13"/>
      <c r="S841" s="13"/>
      <c r="T841" s="13"/>
      <c r="U841" s="13"/>
      <c r="V841" s="13"/>
      <c r="W841" s="13"/>
      <c r="X841" s="13"/>
      <c r="Y841" s="13"/>
      <c r="Z841" s="13"/>
      <c r="AA841" s="13"/>
    </row>
    <row r="842" ht="16.5" customHeight="1">
      <c r="A842" s="10"/>
      <c r="B842" s="10"/>
      <c r="C842" s="13"/>
      <c r="D842" s="13"/>
      <c r="E842" s="13"/>
      <c r="F842" s="185"/>
      <c r="G842" s="13"/>
      <c r="H842" s="13"/>
      <c r="I842" s="13"/>
      <c r="J842" s="13"/>
      <c r="K842" s="13"/>
      <c r="L842" s="13"/>
      <c r="M842" s="13"/>
      <c r="N842" s="13"/>
      <c r="O842" s="13"/>
      <c r="P842" s="13"/>
      <c r="Q842" s="13"/>
      <c r="R842" s="13"/>
      <c r="S842" s="13"/>
      <c r="T842" s="13"/>
      <c r="U842" s="13"/>
      <c r="V842" s="13"/>
      <c r="W842" s="13"/>
      <c r="X842" s="13"/>
      <c r="Y842" s="13"/>
      <c r="Z842" s="13"/>
      <c r="AA842" s="13"/>
    </row>
    <row r="843" ht="16.5" customHeight="1">
      <c r="A843" s="10"/>
      <c r="B843" s="10"/>
      <c r="C843" s="13"/>
      <c r="D843" s="13"/>
      <c r="E843" s="13"/>
      <c r="F843" s="185"/>
      <c r="G843" s="13"/>
      <c r="H843" s="13"/>
      <c r="I843" s="13"/>
      <c r="J843" s="13"/>
      <c r="K843" s="13"/>
      <c r="L843" s="13"/>
      <c r="M843" s="13"/>
      <c r="N843" s="13"/>
      <c r="O843" s="13"/>
      <c r="P843" s="13"/>
      <c r="Q843" s="13"/>
      <c r="R843" s="13"/>
      <c r="S843" s="13"/>
      <c r="T843" s="13"/>
      <c r="U843" s="13"/>
      <c r="V843" s="13"/>
      <c r="W843" s="13"/>
      <c r="X843" s="13"/>
      <c r="Y843" s="13"/>
      <c r="Z843" s="13"/>
      <c r="AA843" s="13"/>
    </row>
    <row r="844" ht="16.5" customHeight="1">
      <c r="A844" s="10"/>
      <c r="B844" s="10"/>
      <c r="C844" s="13"/>
      <c r="D844" s="13"/>
      <c r="E844" s="13"/>
      <c r="F844" s="185"/>
      <c r="G844" s="13"/>
      <c r="H844" s="13"/>
      <c r="I844" s="13"/>
      <c r="J844" s="13"/>
      <c r="K844" s="13"/>
      <c r="L844" s="13"/>
      <c r="M844" s="13"/>
      <c r="N844" s="13"/>
      <c r="O844" s="13"/>
      <c r="P844" s="13"/>
      <c r="Q844" s="13"/>
      <c r="R844" s="13"/>
      <c r="S844" s="13"/>
      <c r="T844" s="13"/>
      <c r="U844" s="13"/>
      <c r="V844" s="13"/>
      <c r="W844" s="13"/>
      <c r="X844" s="13"/>
      <c r="Y844" s="13"/>
      <c r="Z844" s="13"/>
      <c r="AA844" s="13"/>
    </row>
    <row r="845" ht="16.5" customHeight="1">
      <c r="A845" s="10"/>
      <c r="B845" s="10"/>
      <c r="C845" s="13"/>
      <c r="D845" s="13"/>
      <c r="E845" s="13"/>
      <c r="F845" s="185"/>
      <c r="G845" s="13"/>
      <c r="H845" s="13"/>
      <c r="I845" s="13"/>
      <c r="J845" s="13"/>
      <c r="K845" s="13"/>
      <c r="L845" s="13"/>
      <c r="M845" s="13"/>
      <c r="N845" s="13"/>
      <c r="O845" s="13"/>
      <c r="P845" s="13"/>
      <c r="Q845" s="13"/>
      <c r="R845" s="13"/>
      <c r="S845" s="13"/>
      <c r="T845" s="13"/>
      <c r="U845" s="13"/>
      <c r="V845" s="13"/>
      <c r="W845" s="13"/>
      <c r="X845" s="13"/>
      <c r="Y845" s="13"/>
      <c r="Z845" s="13"/>
      <c r="AA845" s="13"/>
    </row>
    <row r="846" ht="16.5" customHeight="1">
      <c r="A846" s="10"/>
      <c r="B846" s="10"/>
      <c r="C846" s="13"/>
      <c r="D846" s="13"/>
      <c r="E846" s="13"/>
      <c r="F846" s="185"/>
      <c r="G846" s="13"/>
      <c r="H846" s="13"/>
      <c r="I846" s="13"/>
      <c r="J846" s="13"/>
      <c r="K846" s="13"/>
      <c r="L846" s="13"/>
      <c r="M846" s="13"/>
      <c r="N846" s="13"/>
      <c r="O846" s="13"/>
      <c r="P846" s="13"/>
      <c r="Q846" s="13"/>
      <c r="R846" s="13"/>
      <c r="S846" s="13"/>
      <c r="T846" s="13"/>
      <c r="U846" s="13"/>
      <c r="V846" s="13"/>
      <c r="W846" s="13"/>
      <c r="X846" s="13"/>
      <c r="Y846" s="13"/>
      <c r="Z846" s="13"/>
      <c r="AA846" s="13"/>
    </row>
    <row r="847" ht="16.5" customHeight="1">
      <c r="A847" s="10"/>
      <c r="B847" s="10"/>
      <c r="C847" s="13"/>
      <c r="D847" s="13"/>
      <c r="E847" s="13"/>
      <c r="F847" s="185"/>
      <c r="G847" s="13"/>
      <c r="H847" s="13"/>
      <c r="I847" s="13"/>
      <c r="J847" s="13"/>
      <c r="K847" s="13"/>
      <c r="L847" s="13"/>
      <c r="M847" s="13"/>
      <c r="N847" s="13"/>
      <c r="O847" s="13"/>
      <c r="P847" s="13"/>
      <c r="Q847" s="13"/>
      <c r="R847" s="13"/>
      <c r="S847" s="13"/>
      <c r="T847" s="13"/>
      <c r="U847" s="13"/>
      <c r="V847" s="13"/>
      <c r="W847" s="13"/>
      <c r="X847" s="13"/>
      <c r="Y847" s="13"/>
      <c r="Z847" s="13"/>
      <c r="AA847" s="13"/>
    </row>
    <row r="848" ht="16.5" customHeight="1">
      <c r="A848" s="10"/>
      <c r="B848" s="10"/>
      <c r="C848" s="13"/>
      <c r="D848" s="13"/>
      <c r="E848" s="13"/>
      <c r="F848" s="185"/>
      <c r="G848" s="13"/>
      <c r="H848" s="13"/>
      <c r="I848" s="13"/>
      <c r="J848" s="13"/>
      <c r="K848" s="13"/>
      <c r="L848" s="13"/>
      <c r="M848" s="13"/>
      <c r="N848" s="13"/>
      <c r="O848" s="13"/>
      <c r="P848" s="13"/>
      <c r="Q848" s="13"/>
      <c r="R848" s="13"/>
      <c r="S848" s="13"/>
      <c r="T848" s="13"/>
      <c r="U848" s="13"/>
      <c r="V848" s="13"/>
      <c r="W848" s="13"/>
      <c r="X848" s="13"/>
      <c r="Y848" s="13"/>
      <c r="Z848" s="13"/>
      <c r="AA848" s="13"/>
    </row>
    <row r="849" ht="16.5" customHeight="1">
      <c r="A849" s="10"/>
      <c r="B849" s="10"/>
      <c r="C849" s="13"/>
      <c r="D849" s="13"/>
      <c r="E849" s="13"/>
      <c r="F849" s="185"/>
      <c r="G849" s="13"/>
      <c r="H849" s="13"/>
      <c r="I849" s="13"/>
      <c r="J849" s="13"/>
      <c r="K849" s="13"/>
      <c r="L849" s="13"/>
      <c r="M849" s="13"/>
      <c r="N849" s="13"/>
      <c r="O849" s="13"/>
      <c r="P849" s="13"/>
      <c r="Q849" s="13"/>
      <c r="R849" s="13"/>
      <c r="S849" s="13"/>
      <c r="T849" s="13"/>
      <c r="U849" s="13"/>
      <c r="V849" s="13"/>
      <c r="W849" s="13"/>
      <c r="X849" s="13"/>
      <c r="Y849" s="13"/>
      <c r="Z849" s="13"/>
      <c r="AA849" s="13"/>
    </row>
    <row r="850" ht="16.5" customHeight="1">
      <c r="A850" s="10"/>
      <c r="B850" s="10"/>
      <c r="C850" s="13"/>
      <c r="D850" s="13"/>
      <c r="E850" s="13"/>
      <c r="F850" s="185"/>
      <c r="G850" s="13"/>
      <c r="H850" s="13"/>
      <c r="I850" s="13"/>
      <c r="J850" s="13"/>
      <c r="K850" s="13"/>
      <c r="L850" s="13"/>
      <c r="M850" s="13"/>
      <c r="N850" s="13"/>
      <c r="O850" s="13"/>
      <c r="P850" s="13"/>
      <c r="Q850" s="13"/>
      <c r="R850" s="13"/>
      <c r="S850" s="13"/>
      <c r="T850" s="13"/>
      <c r="U850" s="13"/>
      <c r="V850" s="13"/>
      <c r="W850" s="13"/>
      <c r="X850" s="13"/>
      <c r="Y850" s="13"/>
      <c r="Z850" s="13"/>
      <c r="AA850" s="13"/>
    </row>
    <row r="851" ht="16.5" customHeight="1">
      <c r="A851" s="10"/>
      <c r="B851" s="10"/>
      <c r="C851" s="13"/>
      <c r="D851" s="13"/>
      <c r="E851" s="13"/>
      <c r="F851" s="185"/>
      <c r="G851" s="13"/>
      <c r="H851" s="13"/>
      <c r="I851" s="13"/>
      <c r="J851" s="13"/>
      <c r="K851" s="13"/>
      <c r="L851" s="13"/>
      <c r="M851" s="13"/>
      <c r="N851" s="13"/>
      <c r="O851" s="13"/>
      <c r="P851" s="13"/>
      <c r="Q851" s="13"/>
      <c r="R851" s="13"/>
      <c r="S851" s="13"/>
      <c r="T851" s="13"/>
      <c r="U851" s="13"/>
      <c r="V851" s="13"/>
      <c r="W851" s="13"/>
      <c r="X851" s="13"/>
      <c r="Y851" s="13"/>
      <c r="Z851" s="13"/>
      <c r="AA851" s="13"/>
    </row>
    <row r="852" ht="16.5" customHeight="1">
      <c r="A852" s="10"/>
      <c r="B852" s="10"/>
      <c r="C852" s="13"/>
      <c r="D852" s="13"/>
      <c r="E852" s="13"/>
      <c r="F852" s="185"/>
      <c r="G852" s="13"/>
      <c r="H852" s="13"/>
      <c r="I852" s="13"/>
      <c r="J852" s="13"/>
      <c r="K852" s="13"/>
      <c r="L852" s="13"/>
      <c r="M852" s="13"/>
      <c r="N852" s="13"/>
      <c r="O852" s="13"/>
      <c r="P852" s="13"/>
      <c r="Q852" s="13"/>
      <c r="R852" s="13"/>
      <c r="S852" s="13"/>
      <c r="T852" s="13"/>
      <c r="U852" s="13"/>
      <c r="V852" s="13"/>
      <c r="W852" s="13"/>
      <c r="X852" s="13"/>
      <c r="Y852" s="13"/>
      <c r="Z852" s="13"/>
      <c r="AA852" s="13"/>
    </row>
    <row r="853" ht="16.5" customHeight="1">
      <c r="A853" s="10"/>
      <c r="B853" s="10"/>
      <c r="C853" s="13"/>
      <c r="D853" s="13"/>
      <c r="E853" s="13"/>
      <c r="F853" s="185"/>
      <c r="G853" s="13"/>
      <c r="H853" s="13"/>
      <c r="I853" s="13"/>
      <c r="J853" s="13"/>
      <c r="K853" s="13"/>
      <c r="L853" s="13"/>
      <c r="M853" s="13"/>
      <c r="N853" s="13"/>
      <c r="O853" s="13"/>
      <c r="P853" s="13"/>
      <c r="Q853" s="13"/>
      <c r="R853" s="13"/>
      <c r="S853" s="13"/>
      <c r="T853" s="13"/>
      <c r="U853" s="13"/>
      <c r="V853" s="13"/>
      <c r="W853" s="13"/>
      <c r="X853" s="13"/>
      <c r="Y853" s="13"/>
      <c r="Z853" s="13"/>
      <c r="AA853" s="13"/>
    </row>
    <row r="854" ht="16.5" customHeight="1">
      <c r="A854" s="10"/>
      <c r="B854" s="10"/>
      <c r="C854" s="13"/>
      <c r="D854" s="13"/>
      <c r="E854" s="13"/>
      <c r="F854" s="185"/>
      <c r="G854" s="13"/>
      <c r="H854" s="13"/>
      <c r="I854" s="13"/>
      <c r="J854" s="13"/>
      <c r="K854" s="13"/>
      <c r="L854" s="13"/>
      <c r="M854" s="13"/>
      <c r="N854" s="13"/>
      <c r="O854" s="13"/>
      <c r="P854" s="13"/>
      <c r="Q854" s="13"/>
      <c r="R854" s="13"/>
      <c r="S854" s="13"/>
      <c r="T854" s="13"/>
      <c r="U854" s="13"/>
      <c r="V854" s="13"/>
      <c r="W854" s="13"/>
      <c r="X854" s="13"/>
      <c r="Y854" s="13"/>
      <c r="Z854" s="13"/>
      <c r="AA854" s="13"/>
    </row>
    <row r="855" ht="16.5" customHeight="1">
      <c r="A855" s="10"/>
      <c r="B855" s="10"/>
      <c r="C855" s="13"/>
      <c r="D855" s="13"/>
      <c r="E855" s="13"/>
      <c r="F855" s="185"/>
      <c r="G855" s="13"/>
      <c r="H855" s="13"/>
      <c r="I855" s="13"/>
      <c r="J855" s="13"/>
      <c r="K855" s="13"/>
      <c r="L855" s="13"/>
      <c r="M855" s="13"/>
      <c r="N855" s="13"/>
      <c r="O855" s="13"/>
      <c r="P855" s="13"/>
      <c r="Q855" s="13"/>
      <c r="R855" s="13"/>
      <c r="S855" s="13"/>
      <c r="T855" s="13"/>
      <c r="U855" s="13"/>
      <c r="V855" s="13"/>
      <c r="W855" s="13"/>
      <c r="X855" s="13"/>
      <c r="Y855" s="13"/>
      <c r="Z855" s="13"/>
      <c r="AA855" s="13"/>
    </row>
    <row r="856" ht="16.5" customHeight="1">
      <c r="A856" s="10"/>
      <c r="B856" s="10"/>
      <c r="C856" s="13"/>
      <c r="D856" s="13"/>
      <c r="E856" s="13"/>
      <c r="F856" s="185"/>
      <c r="G856" s="13"/>
      <c r="H856" s="13"/>
      <c r="I856" s="13"/>
      <c r="J856" s="13"/>
      <c r="K856" s="13"/>
      <c r="L856" s="13"/>
      <c r="M856" s="13"/>
      <c r="N856" s="13"/>
      <c r="O856" s="13"/>
      <c r="P856" s="13"/>
      <c r="Q856" s="13"/>
      <c r="R856" s="13"/>
      <c r="S856" s="13"/>
      <c r="T856" s="13"/>
      <c r="U856" s="13"/>
      <c r="V856" s="13"/>
      <c r="W856" s="13"/>
      <c r="X856" s="13"/>
      <c r="Y856" s="13"/>
      <c r="Z856" s="13"/>
      <c r="AA856" s="13"/>
    </row>
    <row r="857" ht="16.5" customHeight="1">
      <c r="A857" s="10"/>
      <c r="B857" s="10"/>
      <c r="C857" s="13"/>
      <c r="D857" s="13"/>
      <c r="E857" s="13"/>
      <c r="F857" s="185"/>
      <c r="G857" s="13"/>
      <c r="H857" s="13"/>
      <c r="I857" s="13"/>
      <c r="J857" s="13"/>
      <c r="K857" s="13"/>
      <c r="L857" s="13"/>
      <c r="M857" s="13"/>
      <c r="N857" s="13"/>
      <c r="O857" s="13"/>
      <c r="P857" s="13"/>
      <c r="Q857" s="13"/>
      <c r="R857" s="13"/>
      <c r="S857" s="13"/>
      <c r="T857" s="13"/>
      <c r="U857" s="13"/>
      <c r="V857" s="13"/>
      <c r="W857" s="13"/>
      <c r="X857" s="13"/>
      <c r="Y857" s="13"/>
      <c r="Z857" s="13"/>
      <c r="AA857" s="13"/>
    </row>
    <row r="858" ht="16.5" customHeight="1">
      <c r="A858" s="10"/>
      <c r="B858" s="10"/>
      <c r="C858" s="13"/>
      <c r="D858" s="13"/>
      <c r="E858" s="13"/>
      <c r="F858" s="185"/>
      <c r="G858" s="13"/>
      <c r="H858" s="13"/>
      <c r="I858" s="13"/>
      <c r="J858" s="13"/>
      <c r="K858" s="13"/>
      <c r="L858" s="13"/>
      <c r="M858" s="13"/>
      <c r="N858" s="13"/>
      <c r="O858" s="13"/>
      <c r="P858" s="13"/>
      <c r="Q858" s="13"/>
      <c r="R858" s="13"/>
      <c r="S858" s="13"/>
      <c r="T858" s="13"/>
      <c r="U858" s="13"/>
      <c r="V858" s="13"/>
      <c r="W858" s="13"/>
      <c r="X858" s="13"/>
      <c r="Y858" s="13"/>
      <c r="Z858" s="13"/>
      <c r="AA858" s="13"/>
    </row>
    <row r="859" ht="16.5" customHeight="1">
      <c r="A859" s="10"/>
      <c r="B859" s="10"/>
      <c r="C859" s="13"/>
      <c r="D859" s="13"/>
      <c r="E859" s="13"/>
      <c r="F859" s="185"/>
      <c r="G859" s="13"/>
      <c r="H859" s="13"/>
      <c r="I859" s="13"/>
      <c r="J859" s="13"/>
      <c r="K859" s="13"/>
      <c r="L859" s="13"/>
      <c r="M859" s="13"/>
      <c r="N859" s="13"/>
      <c r="O859" s="13"/>
      <c r="P859" s="13"/>
      <c r="Q859" s="13"/>
      <c r="R859" s="13"/>
      <c r="S859" s="13"/>
      <c r="T859" s="13"/>
      <c r="U859" s="13"/>
      <c r="V859" s="13"/>
      <c r="W859" s="13"/>
      <c r="X859" s="13"/>
      <c r="Y859" s="13"/>
      <c r="Z859" s="13"/>
      <c r="AA859" s="13"/>
    </row>
    <row r="860" ht="16.5" customHeight="1">
      <c r="A860" s="10"/>
      <c r="B860" s="10"/>
      <c r="C860" s="13"/>
      <c r="D860" s="13"/>
      <c r="E860" s="13"/>
      <c r="F860" s="185"/>
      <c r="G860" s="13"/>
      <c r="H860" s="13"/>
      <c r="I860" s="13"/>
      <c r="J860" s="13"/>
      <c r="K860" s="13"/>
      <c r="L860" s="13"/>
      <c r="M860" s="13"/>
      <c r="N860" s="13"/>
      <c r="O860" s="13"/>
      <c r="P860" s="13"/>
      <c r="Q860" s="13"/>
      <c r="R860" s="13"/>
      <c r="S860" s="13"/>
      <c r="T860" s="13"/>
      <c r="U860" s="13"/>
      <c r="V860" s="13"/>
      <c r="W860" s="13"/>
      <c r="X860" s="13"/>
      <c r="Y860" s="13"/>
      <c r="Z860" s="13"/>
      <c r="AA860" s="13"/>
    </row>
    <row r="861" ht="16.5" customHeight="1">
      <c r="A861" s="10"/>
      <c r="B861" s="10"/>
      <c r="C861" s="13"/>
      <c r="D861" s="13"/>
      <c r="E861" s="13"/>
      <c r="F861" s="185"/>
      <c r="G861" s="13"/>
      <c r="H861" s="13"/>
      <c r="I861" s="13"/>
      <c r="J861" s="13"/>
      <c r="K861" s="13"/>
      <c r="L861" s="13"/>
      <c r="M861" s="13"/>
      <c r="N861" s="13"/>
      <c r="O861" s="13"/>
      <c r="P861" s="13"/>
      <c r="Q861" s="13"/>
      <c r="R861" s="13"/>
      <c r="S861" s="13"/>
      <c r="T861" s="13"/>
      <c r="U861" s="13"/>
      <c r="V861" s="13"/>
      <c r="W861" s="13"/>
      <c r="X861" s="13"/>
      <c r="Y861" s="13"/>
      <c r="Z861" s="13"/>
      <c r="AA861" s="13"/>
    </row>
    <row r="862" ht="16.5" customHeight="1">
      <c r="A862" s="10"/>
      <c r="B862" s="10"/>
      <c r="C862" s="13"/>
      <c r="D862" s="13"/>
      <c r="E862" s="13"/>
      <c r="F862" s="185"/>
      <c r="G862" s="13"/>
      <c r="H862" s="13"/>
      <c r="I862" s="13"/>
      <c r="J862" s="13"/>
      <c r="K862" s="13"/>
      <c r="L862" s="13"/>
      <c r="M862" s="13"/>
      <c r="N862" s="13"/>
      <c r="O862" s="13"/>
      <c r="P862" s="13"/>
      <c r="Q862" s="13"/>
      <c r="R862" s="13"/>
      <c r="S862" s="13"/>
      <c r="T862" s="13"/>
      <c r="U862" s="13"/>
      <c r="V862" s="13"/>
      <c r="W862" s="13"/>
      <c r="X862" s="13"/>
      <c r="Y862" s="13"/>
      <c r="Z862" s="13"/>
      <c r="AA862" s="13"/>
    </row>
    <row r="863" ht="16.5" customHeight="1">
      <c r="A863" s="10"/>
      <c r="B863" s="10"/>
      <c r="C863" s="13"/>
      <c r="D863" s="13"/>
      <c r="E863" s="13"/>
      <c r="F863" s="185"/>
      <c r="G863" s="13"/>
      <c r="H863" s="13"/>
      <c r="I863" s="13"/>
      <c r="J863" s="13"/>
      <c r="K863" s="13"/>
      <c r="L863" s="13"/>
      <c r="M863" s="13"/>
      <c r="N863" s="13"/>
      <c r="O863" s="13"/>
      <c r="P863" s="13"/>
      <c r="Q863" s="13"/>
      <c r="R863" s="13"/>
      <c r="S863" s="13"/>
      <c r="T863" s="13"/>
      <c r="U863" s="13"/>
      <c r="V863" s="13"/>
      <c r="W863" s="13"/>
      <c r="X863" s="13"/>
      <c r="Y863" s="13"/>
      <c r="Z863" s="13"/>
      <c r="AA863" s="13"/>
    </row>
    <row r="864" ht="16.5" customHeight="1">
      <c r="A864" s="10"/>
      <c r="B864" s="10"/>
      <c r="C864" s="13"/>
      <c r="D864" s="13"/>
      <c r="E864" s="13"/>
      <c r="F864" s="185"/>
      <c r="G864" s="13"/>
      <c r="H864" s="13"/>
      <c r="I864" s="13"/>
      <c r="J864" s="13"/>
      <c r="K864" s="13"/>
      <c r="L864" s="13"/>
      <c r="M864" s="13"/>
      <c r="N864" s="13"/>
      <c r="O864" s="13"/>
      <c r="P864" s="13"/>
      <c r="Q864" s="13"/>
      <c r="R864" s="13"/>
      <c r="S864" s="13"/>
      <c r="T864" s="13"/>
      <c r="U864" s="13"/>
      <c r="V864" s="13"/>
      <c r="W864" s="13"/>
      <c r="X864" s="13"/>
      <c r="Y864" s="13"/>
      <c r="Z864" s="13"/>
      <c r="AA864" s="13"/>
    </row>
    <row r="865" ht="16.5" customHeight="1">
      <c r="A865" s="10"/>
      <c r="B865" s="10"/>
      <c r="C865" s="13"/>
      <c r="D865" s="13"/>
      <c r="E865" s="13"/>
      <c r="F865" s="185"/>
      <c r="G865" s="13"/>
      <c r="H865" s="13"/>
      <c r="I865" s="13"/>
      <c r="J865" s="13"/>
      <c r="K865" s="13"/>
      <c r="L865" s="13"/>
      <c r="M865" s="13"/>
      <c r="N865" s="13"/>
      <c r="O865" s="13"/>
      <c r="P865" s="13"/>
      <c r="Q865" s="13"/>
      <c r="R865" s="13"/>
      <c r="S865" s="13"/>
      <c r="T865" s="13"/>
      <c r="U865" s="13"/>
      <c r="V865" s="13"/>
      <c r="W865" s="13"/>
      <c r="X865" s="13"/>
      <c r="Y865" s="13"/>
      <c r="Z865" s="13"/>
      <c r="AA865" s="13"/>
    </row>
    <row r="866" ht="16.5" customHeight="1">
      <c r="A866" s="10"/>
      <c r="B866" s="10"/>
      <c r="C866" s="13"/>
      <c r="D866" s="13"/>
      <c r="E866" s="13"/>
      <c r="F866" s="185"/>
      <c r="G866" s="13"/>
      <c r="H866" s="13"/>
      <c r="I866" s="13"/>
      <c r="J866" s="13"/>
      <c r="K866" s="13"/>
      <c r="L866" s="13"/>
      <c r="M866" s="13"/>
      <c r="N866" s="13"/>
      <c r="O866" s="13"/>
      <c r="P866" s="13"/>
      <c r="Q866" s="13"/>
      <c r="R866" s="13"/>
      <c r="S866" s="13"/>
      <c r="T866" s="13"/>
      <c r="U866" s="13"/>
      <c r="V866" s="13"/>
      <c r="W866" s="13"/>
      <c r="X866" s="13"/>
      <c r="Y866" s="13"/>
      <c r="Z866" s="13"/>
      <c r="AA866" s="13"/>
    </row>
    <row r="867" ht="16.5" customHeight="1">
      <c r="A867" s="10"/>
      <c r="B867" s="10"/>
      <c r="C867" s="13"/>
      <c r="D867" s="13"/>
      <c r="E867" s="13"/>
      <c r="F867" s="185"/>
      <c r="G867" s="13"/>
      <c r="H867" s="13"/>
      <c r="I867" s="13"/>
      <c r="J867" s="13"/>
      <c r="K867" s="13"/>
      <c r="L867" s="13"/>
      <c r="M867" s="13"/>
      <c r="N867" s="13"/>
      <c r="O867" s="13"/>
      <c r="P867" s="13"/>
      <c r="Q867" s="13"/>
      <c r="R867" s="13"/>
      <c r="S867" s="13"/>
      <c r="T867" s="13"/>
      <c r="U867" s="13"/>
      <c r="V867" s="13"/>
      <c r="W867" s="13"/>
      <c r="X867" s="13"/>
      <c r="Y867" s="13"/>
      <c r="Z867" s="13"/>
      <c r="AA867" s="13"/>
    </row>
    <row r="868" ht="16.5" customHeight="1">
      <c r="A868" s="10"/>
      <c r="B868" s="10"/>
      <c r="C868" s="13"/>
      <c r="D868" s="13"/>
      <c r="E868" s="13"/>
      <c r="F868" s="185"/>
      <c r="G868" s="13"/>
      <c r="H868" s="13"/>
      <c r="I868" s="13"/>
      <c r="J868" s="13"/>
      <c r="K868" s="13"/>
      <c r="L868" s="13"/>
      <c r="M868" s="13"/>
      <c r="N868" s="13"/>
      <c r="O868" s="13"/>
      <c r="P868" s="13"/>
      <c r="Q868" s="13"/>
      <c r="R868" s="13"/>
      <c r="S868" s="13"/>
      <c r="T868" s="13"/>
      <c r="U868" s="13"/>
      <c r="V868" s="13"/>
      <c r="W868" s="13"/>
      <c r="X868" s="13"/>
      <c r="Y868" s="13"/>
      <c r="Z868" s="13"/>
      <c r="AA868" s="13"/>
    </row>
    <row r="869" ht="16.5" customHeight="1">
      <c r="A869" s="10"/>
      <c r="B869" s="10"/>
      <c r="C869" s="13"/>
      <c r="D869" s="13"/>
      <c r="E869" s="13"/>
      <c r="F869" s="185"/>
      <c r="G869" s="13"/>
      <c r="H869" s="13"/>
      <c r="I869" s="13"/>
      <c r="J869" s="13"/>
      <c r="K869" s="13"/>
      <c r="L869" s="13"/>
      <c r="M869" s="13"/>
      <c r="N869" s="13"/>
      <c r="O869" s="13"/>
      <c r="P869" s="13"/>
      <c r="Q869" s="13"/>
      <c r="R869" s="13"/>
      <c r="S869" s="13"/>
      <c r="T869" s="13"/>
      <c r="U869" s="13"/>
      <c r="V869" s="13"/>
      <c r="W869" s="13"/>
      <c r="X869" s="13"/>
      <c r="Y869" s="13"/>
      <c r="Z869" s="13"/>
      <c r="AA869" s="13"/>
    </row>
    <row r="870" ht="16.5" customHeight="1">
      <c r="A870" s="10"/>
      <c r="B870" s="10"/>
      <c r="C870" s="13"/>
      <c r="D870" s="13"/>
      <c r="E870" s="13"/>
      <c r="F870" s="185"/>
      <c r="G870" s="13"/>
      <c r="H870" s="13"/>
      <c r="I870" s="13"/>
      <c r="J870" s="13"/>
      <c r="K870" s="13"/>
      <c r="L870" s="13"/>
      <c r="M870" s="13"/>
      <c r="N870" s="13"/>
      <c r="O870" s="13"/>
      <c r="P870" s="13"/>
      <c r="Q870" s="13"/>
      <c r="R870" s="13"/>
      <c r="S870" s="13"/>
      <c r="T870" s="13"/>
      <c r="U870" s="13"/>
      <c r="V870" s="13"/>
      <c r="W870" s="13"/>
      <c r="X870" s="13"/>
      <c r="Y870" s="13"/>
      <c r="Z870" s="13"/>
      <c r="AA870" s="13"/>
    </row>
    <row r="871" ht="16.5" customHeight="1">
      <c r="A871" s="10"/>
      <c r="B871" s="10"/>
      <c r="C871" s="13"/>
      <c r="D871" s="13"/>
      <c r="E871" s="13"/>
      <c r="F871" s="185"/>
      <c r="G871" s="13"/>
      <c r="H871" s="13"/>
      <c r="I871" s="13"/>
      <c r="J871" s="13"/>
      <c r="K871" s="13"/>
      <c r="L871" s="13"/>
      <c r="M871" s="13"/>
      <c r="N871" s="13"/>
      <c r="O871" s="13"/>
      <c r="P871" s="13"/>
      <c r="Q871" s="13"/>
      <c r="R871" s="13"/>
      <c r="S871" s="13"/>
      <c r="T871" s="13"/>
      <c r="U871" s="13"/>
      <c r="V871" s="13"/>
      <c r="W871" s="13"/>
      <c r="X871" s="13"/>
      <c r="Y871" s="13"/>
      <c r="Z871" s="13"/>
      <c r="AA871" s="13"/>
    </row>
    <row r="872" ht="16.5" customHeight="1">
      <c r="A872" s="10"/>
      <c r="B872" s="10"/>
      <c r="C872" s="13"/>
      <c r="D872" s="13"/>
      <c r="E872" s="13"/>
      <c r="F872" s="185"/>
      <c r="G872" s="13"/>
      <c r="H872" s="13"/>
      <c r="I872" s="13"/>
      <c r="J872" s="13"/>
      <c r="K872" s="13"/>
      <c r="L872" s="13"/>
      <c r="M872" s="13"/>
      <c r="N872" s="13"/>
      <c r="O872" s="13"/>
      <c r="P872" s="13"/>
      <c r="Q872" s="13"/>
      <c r="R872" s="13"/>
      <c r="S872" s="13"/>
      <c r="T872" s="13"/>
      <c r="U872" s="13"/>
      <c r="V872" s="13"/>
      <c r="W872" s="13"/>
      <c r="X872" s="13"/>
      <c r="Y872" s="13"/>
      <c r="Z872" s="13"/>
      <c r="AA872" s="13"/>
    </row>
    <row r="873" ht="16.5" customHeight="1">
      <c r="A873" s="10"/>
      <c r="B873" s="10"/>
      <c r="C873" s="13"/>
      <c r="D873" s="13"/>
      <c r="E873" s="13"/>
      <c r="F873" s="185"/>
      <c r="G873" s="13"/>
      <c r="H873" s="13"/>
      <c r="I873" s="13"/>
      <c r="J873" s="13"/>
      <c r="K873" s="13"/>
      <c r="L873" s="13"/>
      <c r="M873" s="13"/>
      <c r="N873" s="13"/>
      <c r="O873" s="13"/>
      <c r="P873" s="13"/>
      <c r="Q873" s="13"/>
      <c r="R873" s="13"/>
      <c r="S873" s="13"/>
      <c r="T873" s="13"/>
      <c r="U873" s="13"/>
      <c r="V873" s="13"/>
      <c r="W873" s="13"/>
      <c r="X873" s="13"/>
      <c r="Y873" s="13"/>
      <c r="Z873" s="13"/>
      <c r="AA873" s="13"/>
    </row>
    <row r="874" ht="16.5" customHeight="1">
      <c r="A874" s="10"/>
      <c r="B874" s="10"/>
      <c r="C874" s="13"/>
      <c r="D874" s="13"/>
      <c r="E874" s="13"/>
      <c r="F874" s="185"/>
      <c r="G874" s="13"/>
      <c r="H874" s="13"/>
      <c r="I874" s="13"/>
      <c r="J874" s="13"/>
      <c r="K874" s="13"/>
      <c r="L874" s="13"/>
      <c r="M874" s="13"/>
      <c r="N874" s="13"/>
      <c r="O874" s="13"/>
      <c r="P874" s="13"/>
      <c r="Q874" s="13"/>
      <c r="R874" s="13"/>
      <c r="S874" s="13"/>
      <c r="T874" s="13"/>
      <c r="U874" s="13"/>
      <c r="V874" s="13"/>
      <c r="W874" s="13"/>
      <c r="X874" s="13"/>
      <c r="Y874" s="13"/>
      <c r="Z874" s="13"/>
      <c r="AA874" s="13"/>
    </row>
    <row r="875" ht="16.5" customHeight="1">
      <c r="A875" s="10"/>
      <c r="B875" s="10"/>
      <c r="C875" s="13"/>
      <c r="D875" s="13"/>
      <c r="E875" s="13"/>
      <c r="F875" s="185"/>
      <c r="G875" s="13"/>
      <c r="H875" s="13"/>
      <c r="I875" s="13"/>
      <c r="J875" s="13"/>
      <c r="K875" s="13"/>
      <c r="L875" s="13"/>
      <c r="M875" s="13"/>
      <c r="N875" s="13"/>
      <c r="O875" s="13"/>
      <c r="P875" s="13"/>
      <c r="Q875" s="13"/>
      <c r="R875" s="13"/>
      <c r="S875" s="13"/>
      <c r="T875" s="13"/>
      <c r="U875" s="13"/>
      <c r="V875" s="13"/>
      <c r="W875" s="13"/>
      <c r="X875" s="13"/>
      <c r="Y875" s="13"/>
      <c r="Z875" s="13"/>
      <c r="AA875" s="13"/>
    </row>
    <row r="876" ht="16.5" customHeight="1">
      <c r="A876" s="10"/>
      <c r="B876" s="10"/>
      <c r="C876" s="13"/>
      <c r="D876" s="13"/>
      <c r="E876" s="13"/>
      <c r="F876" s="185"/>
      <c r="G876" s="13"/>
      <c r="H876" s="13"/>
      <c r="I876" s="13"/>
      <c r="J876" s="13"/>
      <c r="K876" s="13"/>
      <c r="L876" s="13"/>
      <c r="M876" s="13"/>
      <c r="N876" s="13"/>
      <c r="O876" s="13"/>
      <c r="P876" s="13"/>
      <c r="Q876" s="13"/>
      <c r="R876" s="13"/>
      <c r="S876" s="13"/>
      <c r="T876" s="13"/>
      <c r="U876" s="13"/>
      <c r="V876" s="13"/>
      <c r="W876" s="13"/>
      <c r="X876" s="13"/>
      <c r="Y876" s="13"/>
      <c r="Z876" s="13"/>
      <c r="AA876" s="13"/>
    </row>
    <row r="877" ht="16.5" customHeight="1">
      <c r="A877" s="10"/>
      <c r="B877" s="10"/>
      <c r="C877" s="13"/>
      <c r="D877" s="13"/>
      <c r="E877" s="13"/>
      <c r="F877" s="185"/>
      <c r="G877" s="13"/>
      <c r="H877" s="13"/>
      <c r="I877" s="13"/>
      <c r="J877" s="13"/>
      <c r="K877" s="13"/>
      <c r="L877" s="13"/>
      <c r="M877" s="13"/>
      <c r="N877" s="13"/>
      <c r="O877" s="13"/>
      <c r="P877" s="13"/>
      <c r="Q877" s="13"/>
      <c r="R877" s="13"/>
      <c r="S877" s="13"/>
      <c r="T877" s="13"/>
      <c r="U877" s="13"/>
      <c r="V877" s="13"/>
      <c r="W877" s="13"/>
      <c r="X877" s="13"/>
      <c r="Y877" s="13"/>
      <c r="Z877" s="13"/>
      <c r="AA877" s="13"/>
    </row>
    <row r="878" ht="16.5" customHeight="1">
      <c r="A878" s="10"/>
      <c r="B878" s="10"/>
      <c r="C878" s="13"/>
      <c r="D878" s="13"/>
      <c r="E878" s="13"/>
      <c r="F878" s="185"/>
      <c r="G878" s="13"/>
      <c r="H878" s="13"/>
      <c r="I878" s="13"/>
      <c r="J878" s="13"/>
      <c r="K878" s="13"/>
      <c r="L878" s="13"/>
      <c r="M878" s="13"/>
      <c r="N878" s="13"/>
      <c r="O878" s="13"/>
      <c r="P878" s="13"/>
      <c r="Q878" s="13"/>
      <c r="R878" s="13"/>
      <c r="S878" s="13"/>
      <c r="T878" s="13"/>
      <c r="U878" s="13"/>
      <c r="V878" s="13"/>
      <c r="W878" s="13"/>
      <c r="X878" s="13"/>
      <c r="Y878" s="13"/>
      <c r="Z878" s="13"/>
      <c r="AA878" s="13"/>
    </row>
    <row r="879" ht="16.5" customHeight="1">
      <c r="A879" s="10"/>
      <c r="B879" s="10"/>
      <c r="C879" s="13"/>
      <c r="D879" s="13"/>
      <c r="E879" s="13"/>
      <c r="F879" s="185"/>
      <c r="G879" s="13"/>
      <c r="H879" s="13"/>
      <c r="I879" s="13"/>
      <c r="J879" s="13"/>
      <c r="K879" s="13"/>
      <c r="L879" s="13"/>
      <c r="M879" s="13"/>
      <c r="N879" s="13"/>
      <c r="O879" s="13"/>
      <c r="P879" s="13"/>
      <c r="Q879" s="13"/>
      <c r="R879" s="13"/>
      <c r="S879" s="13"/>
      <c r="T879" s="13"/>
      <c r="U879" s="13"/>
      <c r="V879" s="13"/>
      <c r="W879" s="13"/>
      <c r="X879" s="13"/>
      <c r="Y879" s="13"/>
      <c r="Z879" s="13"/>
      <c r="AA879" s="13"/>
    </row>
    <row r="880" ht="16.5" customHeight="1">
      <c r="A880" s="10"/>
      <c r="B880" s="10"/>
      <c r="C880" s="13"/>
      <c r="D880" s="13"/>
      <c r="E880" s="13"/>
      <c r="F880" s="185"/>
      <c r="G880" s="13"/>
      <c r="H880" s="13"/>
      <c r="I880" s="13"/>
      <c r="J880" s="13"/>
      <c r="K880" s="13"/>
      <c r="L880" s="13"/>
      <c r="M880" s="13"/>
      <c r="N880" s="13"/>
      <c r="O880" s="13"/>
      <c r="P880" s="13"/>
      <c r="Q880" s="13"/>
      <c r="R880" s="13"/>
      <c r="S880" s="13"/>
      <c r="T880" s="13"/>
      <c r="U880" s="13"/>
      <c r="V880" s="13"/>
      <c r="W880" s="13"/>
      <c r="X880" s="13"/>
      <c r="Y880" s="13"/>
      <c r="Z880" s="13"/>
      <c r="AA880" s="13"/>
    </row>
    <row r="881" ht="16.5" customHeight="1">
      <c r="A881" s="10"/>
      <c r="B881" s="10"/>
      <c r="C881" s="13"/>
      <c r="D881" s="13"/>
      <c r="E881" s="13"/>
      <c r="F881" s="185"/>
      <c r="G881" s="13"/>
      <c r="H881" s="13"/>
      <c r="I881" s="13"/>
      <c r="J881" s="13"/>
      <c r="K881" s="13"/>
      <c r="L881" s="13"/>
      <c r="M881" s="13"/>
      <c r="N881" s="13"/>
      <c r="O881" s="13"/>
      <c r="P881" s="13"/>
      <c r="Q881" s="13"/>
      <c r="R881" s="13"/>
      <c r="S881" s="13"/>
      <c r="T881" s="13"/>
      <c r="U881" s="13"/>
      <c r="V881" s="13"/>
      <c r="W881" s="13"/>
      <c r="X881" s="13"/>
      <c r="Y881" s="13"/>
      <c r="Z881" s="13"/>
      <c r="AA881" s="13"/>
    </row>
    <row r="882" ht="16.5" customHeight="1">
      <c r="A882" s="10"/>
      <c r="B882" s="10"/>
      <c r="C882" s="13"/>
      <c r="D882" s="13"/>
      <c r="E882" s="13"/>
      <c r="F882" s="185"/>
      <c r="G882" s="13"/>
      <c r="H882" s="13"/>
      <c r="I882" s="13"/>
      <c r="J882" s="13"/>
      <c r="K882" s="13"/>
      <c r="L882" s="13"/>
      <c r="M882" s="13"/>
      <c r="N882" s="13"/>
      <c r="O882" s="13"/>
      <c r="P882" s="13"/>
      <c r="Q882" s="13"/>
      <c r="R882" s="13"/>
      <c r="S882" s="13"/>
      <c r="T882" s="13"/>
      <c r="U882" s="13"/>
      <c r="V882" s="13"/>
      <c r="W882" s="13"/>
      <c r="X882" s="13"/>
      <c r="Y882" s="13"/>
      <c r="Z882" s="13"/>
      <c r="AA882" s="13"/>
    </row>
    <row r="883" ht="16.5" customHeight="1">
      <c r="A883" s="10"/>
      <c r="B883" s="10"/>
      <c r="C883" s="13"/>
      <c r="D883" s="13"/>
      <c r="E883" s="13"/>
      <c r="F883" s="185"/>
      <c r="G883" s="13"/>
      <c r="H883" s="13"/>
      <c r="I883" s="13"/>
      <c r="J883" s="13"/>
      <c r="K883" s="13"/>
      <c r="L883" s="13"/>
      <c r="M883" s="13"/>
      <c r="N883" s="13"/>
      <c r="O883" s="13"/>
      <c r="P883" s="13"/>
      <c r="Q883" s="13"/>
      <c r="R883" s="13"/>
      <c r="S883" s="13"/>
      <c r="T883" s="13"/>
      <c r="U883" s="13"/>
      <c r="V883" s="13"/>
      <c r="W883" s="13"/>
      <c r="X883" s="13"/>
      <c r="Y883" s="13"/>
      <c r="Z883" s="13"/>
      <c r="AA883" s="13"/>
    </row>
    <row r="884" ht="16.5" customHeight="1">
      <c r="A884" s="10"/>
      <c r="B884" s="10"/>
      <c r="C884" s="13"/>
      <c r="D884" s="13"/>
      <c r="E884" s="13"/>
      <c r="F884" s="185"/>
      <c r="G884" s="13"/>
      <c r="H884" s="13"/>
      <c r="I884" s="13"/>
      <c r="J884" s="13"/>
      <c r="K884" s="13"/>
      <c r="L884" s="13"/>
      <c r="M884" s="13"/>
      <c r="N884" s="13"/>
      <c r="O884" s="13"/>
      <c r="P884" s="13"/>
      <c r="Q884" s="13"/>
      <c r="R884" s="13"/>
      <c r="S884" s="13"/>
      <c r="T884" s="13"/>
      <c r="U884" s="13"/>
      <c r="V884" s="13"/>
      <c r="W884" s="13"/>
      <c r="X884" s="13"/>
      <c r="Y884" s="13"/>
      <c r="Z884" s="13"/>
      <c r="AA884" s="13"/>
    </row>
    <row r="885" ht="16.5" customHeight="1">
      <c r="A885" s="10"/>
      <c r="B885" s="10"/>
      <c r="C885" s="13"/>
      <c r="D885" s="13"/>
      <c r="E885" s="13"/>
      <c r="F885" s="185"/>
      <c r="G885" s="13"/>
      <c r="H885" s="13"/>
      <c r="I885" s="13"/>
      <c r="J885" s="13"/>
      <c r="K885" s="13"/>
      <c r="L885" s="13"/>
      <c r="M885" s="13"/>
      <c r="N885" s="13"/>
      <c r="O885" s="13"/>
      <c r="P885" s="13"/>
      <c r="Q885" s="13"/>
      <c r="R885" s="13"/>
      <c r="S885" s="13"/>
      <c r="T885" s="13"/>
      <c r="U885" s="13"/>
      <c r="V885" s="13"/>
      <c r="W885" s="13"/>
      <c r="X885" s="13"/>
      <c r="Y885" s="13"/>
      <c r="Z885" s="13"/>
      <c r="AA885" s="13"/>
    </row>
    <row r="886" ht="16.5" customHeight="1">
      <c r="A886" s="10"/>
      <c r="B886" s="10"/>
      <c r="C886" s="13"/>
      <c r="D886" s="13"/>
      <c r="E886" s="13"/>
      <c r="F886" s="185"/>
      <c r="G886" s="13"/>
      <c r="H886" s="13"/>
      <c r="I886" s="13"/>
      <c r="J886" s="13"/>
      <c r="K886" s="13"/>
      <c r="L886" s="13"/>
      <c r="M886" s="13"/>
      <c r="N886" s="13"/>
      <c r="O886" s="13"/>
      <c r="P886" s="13"/>
      <c r="Q886" s="13"/>
      <c r="R886" s="13"/>
      <c r="S886" s="13"/>
      <c r="T886" s="13"/>
      <c r="U886" s="13"/>
      <c r="V886" s="13"/>
      <c r="W886" s="13"/>
      <c r="X886" s="13"/>
      <c r="Y886" s="13"/>
      <c r="Z886" s="13"/>
      <c r="AA886" s="13"/>
    </row>
    <row r="887" ht="16.5" customHeight="1">
      <c r="A887" s="10"/>
      <c r="B887" s="10"/>
      <c r="C887" s="13"/>
      <c r="D887" s="13"/>
      <c r="E887" s="13"/>
      <c r="F887" s="185"/>
      <c r="G887" s="13"/>
      <c r="H887" s="13"/>
      <c r="I887" s="13"/>
      <c r="J887" s="13"/>
      <c r="K887" s="13"/>
      <c r="L887" s="13"/>
      <c r="M887" s="13"/>
      <c r="N887" s="13"/>
      <c r="O887" s="13"/>
      <c r="P887" s="13"/>
      <c r="Q887" s="13"/>
      <c r="R887" s="13"/>
      <c r="S887" s="13"/>
      <c r="T887" s="13"/>
      <c r="U887" s="13"/>
      <c r="V887" s="13"/>
      <c r="W887" s="13"/>
      <c r="X887" s="13"/>
      <c r="Y887" s="13"/>
      <c r="Z887" s="13"/>
      <c r="AA887" s="13"/>
    </row>
    <row r="888" ht="16.5" customHeight="1">
      <c r="A888" s="10"/>
      <c r="B888" s="10"/>
      <c r="C888" s="13"/>
      <c r="D888" s="13"/>
      <c r="E888" s="13"/>
      <c r="F888" s="185"/>
      <c r="G888" s="13"/>
      <c r="H888" s="13"/>
      <c r="I888" s="13"/>
      <c r="J888" s="13"/>
      <c r="K888" s="13"/>
      <c r="L888" s="13"/>
      <c r="M888" s="13"/>
      <c r="N888" s="13"/>
      <c r="O888" s="13"/>
      <c r="P888" s="13"/>
      <c r="Q888" s="13"/>
      <c r="R888" s="13"/>
      <c r="S888" s="13"/>
      <c r="T888" s="13"/>
      <c r="U888" s="13"/>
      <c r="V888" s="13"/>
      <c r="W888" s="13"/>
      <c r="X888" s="13"/>
      <c r="Y888" s="13"/>
      <c r="Z888" s="13"/>
      <c r="AA888" s="13"/>
    </row>
    <row r="889" ht="16.5" customHeight="1">
      <c r="A889" s="10"/>
      <c r="B889" s="10"/>
      <c r="C889" s="13"/>
      <c r="D889" s="13"/>
      <c r="E889" s="13"/>
      <c r="F889" s="185"/>
      <c r="G889" s="13"/>
      <c r="H889" s="13"/>
      <c r="I889" s="13"/>
      <c r="J889" s="13"/>
      <c r="K889" s="13"/>
      <c r="L889" s="13"/>
      <c r="M889" s="13"/>
      <c r="N889" s="13"/>
      <c r="O889" s="13"/>
      <c r="P889" s="13"/>
      <c r="Q889" s="13"/>
      <c r="R889" s="13"/>
      <c r="S889" s="13"/>
      <c r="T889" s="13"/>
      <c r="U889" s="13"/>
      <c r="V889" s="13"/>
      <c r="W889" s="13"/>
      <c r="X889" s="13"/>
      <c r="Y889" s="13"/>
      <c r="Z889" s="13"/>
      <c r="AA889" s="13"/>
    </row>
    <row r="890" ht="16.5" customHeight="1">
      <c r="A890" s="10"/>
      <c r="B890" s="10"/>
      <c r="C890" s="13"/>
      <c r="D890" s="13"/>
      <c r="E890" s="13"/>
      <c r="F890" s="185"/>
      <c r="G890" s="13"/>
      <c r="H890" s="13"/>
      <c r="I890" s="13"/>
      <c r="J890" s="13"/>
      <c r="K890" s="13"/>
      <c r="L890" s="13"/>
      <c r="M890" s="13"/>
      <c r="N890" s="13"/>
      <c r="O890" s="13"/>
      <c r="P890" s="13"/>
      <c r="Q890" s="13"/>
      <c r="R890" s="13"/>
      <c r="S890" s="13"/>
      <c r="T890" s="13"/>
      <c r="U890" s="13"/>
      <c r="V890" s="13"/>
      <c r="W890" s="13"/>
      <c r="X890" s="13"/>
      <c r="Y890" s="13"/>
      <c r="Z890" s="13"/>
      <c r="AA890" s="13"/>
    </row>
    <row r="891" ht="16.5" customHeight="1">
      <c r="A891" s="10"/>
      <c r="B891" s="10"/>
      <c r="C891" s="13"/>
      <c r="D891" s="13"/>
      <c r="E891" s="13"/>
      <c r="F891" s="185"/>
      <c r="G891" s="13"/>
      <c r="H891" s="13"/>
      <c r="I891" s="13"/>
      <c r="J891" s="13"/>
      <c r="K891" s="13"/>
      <c r="L891" s="13"/>
      <c r="M891" s="13"/>
      <c r="N891" s="13"/>
      <c r="O891" s="13"/>
      <c r="P891" s="13"/>
      <c r="Q891" s="13"/>
      <c r="R891" s="13"/>
      <c r="S891" s="13"/>
      <c r="T891" s="13"/>
      <c r="U891" s="13"/>
      <c r="V891" s="13"/>
      <c r="W891" s="13"/>
      <c r="X891" s="13"/>
      <c r="Y891" s="13"/>
      <c r="Z891" s="13"/>
      <c r="AA891" s="13"/>
    </row>
    <row r="892" ht="16.5" customHeight="1">
      <c r="A892" s="10"/>
      <c r="B892" s="10"/>
      <c r="C892" s="13"/>
      <c r="D892" s="13"/>
      <c r="E892" s="13"/>
      <c r="F892" s="185"/>
      <c r="G892" s="13"/>
      <c r="H892" s="13"/>
      <c r="I892" s="13"/>
      <c r="J892" s="13"/>
      <c r="K892" s="13"/>
      <c r="L892" s="13"/>
      <c r="M892" s="13"/>
      <c r="N892" s="13"/>
      <c r="O892" s="13"/>
      <c r="P892" s="13"/>
      <c r="Q892" s="13"/>
      <c r="R892" s="13"/>
      <c r="S892" s="13"/>
      <c r="T892" s="13"/>
      <c r="U892" s="13"/>
      <c r="V892" s="13"/>
      <c r="W892" s="13"/>
      <c r="X892" s="13"/>
      <c r="Y892" s="13"/>
      <c r="Z892" s="13"/>
      <c r="AA892" s="13"/>
    </row>
    <row r="893" ht="16.5" customHeight="1">
      <c r="A893" s="10"/>
      <c r="B893" s="10"/>
      <c r="C893" s="13"/>
      <c r="D893" s="13"/>
      <c r="E893" s="13"/>
      <c r="F893" s="185"/>
      <c r="G893" s="13"/>
      <c r="H893" s="13"/>
      <c r="I893" s="13"/>
      <c r="J893" s="13"/>
      <c r="K893" s="13"/>
      <c r="L893" s="13"/>
      <c r="M893" s="13"/>
      <c r="N893" s="13"/>
      <c r="O893" s="13"/>
      <c r="P893" s="13"/>
      <c r="Q893" s="13"/>
      <c r="R893" s="13"/>
      <c r="S893" s="13"/>
      <c r="T893" s="13"/>
      <c r="U893" s="13"/>
      <c r="V893" s="13"/>
      <c r="W893" s="13"/>
      <c r="X893" s="13"/>
      <c r="Y893" s="13"/>
      <c r="Z893" s="13"/>
      <c r="AA893" s="13"/>
    </row>
    <row r="894" ht="16.5" customHeight="1">
      <c r="A894" s="10"/>
      <c r="B894" s="10"/>
      <c r="C894" s="13"/>
      <c r="D894" s="13"/>
      <c r="E894" s="13"/>
      <c r="F894" s="185"/>
      <c r="G894" s="13"/>
      <c r="H894" s="13"/>
      <c r="I894" s="13"/>
      <c r="J894" s="13"/>
      <c r="K894" s="13"/>
      <c r="L894" s="13"/>
      <c r="M894" s="13"/>
      <c r="N894" s="13"/>
      <c r="O894" s="13"/>
      <c r="P894" s="13"/>
      <c r="Q894" s="13"/>
      <c r="R894" s="13"/>
      <c r="S894" s="13"/>
      <c r="T894" s="13"/>
      <c r="U894" s="13"/>
      <c r="V894" s="13"/>
      <c r="W894" s="13"/>
      <c r="X894" s="13"/>
      <c r="Y894" s="13"/>
      <c r="Z894" s="13"/>
      <c r="AA894" s="13"/>
    </row>
    <row r="895" ht="16.5" customHeight="1">
      <c r="A895" s="10"/>
      <c r="B895" s="10"/>
      <c r="C895" s="13"/>
      <c r="D895" s="13"/>
      <c r="E895" s="13"/>
      <c r="F895" s="185"/>
      <c r="G895" s="13"/>
      <c r="H895" s="13"/>
      <c r="I895" s="13"/>
      <c r="J895" s="13"/>
      <c r="K895" s="13"/>
      <c r="L895" s="13"/>
      <c r="M895" s="13"/>
      <c r="N895" s="13"/>
      <c r="O895" s="13"/>
      <c r="P895" s="13"/>
      <c r="Q895" s="13"/>
      <c r="R895" s="13"/>
      <c r="S895" s="13"/>
      <c r="T895" s="13"/>
      <c r="U895" s="13"/>
      <c r="V895" s="13"/>
      <c r="W895" s="13"/>
      <c r="X895" s="13"/>
      <c r="Y895" s="13"/>
      <c r="Z895" s="13"/>
      <c r="AA895" s="13"/>
    </row>
    <row r="896" ht="16.5" customHeight="1">
      <c r="A896" s="10"/>
      <c r="B896" s="10"/>
      <c r="C896" s="13"/>
      <c r="D896" s="13"/>
      <c r="E896" s="13"/>
      <c r="F896" s="185"/>
      <c r="G896" s="13"/>
      <c r="H896" s="13"/>
      <c r="I896" s="13"/>
      <c r="J896" s="13"/>
      <c r="K896" s="13"/>
      <c r="L896" s="13"/>
      <c r="M896" s="13"/>
      <c r="N896" s="13"/>
      <c r="O896" s="13"/>
      <c r="P896" s="13"/>
      <c r="Q896" s="13"/>
      <c r="R896" s="13"/>
      <c r="S896" s="13"/>
      <c r="T896" s="13"/>
      <c r="U896" s="13"/>
      <c r="V896" s="13"/>
      <c r="W896" s="13"/>
      <c r="X896" s="13"/>
      <c r="Y896" s="13"/>
      <c r="Z896" s="13"/>
      <c r="AA896" s="13"/>
    </row>
    <row r="897" ht="16.5" customHeight="1">
      <c r="A897" s="10"/>
      <c r="B897" s="10"/>
      <c r="C897" s="13"/>
      <c r="D897" s="13"/>
      <c r="E897" s="13"/>
      <c r="F897" s="185"/>
      <c r="G897" s="13"/>
      <c r="H897" s="13"/>
      <c r="I897" s="13"/>
      <c r="J897" s="13"/>
      <c r="K897" s="13"/>
      <c r="L897" s="13"/>
      <c r="M897" s="13"/>
      <c r="N897" s="13"/>
      <c r="O897" s="13"/>
      <c r="P897" s="13"/>
      <c r="Q897" s="13"/>
      <c r="R897" s="13"/>
      <c r="S897" s="13"/>
      <c r="T897" s="13"/>
      <c r="U897" s="13"/>
      <c r="V897" s="13"/>
      <c r="W897" s="13"/>
      <c r="X897" s="13"/>
      <c r="Y897" s="13"/>
      <c r="Z897" s="13"/>
      <c r="AA897" s="13"/>
    </row>
    <row r="898" ht="16.5" customHeight="1">
      <c r="A898" s="10"/>
      <c r="B898" s="10"/>
      <c r="C898" s="13"/>
      <c r="D898" s="13"/>
      <c r="E898" s="13"/>
      <c r="F898" s="185"/>
      <c r="G898" s="13"/>
      <c r="H898" s="13"/>
      <c r="I898" s="13"/>
      <c r="J898" s="13"/>
      <c r="K898" s="13"/>
      <c r="L898" s="13"/>
      <c r="M898" s="13"/>
      <c r="N898" s="13"/>
      <c r="O898" s="13"/>
      <c r="P898" s="13"/>
      <c r="Q898" s="13"/>
      <c r="R898" s="13"/>
      <c r="S898" s="13"/>
      <c r="T898" s="13"/>
      <c r="U898" s="13"/>
      <c r="V898" s="13"/>
      <c r="W898" s="13"/>
      <c r="X898" s="13"/>
      <c r="Y898" s="13"/>
      <c r="Z898" s="13"/>
      <c r="AA898" s="13"/>
    </row>
    <row r="899" ht="16.5" customHeight="1">
      <c r="A899" s="10"/>
      <c r="B899" s="10"/>
      <c r="C899" s="13"/>
      <c r="D899" s="13"/>
      <c r="E899" s="13"/>
      <c r="F899" s="185"/>
      <c r="G899" s="13"/>
      <c r="H899" s="13"/>
      <c r="I899" s="13"/>
      <c r="J899" s="13"/>
      <c r="K899" s="13"/>
      <c r="L899" s="13"/>
      <c r="M899" s="13"/>
      <c r="N899" s="13"/>
      <c r="O899" s="13"/>
      <c r="P899" s="13"/>
      <c r="Q899" s="13"/>
      <c r="R899" s="13"/>
      <c r="S899" s="13"/>
      <c r="T899" s="13"/>
      <c r="U899" s="13"/>
      <c r="V899" s="13"/>
      <c r="W899" s="13"/>
      <c r="X899" s="13"/>
      <c r="Y899" s="13"/>
      <c r="Z899" s="13"/>
      <c r="AA899" s="13"/>
    </row>
    <row r="900" ht="16.5" customHeight="1">
      <c r="A900" s="10"/>
      <c r="B900" s="10"/>
      <c r="C900" s="13"/>
      <c r="D900" s="13"/>
      <c r="E900" s="13"/>
      <c r="F900" s="185"/>
      <c r="G900" s="13"/>
      <c r="H900" s="13"/>
      <c r="I900" s="13"/>
      <c r="J900" s="13"/>
      <c r="K900" s="13"/>
      <c r="L900" s="13"/>
      <c r="M900" s="13"/>
      <c r="N900" s="13"/>
      <c r="O900" s="13"/>
      <c r="P900" s="13"/>
      <c r="Q900" s="13"/>
      <c r="R900" s="13"/>
      <c r="S900" s="13"/>
      <c r="T900" s="13"/>
      <c r="U900" s="13"/>
      <c r="V900" s="13"/>
      <c r="W900" s="13"/>
      <c r="X900" s="13"/>
      <c r="Y900" s="13"/>
      <c r="Z900" s="13"/>
      <c r="AA900" s="13"/>
    </row>
    <row r="901" ht="16.5" customHeight="1">
      <c r="A901" s="10"/>
      <c r="B901" s="10"/>
      <c r="C901" s="13"/>
      <c r="D901" s="13"/>
      <c r="E901" s="13"/>
      <c r="F901" s="185"/>
      <c r="G901" s="13"/>
      <c r="H901" s="13"/>
      <c r="I901" s="13"/>
      <c r="J901" s="13"/>
      <c r="K901" s="13"/>
      <c r="L901" s="13"/>
      <c r="M901" s="13"/>
      <c r="N901" s="13"/>
      <c r="O901" s="13"/>
      <c r="P901" s="13"/>
      <c r="Q901" s="13"/>
      <c r="R901" s="13"/>
      <c r="S901" s="13"/>
      <c r="T901" s="13"/>
      <c r="U901" s="13"/>
      <c r="V901" s="13"/>
      <c r="W901" s="13"/>
      <c r="X901" s="13"/>
      <c r="Y901" s="13"/>
      <c r="Z901" s="13"/>
      <c r="AA901" s="13"/>
    </row>
    <row r="902" ht="16.5" customHeight="1">
      <c r="A902" s="10"/>
      <c r="B902" s="10"/>
      <c r="C902" s="13"/>
      <c r="D902" s="13"/>
      <c r="E902" s="13"/>
      <c r="F902" s="185"/>
      <c r="G902" s="13"/>
      <c r="H902" s="13"/>
      <c r="I902" s="13"/>
      <c r="J902" s="13"/>
      <c r="K902" s="13"/>
      <c r="L902" s="13"/>
      <c r="M902" s="13"/>
      <c r="N902" s="13"/>
      <c r="O902" s="13"/>
      <c r="P902" s="13"/>
      <c r="Q902" s="13"/>
      <c r="R902" s="13"/>
      <c r="S902" s="13"/>
      <c r="T902" s="13"/>
      <c r="U902" s="13"/>
      <c r="V902" s="13"/>
      <c r="W902" s="13"/>
      <c r="X902" s="13"/>
      <c r="Y902" s="13"/>
      <c r="Z902" s="13"/>
      <c r="AA902" s="13"/>
    </row>
    <row r="903" ht="16.5" customHeight="1">
      <c r="A903" s="10"/>
      <c r="B903" s="10"/>
      <c r="C903" s="13"/>
      <c r="D903" s="13"/>
      <c r="E903" s="13"/>
      <c r="F903" s="185"/>
      <c r="G903" s="13"/>
      <c r="H903" s="13"/>
      <c r="I903" s="13"/>
      <c r="J903" s="13"/>
      <c r="K903" s="13"/>
      <c r="L903" s="13"/>
      <c r="M903" s="13"/>
      <c r="N903" s="13"/>
      <c r="O903" s="13"/>
      <c r="P903" s="13"/>
      <c r="Q903" s="13"/>
      <c r="R903" s="13"/>
      <c r="S903" s="13"/>
      <c r="T903" s="13"/>
      <c r="U903" s="13"/>
      <c r="V903" s="13"/>
      <c r="W903" s="13"/>
      <c r="X903" s="13"/>
      <c r="Y903" s="13"/>
      <c r="Z903" s="13"/>
      <c r="AA903" s="13"/>
    </row>
    <row r="904" ht="16.5" customHeight="1">
      <c r="A904" s="10"/>
      <c r="B904" s="10"/>
      <c r="C904" s="13"/>
      <c r="D904" s="13"/>
      <c r="E904" s="13"/>
      <c r="F904" s="185"/>
      <c r="G904" s="13"/>
      <c r="H904" s="13"/>
      <c r="I904" s="13"/>
      <c r="J904" s="13"/>
      <c r="K904" s="13"/>
      <c r="L904" s="13"/>
      <c r="M904" s="13"/>
      <c r="N904" s="13"/>
      <c r="O904" s="13"/>
      <c r="P904" s="13"/>
      <c r="Q904" s="13"/>
      <c r="R904" s="13"/>
      <c r="S904" s="13"/>
      <c r="T904" s="13"/>
      <c r="U904" s="13"/>
      <c r="V904" s="13"/>
      <c r="W904" s="13"/>
      <c r="X904" s="13"/>
      <c r="Y904" s="13"/>
      <c r="Z904" s="13"/>
      <c r="AA904" s="13"/>
    </row>
    <row r="905" ht="16.5" customHeight="1">
      <c r="A905" s="10"/>
      <c r="B905" s="10"/>
      <c r="C905" s="13"/>
      <c r="D905" s="13"/>
      <c r="E905" s="13"/>
      <c r="F905" s="185"/>
      <c r="G905" s="13"/>
      <c r="H905" s="13"/>
      <c r="I905" s="13"/>
      <c r="J905" s="13"/>
      <c r="K905" s="13"/>
      <c r="L905" s="13"/>
      <c r="M905" s="13"/>
      <c r="N905" s="13"/>
      <c r="O905" s="13"/>
      <c r="P905" s="13"/>
      <c r="Q905" s="13"/>
      <c r="R905" s="13"/>
      <c r="S905" s="13"/>
      <c r="T905" s="13"/>
      <c r="U905" s="13"/>
      <c r="V905" s="13"/>
      <c r="W905" s="13"/>
      <c r="X905" s="13"/>
      <c r="Y905" s="13"/>
      <c r="Z905" s="13"/>
      <c r="AA905" s="13"/>
    </row>
    <row r="906" ht="16.5" customHeight="1">
      <c r="A906" s="10"/>
      <c r="B906" s="10"/>
      <c r="C906" s="13"/>
      <c r="D906" s="13"/>
      <c r="E906" s="13"/>
      <c r="F906" s="185"/>
      <c r="G906" s="13"/>
      <c r="H906" s="13"/>
      <c r="I906" s="13"/>
      <c r="J906" s="13"/>
      <c r="K906" s="13"/>
      <c r="L906" s="13"/>
      <c r="M906" s="13"/>
      <c r="N906" s="13"/>
      <c r="O906" s="13"/>
      <c r="P906" s="13"/>
      <c r="Q906" s="13"/>
      <c r="R906" s="13"/>
      <c r="S906" s="13"/>
      <c r="T906" s="13"/>
      <c r="U906" s="13"/>
      <c r="V906" s="13"/>
      <c r="W906" s="13"/>
      <c r="X906" s="13"/>
      <c r="Y906" s="13"/>
      <c r="Z906" s="13"/>
      <c r="AA906" s="13"/>
    </row>
    <row r="907" ht="16.5" customHeight="1">
      <c r="A907" s="10"/>
      <c r="B907" s="10"/>
      <c r="C907" s="13"/>
      <c r="D907" s="13"/>
      <c r="E907" s="13"/>
      <c r="F907" s="185"/>
      <c r="G907" s="13"/>
      <c r="H907" s="13"/>
      <c r="I907" s="13"/>
      <c r="J907" s="13"/>
      <c r="K907" s="13"/>
      <c r="L907" s="13"/>
      <c r="M907" s="13"/>
      <c r="N907" s="13"/>
      <c r="O907" s="13"/>
      <c r="P907" s="13"/>
      <c r="Q907" s="13"/>
      <c r="R907" s="13"/>
      <c r="S907" s="13"/>
      <c r="T907" s="13"/>
      <c r="U907" s="13"/>
      <c r="V907" s="13"/>
      <c r="W907" s="13"/>
      <c r="X907" s="13"/>
      <c r="Y907" s="13"/>
      <c r="Z907" s="13"/>
      <c r="AA907" s="13"/>
    </row>
    <row r="908" ht="16.5" customHeight="1">
      <c r="A908" s="10"/>
      <c r="B908" s="10"/>
      <c r="C908" s="13"/>
      <c r="D908" s="13"/>
      <c r="E908" s="13"/>
      <c r="F908" s="185"/>
      <c r="G908" s="13"/>
      <c r="H908" s="13"/>
      <c r="I908" s="13"/>
      <c r="J908" s="13"/>
      <c r="K908" s="13"/>
      <c r="L908" s="13"/>
      <c r="M908" s="13"/>
      <c r="N908" s="13"/>
      <c r="O908" s="13"/>
      <c r="P908" s="13"/>
      <c r="Q908" s="13"/>
      <c r="R908" s="13"/>
      <c r="S908" s="13"/>
      <c r="T908" s="13"/>
      <c r="U908" s="13"/>
      <c r="V908" s="13"/>
      <c r="W908" s="13"/>
      <c r="X908" s="13"/>
      <c r="Y908" s="13"/>
      <c r="Z908" s="13"/>
      <c r="AA908" s="13"/>
    </row>
    <row r="909" ht="16.5" customHeight="1">
      <c r="A909" s="10"/>
      <c r="B909" s="10"/>
      <c r="C909" s="13"/>
      <c r="D909" s="13"/>
      <c r="E909" s="13"/>
      <c r="F909" s="185"/>
      <c r="G909" s="13"/>
      <c r="H909" s="13"/>
      <c r="I909" s="13"/>
      <c r="J909" s="13"/>
      <c r="K909" s="13"/>
      <c r="L909" s="13"/>
      <c r="M909" s="13"/>
      <c r="N909" s="13"/>
      <c r="O909" s="13"/>
      <c r="P909" s="13"/>
      <c r="Q909" s="13"/>
      <c r="R909" s="13"/>
      <c r="S909" s="13"/>
      <c r="T909" s="13"/>
      <c r="U909" s="13"/>
      <c r="V909" s="13"/>
      <c r="W909" s="13"/>
      <c r="X909" s="13"/>
      <c r="Y909" s="13"/>
      <c r="Z909" s="13"/>
      <c r="AA909" s="13"/>
    </row>
    <row r="910" ht="16.5" customHeight="1">
      <c r="A910" s="10"/>
      <c r="B910" s="10"/>
      <c r="C910" s="13"/>
      <c r="D910" s="13"/>
      <c r="E910" s="13"/>
      <c r="F910" s="185"/>
      <c r="G910" s="13"/>
      <c r="H910" s="13"/>
      <c r="I910" s="13"/>
      <c r="J910" s="13"/>
      <c r="K910" s="13"/>
      <c r="L910" s="13"/>
      <c r="M910" s="13"/>
      <c r="N910" s="13"/>
      <c r="O910" s="13"/>
      <c r="P910" s="13"/>
      <c r="Q910" s="13"/>
      <c r="R910" s="13"/>
      <c r="S910" s="13"/>
      <c r="T910" s="13"/>
      <c r="U910" s="13"/>
      <c r="V910" s="13"/>
      <c r="W910" s="13"/>
      <c r="X910" s="13"/>
      <c r="Y910" s="13"/>
      <c r="Z910" s="13"/>
      <c r="AA910" s="13"/>
    </row>
    <row r="911" ht="16.5" customHeight="1">
      <c r="A911" s="10"/>
      <c r="B911" s="10"/>
      <c r="C911" s="13"/>
      <c r="D911" s="13"/>
      <c r="E911" s="13"/>
      <c r="F911" s="185"/>
      <c r="G911" s="13"/>
      <c r="H911" s="13"/>
      <c r="I911" s="13"/>
      <c r="J911" s="13"/>
      <c r="K911" s="13"/>
      <c r="L911" s="13"/>
      <c r="M911" s="13"/>
      <c r="N911" s="13"/>
      <c r="O911" s="13"/>
      <c r="P911" s="13"/>
      <c r="Q911" s="13"/>
      <c r="R911" s="13"/>
      <c r="S911" s="13"/>
      <c r="T911" s="13"/>
      <c r="U911" s="13"/>
      <c r="V911" s="13"/>
      <c r="W911" s="13"/>
      <c r="X911" s="13"/>
      <c r="Y911" s="13"/>
      <c r="Z911" s="13"/>
      <c r="AA911" s="13"/>
    </row>
    <row r="912" ht="16.5" customHeight="1">
      <c r="A912" s="10"/>
      <c r="B912" s="10"/>
      <c r="C912" s="13"/>
      <c r="D912" s="13"/>
      <c r="E912" s="13"/>
      <c r="F912" s="185"/>
      <c r="G912" s="13"/>
      <c r="H912" s="13"/>
      <c r="I912" s="13"/>
      <c r="J912" s="13"/>
      <c r="K912" s="13"/>
      <c r="L912" s="13"/>
      <c r="M912" s="13"/>
      <c r="N912" s="13"/>
      <c r="O912" s="13"/>
      <c r="P912" s="13"/>
      <c r="Q912" s="13"/>
      <c r="R912" s="13"/>
      <c r="S912" s="13"/>
      <c r="T912" s="13"/>
      <c r="U912" s="13"/>
      <c r="V912" s="13"/>
      <c r="W912" s="13"/>
      <c r="X912" s="13"/>
      <c r="Y912" s="13"/>
      <c r="Z912" s="13"/>
      <c r="AA912" s="13"/>
    </row>
    <row r="913" ht="16.5" customHeight="1">
      <c r="A913" s="10"/>
      <c r="B913" s="10"/>
      <c r="C913" s="13"/>
      <c r="D913" s="13"/>
      <c r="E913" s="13"/>
      <c r="F913" s="185"/>
      <c r="G913" s="13"/>
      <c r="H913" s="13"/>
      <c r="I913" s="13"/>
      <c r="J913" s="13"/>
      <c r="K913" s="13"/>
      <c r="L913" s="13"/>
      <c r="M913" s="13"/>
      <c r="N913" s="13"/>
      <c r="O913" s="13"/>
      <c r="P913" s="13"/>
      <c r="Q913" s="13"/>
      <c r="R913" s="13"/>
      <c r="S913" s="13"/>
      <c r="T913" s="13"/>
      <c r="U913" s="13"/>
      <c r="V913" s="13"/>
      <c r="W913" s="13"/>
      <c r="X913" s="13"/>
      <c r="Y913" s="13"/>
      <c r="Z913" s="13"/>
      <c r="AA913" s="13"/>
    </row>
    <row r="914" ht="16.5" customHeight="1">
      <c r="A914" s="10"/>
      <c r="B914" s="10"/>
      <c r="C914" s="13"/>
      <c r="D914" s="13"/>
      <c r="E914" s="13"/>
      <c r="F914" s="185"/>
      <c r="G914" s="13"/>
      <c r="H914" s="13"/>
      <c r="I914" s="13"/>
      <c r="J914" s="13"/>
      <c r="K914" s="13"/>
      <c r="L914" s="13"/>
      <c r="M914" s="13"/>
      <c r="N914" s="13"/>
      <c r="O914" s="13"/>
      <c r="P914" s="13"/>
      <c r="Q914" s="13"/>
      <c r="R914" s="13"/>
      <c r="S914" s="13"/>
      <c r="T914" s="13"/>
      <c r="U914" s="13"/>
      <c r="V914" s="13"/>
      <c r="W914" s="13"/>
      <c r="X914" s="13"/>
      <c r="Y914" s="13"/>
      <c r="Z914" s="13"/>
      <c r="AA914" s="13"/>
    </row>
    <row r="915" ht="16.5" customHeight="1">
      <c r="A915" s="10"/>
      <c r="B915" s="10"/>
      <c r="C915" s="13"/>
      <c r="D915" s="13"/>
      <c r="E915" s="13"/>
      <c r="F915" s="185"/>
      <c r="G915" s="13"/>
      <c r="H915" s="13"/>
      <c r="I915" s="13"/>
      <c r="J915" s="13"/>
      <c r="K915" s="13"/>
      <c r="L915" s="13"/>
      <c r="M915" s="13"/>
      <c r="N915" s="13"/>
      <c r="O915" s="13"/>
      <c r="P915" s="13"/>
      <c r="Q915" s="13"/>
      <c r="R915" s="13"/>
      <c r="S915" s="13"/>
      <c r="T915" s="13"/>
      <c r="U915" s="13"/>
      <c r="V915" s="13"/>
      <c r="W915" s="13"/>
      <c r="X915" s="13"/>
      <c r="Y915" s="13"/>
      <c r="Z915" s="13"/>
      <c r="AA915" s="13"/>
    </row>
    <row r="916" ht="16.5" customHeight="1">
      <c r="A916" s="10"/>
      <c r="B916" s="10"/>
      <c r="C916" s="13"/>
      <c r="D916" s="13"/>
      <c r="E916" s="13"/>
      <c r="F916" s="185"/>
      <c r="G916" s="13"/>
      <c r="H916" s="13"/>
      <c r="I916" s="13"/>
      <c r="J916" s="13"/>
      <c r="K916" s="13"/>
      <c r="L916" s="13"/>
      <c r="M916" s="13"/>
      <c r="N916" s="13"/>
      <c r="O916" s="13"/>
      <c r="P916" s="13"/>
      <c r="Q916" s="13"/>
      <c r="R916" s="13"/>
      <c r="S916" s="13"/>
      <c r="T916" s="13"/>
      <c r="U916" s="13"/>
      <c r="V916" s="13"/>
      <c r="W916" s="13"/>
      <c r="X916" s="13"/>
      <c r="Y916" s="13"/>
      <c r="Z916" s="13"/>
      <c r="AA916" s="13"/>
    </row>
    <row r="917" ht="16.5" customHeight="1">
      <c r="A917" s="10"/>
      <c r="B917" s="10"/>
      <c r="C917" s="13"/>
      <c r="D917" s="13"/>
      <c r="E917" s="13"/>
      <c r="F917" s="185"/>
      <c r="G917" s="13"/>
      <c r="H917" s="13"/>
      <c r="I917" s="13"/>
      <c r="J917" s="13"/>
      <c r="K917" s="13"/>
      <c r="L917" s="13"/>
      <c r="M917" s="13"/>
      <c r="N917" s="13"/>
      <c r="O917" s="13"/>
      <c r="P917" s="13"/>
      <c r="Q917" s="13"/>
      <c r="R917" s="13"/>
      <c r="S917" s="13"/>
      <c r="T917" s="13"/>
      <c r="U917" s="13"/>
      <c r="V917" s="13"/>
      <c r="W917" s="13"/>
      <c r="X917" s="13"/>
      <c r="Y917" s="13"/>
      <c r="Z917" s="13"/>
      <c r="AA917" s="13"/>
    </row>
    <row r="918" ht="16.5" customHeight="1">
      <c r="A918" s="10"/>
      <c r="B918" s="10"/>
      <c r="C918" s="13"/>
      <c r="D918" s="13"/>
      <c r="E918" s="13"/>
      <c r="F918" s="185"/>
      <c r="G918" s="13"/>
      <c r="H918" s="13"/>
      <c r="I918" s="13"/>
      <c r="J918" s="13"/>
      <c r="K918" s="13"/>
      <c r="L918" s="13"/>
      <c r="M918" s="13"/>
      <c r="N918" s="13"/>
      <c r="O918" s="13"/>
      <c r="P918" s="13"/>
      <c r="Q918" s="13"/>
      <c r="R918" s="13"/>
      <c r="S918" s="13"/>
      <c r="T918" s="13"/>
      <c r="U918" s="13"/>
      <c r="V918" s="13"/>
      <c r="W918" s="13"/>
      <c r="X918" s="13"/>
      <c r="Y918" s="13"/>
      <c r="Z918" s="13"/>
      <c r="AA918" s="13"/>
    </row>
    <row r="919" ht="16.5" customHeight="1">
      <c r="A919" s="10"/>
      <c r="B919" s="10"/>
      <c r="C919" s="13"/>
      <c r="D919" s="13"/>
      <c r="E919" s="13"/>
      <c r="F919" s="185"/>
      <c r="G919" s="13"/>
      <c r="H919" s="13"/>
      <c r="I919" s="13"/>
      <c r="J919" s="13"/>
      <c r="K919" s="13"/>
      <c r="L919" s="13"/>
      <c r="M919" s="13"/>
      <c r="N919" s="13"/>
      <c r="O919" s="13"/>
      <c r="P919" s="13"/>
      <c r="Q919" s="13"/>
      <c r="R919" s="13"/>
      <c r="S919" s="13"/>
      <c r="T919" s="13"/>
      <c r="U919" s="13"/>
      <c r="V919" s="13"/>
      <c r="W919" s="13"/>
      <c r="X919" s="13"/>
      <c r="Y919" s="13"/>
      <c r="Z919" s="13"/>
      <c r="AA919" s="13"/>
    </row>
    <row r="920" ht="16.5" customHeight="1">
      <c r="A920" s="10"/>
      <c r="B920" s="10"/>
      <c r="C920" s="13"/>
      <c r="D920" s="13"/>
      <c r="E920" s="13"/>
      <c r="F920" s="185"/>
      <c r="G920" s="13"/>
      <c r="H920" s="13"/>
      <c r="I920" s="13"/>
      <c r="J920" s="13"/>
      <c r="K920" s="13"/>
      <c r="L920" s="13"/>
      <c r="M920" s="13"/>
      <c r="N920" s="13"/>
      <c r="O920" s="13"/>
      <c r="P920" s="13"/>
      <c r="Q920" s="13"/>
      <c r="R920" s="13"/>
      <c r="S920" s="13"/>
      <c r="T920" s="13"/>
      <c r="U920" s="13"/>
      <c r="V920" s="13"/>
      <c r="W920" s="13"/>
      <c r="X920" s="13"/>
      <c r="Y920" s="13"/>
      <c r="Z920" s="13"/>
      <c r="AA920" s="13"/>
    </row>
    <row r="921" ht="16.5" customHeight="1">
      <c r="A921" s="10"/>
      <c r="B921" s="10"/>
      <c r="C921" s="13"/>
      <c r="D921" s="13"/>
      <c r="E921" s="13"/>
      <c r="F921" s="185"/>
      <c r="G921" s="13"/>
      <c r="H921" s="13"/>
      <c r="I921" s="13"/>
      <c r="J921" s="13"/>
      <c r="K921" s="13"/>
      <c r="L921" s="13"/>
      <c r="M921" s="13"/>
      <c r="N921" s="13"/>
      <c r="O921" s="13"/>
      <c r="P921" s="13"/>
      <c r="Q921" s="13"/>
      <c r="R921" s="13"/>
      <c r="S921" s="13"/>
      <c r="T921" s="13"/>
      <c r="U921" s="13"/>
      <c r="V921" s="13"/>
      <c r="W921" s="13"/>
      <c r="X921" s="13"/>
      <c r="Y921" s="13"/>
      <c r="Z921" s="13"/>
      <c r="AA921" s="13"/>
    </row>
    <row r="922" ht="16.5" customHeight="1">
      <c r="A922" s="10"/>
      <c r="B922" s="10"/>
      <c r="C922" s="13"/>
      <c r="D922" s="13"/>
      <c r="E922" s="13"/>
      <c r="F922" s="185"/>
      <c r="G922" s="13"/>
      <c r="H922" s="13"/>
      <c r="I922" s="13"/>
      <c r="J922" s="13"/>
      <c r="K922" s="13"/>
      <c r="L922" s="13"/>
      <c r="M922" s="13"/>
      <c r="N922" s="13"/>
      <c r="O922" s="13"/>
      <c r="P922" s="13"/>
      <c r="Q922" s="13"/>
      <c r="R922" s="13"/>
      <c r="S922" s="13"/>
      <c r="T922" s="13"/>
      <c r="U922" s="13"/>
      <c r="V922" s="13"/>
      <c r="W922" s="13"/>
      <c r="X922" s="13"/>
      <c r="Y922" s="13"/>
      <c r="Z922" s="13"/>
      <c r="AA922" s="13"/>
    </row>
    <row r="923" ht="16.5" customHeight="1">
      <c r="A923" s="10"/>
      <c r="B923" s="10"/>
      <c r="C923" s="13"/>
      <c r="D923" s="13"/>
      <c r="E923" s="13"/>
      <c r="F923" s="185"/>
      <c r="G923" s="13"/>
      <c r="H923" s="13"/>
      <c r="I923" s="13"/>
      <c r="J923" s="13"/>
      <c r="K923" s="13"/>
      <c r="L923" s="13"/>
      <c r="M923" s="13"/>
      <c r="N923" s="13"/>
      <c r="O923" s="13"/>
      <c r="P923" s="13"/>
      <c r="Q923" s="13"/>
      <c r="R923" s="13"/>
      <c r="S923" s="13"/>
      <c r="T923" s="13"/>
      <c r="U923" s="13"/>
      <c r="V923" s="13"/>
      <c r="W923" s="13"/>
      <c r="X923" s="13"/>
      <c r="Y923" s="13"/>
      <c r="Z923" s="13"/>
      <c r="AA923" s="13"/>
    </row>
    <row r="924" ht="16.5" customHeight="1">
      <c r="A924" s="10"/>
      <c r="B924" s="10"/>
      <c r="C924" s="13"/>
      <c r="D924" s="13"/>
      <c r="E924" s="13"/>
      <c r="F924" s="185"/>
      <c r="G924" s="13"/>
      <c r="H924" s="13"/>
      <c r="I924" s="13"/>
      <c r="J924" s="13"/>
      <c r="K924" s="13"/>
      <c r="L924" s="13"/>
      <c r="M924" s="13"/>
      <c r="N924" s="13"/>
      <c r="O924" s="13"/>
      <c r="P924" s="13"/>
      <c r="Q924" s="13"/>
      <c r="R924" s="13"/>
      <c r="S924" s="13"/>
      <c r="T924" s="13"/>
      <c r="U924" s="13"/>
      <c r="V924" s="13"/>
      <c r="W924" s="13"/>
      <c r="X924" s="13"/>
      <c r="Y924" s="13"/>
      <c r="Z924" s="13"/>
      <c r="AA924" s="13"/>
    </row>
    <row r="925" ht="16.5" customHeight="1">
      <c r="A925" s="10"/>
      <c r="B925" s="10"/>
      <c r="C925" s="13"/>
      <c r="D925" s="13"/>
      <c r="E925" s="13"/>
      <c r="F925" s="185"/>
      <c r="G925" s="13"/>
      <c r="H925" s="13"/>
      <c r="I925" s="13"/>
      <c r="J925" s="13"/>
      <c r="K925" s="13"/>
      <c r="L925" s="13"/>
      <c r="M925" s="13"/>
      <c r="N925" s="13"/>
      <c r="O925" s="13"/>
      <c r="P925" s="13"/>
      <c r="Q925" s="13"/>
      <c r="R925" s="13"/>
      <c r="S925" s="13"/>
      <c r="T925" s="13"/>
      <c r="U925" s="13"/>
      <c r="V925" s="13"/>
      <c r="W925" s="13"/>
      <c r="X925" s="13"/>
      <c r="Y925" s="13"/>
      <c r="Z925" s="13"/>
      <c r="AA925" s="13"/>
    </row>
    <row r="926" ht="16.5" customHeight="1">
      <c r="A926" s="10"/>
      <c r="B926" s="10"/>
      <c r="C926" s="13"/>
      <c r="D926" s="13"/>
      <c r="E926" s="13"/>
      <c r="F926" s="185"/>
      <c r="G926" s="13"/>
      <c r="H926" s="13"/>
      <c r="I926" s="13"/>
      <c r="J926" s="13"/>
      <c r="K926" s="13"/>
      <c r="L926" s="13"/>
      <c r="M926" s="13"/>
      <c r="N926" s="13"/>
      <c r="O926" s="13"/>
      <c r="P926" s="13"/>
      <c r="Q926" s="13"/>
      <c r="R926" s="13"/>
      <c r="S926" s="13"/>
      <c r="T926" s="13"/>
      <c r="U926" s="13"/>
      <c r="V926" s="13"/>
      <c r="W926" s="13"/>
      <c r="X926" s="13"/>
      <c r="Y926" s="13"/>
      <c r="Z926" s="13"/>
      <c r="AA926" s="13"/>
    </row>
    <row r="927" ht="16.5" customHeight="1">
      <c r="A927" s="10"/>
      <c r="B927" s="10"/>
      <c r="C927" s="13"/>
      <c r="D927" s="13"/>
      <c r="E927" s="13"/>
      <c r="F927" s="185"/>
      <c r="G927" s="13"/>
      <c r="H927" s="13"/>
      <c r="I927" s="13"/>
      <c r="J927" s="13"/>
      <c r="K927" s="13"/>
      <c r="L927" s="13"/>
      <c r="M927" s="13"/>
      <c r="N927" s="13"/>
      <c r="O927" s="13"/>
      <c r="P927" s="13"/>
      <c r="Q927" s="13"/>
      <c r="R927" s="13"/>
      <c r="S927" s="13"/>
      <c r="T927" s="13"/>
      <c r="U927" s="13"/>
      <c r="V927" s="13"/>
      <c r="W927" s="13"/>
      <c r="X927" s="13"/>
      <c r="Y927" s="13"/>
      <c r="Z927" s="13"/>
      <c r="AA927" s="13"/>
    </row>
    <row r="928" ht="16.5" customHeight="1">
      <c r="A928" s="10"/>
      <c r="B928" s="10"/>
      <c r="C928" s="13"/>
      <c r="D928" s="13"/>
      <c r="E928" s="13"/>
      <c r="F928" s="185"/>
      <c r="G928" s="13"/>
      <c r="H928" s="13"/>
      <c r="I928" s="13"/>
      <c r="J928" s="13"/>
      <c r="K928" s="13"/>
      <c r="L928" s="13"/>
      <c r="M928" s="13"/>
      <c r="N928" s="13"/>
      <c r="O928" s="13"/>
      <c r="P928" s="13"/>
      <c r="Q928" s="13"/>
      <c r="R928" s="13"/>
      <c r="S928" s="13"/>
      <c r="T928" s="13"/>
      <c r="U928" s="13"/>
      <c r="V928" s="13"/>
      <c r="W928" s="13"/>
      <c r="X928" s="13"/>
      <c r="Y928" s="13"/>
      <c r="Z928" s="13"/>
      <c r="AA928" s="13"/>
    </row>
    <row r="929" ht="16.5" customHeight="1">
      <c r="A929" s="10"/>
      <c r="B929" s="10"/>
      <c r="C929" s="13"/>
      <c r="D929" s="13"/>
      <c r="E929" s="13"/>
      <c r="F929" s="185"/>
      <c r="G929" s="13"/>
      <c r="H929" s="13"/>
      <c r="I929" s="13"/>
      <c r="J929" s="13"/>
      <c r="K929" s="13"/>
      <c r="L929" s="13"/>
      <c r="M929" s="13"/>
      <c r="N929" s="13"/>
      <c r="O929" s="13"/>
      <c r="P929" s="13"/>
      <c r="Q929" s="13"/>
      <c r="R929" s="13"/>
      <c r="S929" s="13"/>
      <c r="T929" s="13"/>
      <c r="U929" s="13"/>
      <c r="V929" s="13"/>
      <c r="W929" s="13"/>
      <c r="X929" s="13"/>
      <c r="Y929" s="13"/>
      <c r="Z929" s="13"/>
      <c r="AA929" s="13"/>
    </row>
    <row r="930" ht="16.5" customHeight="1">
      <c r="A930" s="10"/>
      <c r="B930" s="10"/>
      <c r="C930" s="13"/>
      <c r="D930" s="13"/>
      <c r="E930" s="13"/>
      <c r="F930" s="185"/>
      <c r="G930" s="13"/>
      <c r="H930" s="13"/>
      <c r="I930" s="13"/>
      <c r="J930" s="13"/>
      <c r="K930" s="13"/>
      <c r="L930" s="13"/>
      <c r="M930" s="13"/>
      <c r="N930" s="13"/>
      <c r="O930" s="13"/>
      <c r="P930" s="13"/>
      <c r="Q930" s="13"/>
      <c r="R930" s="13"/>
      <c r="S930" s="13"/>
      <c r="T930" s="13"/>
      <c r="U930" s="13"/>
      <c r="V930" s="13"/>
      <c r="W930" s="13"/>
      <c r="X930" s="13"/>
      <c r="Y930" s="13"/>
      <c r="Z930" s="13"/>
      <c r="AA930" s="13"/>
    </row>
    <row r="931" ht="16.5" customHeight="1">
      <c r="A931" s="10"/>
      <c r="B931" s="10"/>
      <c r="C931" s="13"/>
      <c r="D931" s="13"/>
      <c r="E931" s="13"/>
      <c r="F931" s="185"/>
      <c r="G931" s="13"/>
      <c r="H931" s="13"/>
      <c r="I931" s="13"/>
      <c r="J931" s="13"/>
      <c r="K931" s="13"/>
      <c r="L931" s="13"/>
      <c r="M931" s="13"/>
      <c r="N931" s="13"/>
      <c r="O931" s="13"/>
      <c r="P931" s="13"/>
      <c r="Q931" s="13"/>
      <c r="R931" s="13"/>
      <c r="S931" s="13"/>
      <c r="T931" s="13"/>
      <c r="U931" s="13"/>
      <c r="V931" s="13"/>
      <c r="W931" s="13"/>
      <c r="X931" s="13"/>
      <c r="Y931" s="13"/>
      <c r="Z931" s="13"/>
      <c r="AA931" s="13"/>
    </row>
    <row r="932" ht="16.5" customHeight="1">
      <c r="A932" s="10"/>
      <c r="B932" s="10"/>
      <c r="C932" s="13"/>
      <c r="D932" s="13"/>
      <c r="E932" s="13"/>
      <c r="F932" s="185"/>
      <c r="G932" s="13"/>
      <c r="H932" s="13"/>
      <c r="I932" s="13"/>
      <c r="J932" s="13"/>
      <c r="K932" s="13"/>
      <c r="L932" s="13"/>
      <c r="M932" s="13"/>
      <c r="N932" s="13"/>
      <c r="O932" s="13"/>
      <c r="P932" s="13"/>
      <c r="Q932" s="13"/>
      <c r="R932" s="13"/>
      <c r="S932" s="13"/>
      <c r="T932" s="13"/>
      <c r="U932" s="13"/>
      <c r="V932" s="13"/>
      <c r="W932" s="13"/>
      <c r="X932" s="13"/>
      <c r="Y932" s="13"/>
      <c r="Z932" s="13"/>
      <c r="AA932" s="13"/>
    </row>
    <row r="933" ht="16.5" customHeight="1">
      <c r="A933" s="10"/>
      <c r="B933" s="10"/>
      <c r="C933" s="13"/>
      <c r="D933" s="13"/>
      <c r="E933" s="13"/>
      <c r="F933" s="185"/>
      <c r="G933" s="13"/>
      <c r="H933" s="13"/>
      <c r="I933" s="13"/>
      <c r="J933" s="13"/>
      <c r="K933" s="13"/>
      <c r="L933" s="13"/>
      <c r="M933" s="13"/>
      <c r="N933" s="13"/>
      <c r="O933" s="13"/>
      <c r="P933" s="13"/>
      <c r="Q933" s="13"/>
      <c r="R933" s="13"/>
      <c r="S933" s="13"/>
      <c r="T933" s="13"/>
      <c r="U933" s="13"/>
      <c r="V933" s="13"/>
      <c r="W933" s="13"/>
      <c r="X933" s="13"/>
      <c r="Y933" s="13"/>
      <c r="Z933" s="13"/>
      <c r="AA933" s="13"/>
    </row>
    <row r="934" ht="16.5" customHeight="1">
      <c r="A934" s="10"/>
      <c r="B934" s="10"/>
      <c r="C934" s="13"/>
      <c r="D934" s="13"/>
      <c r="E934" s="13"/>
      <c r="F934" s="185"/>
      <c r="G934" s="13"/>
      <c r="H934" s="13"/>
      <c r="I934" s="13"/>
      <c r="J934" s="13"/>
      <c r="K934" s="13"/>
      <c r="L934" s="13"/>
      <c r="M934" s="13"/>
      <c r="N934" s="13"/>
      <c r="O934" s="13"/>
      <c r="P934" s="13"/>
      <c r="Q934" s="13"/>
      <c r="R934" s="13"/>
      <c r="S934" s="13"/>
      <c r="T934" s="13"/>
      <c r="U934" s="13"/>
      <c r="V934" s="13"/>
      <c r="W934" s="13"/>
      <c r="X934" s="13"/>
      <c r="Y934" s="13"/>
      <c r="Z934" s="13"/>
      <c r="AA934" s="13"/>
    </row>
    <row r="935" ht="16.5" customHeight="1">
      <c r="A935" s="10"/>
      <c r="B935" s="10"/>
      <c r="C935" s="13"/>
      <c r="D935" s="13"/>
      <c r="E935" s="13"/>
      <c r="F935" s="185"/>
      <c r="G935" s="13"/>
      <c r="H935" s="13"/>
      <c r="I935" s="13"/>
      <c r="J935" s="13"/>
      <c r="K935" s="13"/>
      <c r="L935" s="13"/>
      <c r="M935" s="13"/>
      <c r="N935" s="13"/>
      <c r="O935" s="13"/>
      <c r="P935" s="13"/>
      <c r="Q935" s="13"/>
      <c r="R935" s="13"/>
      <c r="S935" s="13"/>
      <c r="T935" s="13"/>
      <c r="U935" s="13"/>
      <c r="V935" s="13"/>
      <c r="W935" s="13"/>
      <c r="X935" s="13"/>
      <c r="Y935" s="13"/>
      <c r="Z935" s="13"/>
      <c r="AA935" s="13"/>
    </row>
    <row r="936" ht="16.5" customHeight="1">
      <c r="A936" s="10"/>
      <c r="B936" s="10"/>
      <c r="C936" s="13"/>
      <c r="D936" s="13"/>
      <c r="E936" s="13"/>
      <c r="F936" s="185"/>
      <c r="G936" s="13"/>
      <c r="H936" s="13"/>
      <c r="I936" s="13"/>
      <c r="J936" s="13"/>
      <c r="K936" s="13"/>
      <c r="L936" s="13"/>
      <c r="M936" s="13"/>
      <c r="N936" s="13"/>
      <c r="O936" s="13"/>
      <c r="P936" s="13"/>
      <c r="Q936" s="13"/>
      <c r="R936" s="13"/>
      <c r="S936" s="13"/>
      <c r="T936" s="13"/>
      <c r="U936" s="13"/>
      <c r="V936" s="13"/>
      <c r="W936" s="13"/>
      <c r="X936" s="13"/>
      <c r="Y936" s="13"/>
      <c r="Z936" s="13"/>
      <c r="AA936" s="13"/>
    </row>
    <row r="937" ht="16.5" customHeight="1">
      <c r="A937" s="10"/>
      <c r="B937" s="10"/>
      <c r="C937" s="13"/>
      <c r="D937" s="13"/>
      <c r="E937" s="13"/>
      <c r="F937" s="185"/>
      <c r="G937" s="13"/>
      <c r="H937" s="13"/>
      <c r="I937" s="13"/>
      <c r="J937" s="13"/>
      <c r="K937" s="13"/>
      <c r="L937" s="13"/>
      <c r="M937" s="13"/>
      <c r="N937" s="13"/>
      <c r="O937" s="13"/>
      <c r="P937" s="13"/>
      <c r="Q937" s="13"/>
      <c r="R937" s="13"/>
      <c r="S937" s="13"/>
      <c r="T937" s="13"/>
      <c r="U937" s="13"/>
      <c r="V937" s="13"/>
      <c r="W937" s="13"/>
      <c r="X937" s="13"/>
      <c r="Y937" s="13"/>
      <c r="Z937" s="13"/>
      <c r="AA937" s="13"/>
    </row>
    <row r="938" ht="16.5" customHeight="1">
      <c r="A938" s="10"/>
      <c r="B938" s="10"/>
      <c r="C938" s="13"/>
      <c r="D938" s="13"/>
      <c r="E938" s="13"/>
      <c r="F938" s="185"/>
      <c r="G938" s="13"/>
      <c r="H938" s="13"/>
      <c r="I938" s="13"/>
      <c r="J938" s="13"/>
      <c r="K938" s="13"/>
      <c r="L938" s="13"/>
      <c r="M938" s="13"/>
      <c r="N938" s="13"/>
      <c r="O938" s="13"/>
      <c r="P938" s="13"/>
      <c r="Q938" s="13"/>
      <c r="R938" s="13"/>
      <c r="S938" s="13"/>
      <c r="T938" s="13"/>
      <c r="U938" s="13"/>
      <c r="V938" s="13"/>
      <c r="W938" s="13"/>
      <c r="X938" s="13"/>
      <c r="Y938" s="13"/>
      <c r="Z938" s="13"/>
      <c r="AA938" s="13"/>
    </row>
    <row r="939" ht="16.5" customHeight="1">
      <c r="A939" s="10"/>
      <c r="B939" s="10"/>
      <c r="C939" s="13"/>
      <c r="D939" s="13"/>
      <c r="E939" s="13"/>
      <c r="F939" s="185"/>
      <c r="G939" s="13"/>
      <c r="H939" s="13"/>
      <c r="I939" s="13"/>
      <c r="J939" s="13"/>
      <c r="K939" s="13"/>
      <c r="L939" s="13"/>
      <c r="M939" s="13"/>
      <c r="N939" s="13"/>
      <c r="O939" s="13"/>
      <c r="P939" s="13"/>
      <c r="Q939" s="13"/>
      <c r="R939" s="13"/>
      <c r="S939" s="13"/>
      <c r="T939" s="13"/>
      <c r="U939" s="13"/>
      <c r="V939" s="13"/>
      <c r="W939" s="13"/>
      <c r="X939" s="13"/>
      <c r="Y939" s="13"/>
      <c r="Z939" s="13"/>
      <c r="AA939" s="13"/>
    </row>
    <row r="940" ht="16.5" customHeight="1">
      <c r="A940" s="10"/>
      <c r="B940" s="10"/>
      <c r="C940" s="13"/>
      <c r="D940" s="13"/>
      <c r="E940" s="13"/>
      <c r="F940" s="185"/>
      <c r="G940" s="13"/>
      <c r="H940" s="13"/>
      <c r="I940" s="13"/>
      <c r="J940" s="13"/>
      <c r="K940" s="13"/>
      <c r="L940" s="13"/>
      <c r="M940" s="13"/>
      <c r="N940" s="13"/>
      <c r="O940" s="13"/>
      <c r="P940" s="13"/>
      <c r="Q940" s="13"/>
      <c r="R940" s="13"/>
      <c r="S940" s="13"/>
      <c r="T940" s="13"/>
      <c r="U940" s="13"/>
      <c r="V940" s="13"/>
      <c r="W940" s="13"/>
      <c r="X940" s="13"/>
      <c r="Y940" s="13"/>
      <c r="Z940" s="13"/>
      <c r="AA940" s="13"/>
    </row>
    <row r="941" ht="16.5" customHeight="1">
      <c r="A941" s="10"/>
      <c r="B941" s="10"/>
      <c r="C941" s="13"/>
      <c r="D941" s="13"/>
      <c r="E941" s="13"/>
      <c r="F941" s="185"/>
      <c r="G941" s="13"/>
      <c r="H941" s="13"/>
      <c r="I941" s="13"/>
      <c r="J941" s="13"/>
      <c r="K941" s="13"/>
      <c r="L941" s="13"/>
      <c r="M941" s="13"/>
      <c r="N941" s="13"/>
      <c r="O941" s="13"/>
      <c r="P941" s="13"/>
      <c r="Q941" s="13"/>
      <c r="R941" s="13"/>
      <c r="S941" s="13"/>
      <c r="T941" s="13"/>
      <c r="U941" s="13"/>
      <c r="V941" s="13"/>
      <c r="W941" s="13"/>
      <c r="X941" s="13"/>
      <c r="Y941" s="13"/>
      <c r="Z941" s="13"/>
      <c r="AA941" s="13"/>
    </row>
    <row r="942" ht="16.5" customHeight="1">
      <c r="A942" s="10"/>
      <c r="B942" s="10"/>
      <c r="C942" s="13"/>
      <c r="D942" s="13"/>
      <c r="E942" s="13"/>
      <c r="F942" s="185"/>
      <c r="G942" s="13"/>
      <c r="H942" s="13"/>
      <c r="I942" s="13"/>
      <c r="J942" s="13"/>
      <c r="K942" s="13"/>
      <c r="L942" s="13"/>
      <c r="M942" s="13"/>
      <c r="N942" s="13"/>
      <c r="O942" s="13"/>
      <c r="P942" s="13"/>
      <c r="Q942" s="13"/>
      <c r="R942" s="13"/>
      <c r="S942" s="13"/>
      <c r="T942" s="13"/>
      <c r="U942" s="13"/>
      <c r="V942" s="13"/>
      <c r="W942" s="13"/>
      <c r="X942" s="13"/>
      <c r="Y942" s="13"/>
      <c r="Z942" s="13"/>
      <c r="AA942" s="13"/>
    </row>
    <row r="943" ht="16.5" customHeight="1">
      <c r="A943" s="10"/>
      <c r="B943" s="10"/>
      <c r="C943" s="13"/>
      <c r="D943" s="13"/>
      <c r="E943" s="13"/>
      <c r="F943" s="185"/>
      <c r="G943" s="13"/>
      <c r="H943" s="13"/>
      <c r="I943" s="13"/>
      <c r="J943" s="13"/>
      <c r="K943" s="13"/>
      <c r="L943" s="13"/>
      <c r="M943" s="13"/>
      <c r="N943" s="13"/>
      <c r="O943" s="13"/>
      <c r="P943" s="13"/>
      <c r="Q943" s="13"/>
      <c r="R943" s="13"/>
      <c r="S943" s="13"/>
      <c r="T943" s="13"/>
      <c r="U943" s="13"/>
      <c r="V943" s="13"/>
      <c r="W943" s="13"/>
      <c r="X943" s="13"/>
      <c r="Y943" s="13"/>
      <c r="Z943" s="13"/>
      <c r="AA943" s="13"/>
    </row>
    <row r="944" ht="16.5" customHeight="1">
      <c r="A944" s="10"/>
      <c r="B944" s="10"/>
      <c r="C944" s="13"/>
      <c r="D944" s="13"/>
      <c r="E944" s="13"/>
      <c r="F944" s="185"/>
      <c r="G944" s="13"/>
      <c r="H944" s="13"/>
      <c r="I944" s="13"/>
      <c r="J944" s="13"/>
      <c r="K944" s="13"/>
      <c r="L944" s="13"/>
      <c r="M944" s="13"/>
      <c r="N944" s="13"/>
      <c r="O944" s="13"/>
      <c r="P944" s="13"/>
      <c r="Q944" s="13"/>
      <c r="R944" s="13"/>
      <c r="S944" s="13"/>
      <c r="T944" s="13"/>
      <c r="U944" s="13"/>
      <c r="V944" s="13"/>
      <c r="W944" s="13"/>
      <c r="X944" s="13"/>
      <c r="Y944" s="13"/>
      <c r="Z944" s="13"/>
      <c r="AA944" s="13"/>
    </row>
    <row r="945" ht="16.5" customHeight="1">
      <c r="A945" s="10"/>
      <c r="B945" s="10"/>
      <c r="C945" s="13"/>
      <c r="D945" s="13"/>
      <c r="E945" s="13"/>
      <c r="F945" s="185"/>
      <c r="G945" s="13"/>
      <c r="H945" s="13"/>
      <c r="I945" s="13"/>
      <c r="J945" s="13"/>
      <c r="K945" s="13"/>
      <c r="L945" s="13"/>
      <c r="M945" s="13"/>
      <c r="N945" s="13"/>
      <c r="O945" s="13"/>
      <c r="P945" s="13"/>
      <c r="Q945" s="13"/>
      <c r="R945" s="13"/>
      <c r="S945" s="13"/>
      <c r="T945" s="13"/>
      <c r="U945" s="13"/>
      <c r="V945" s="13"/>
      <c r="W945" s="13"/>
      <c r="X945" s="13"/>
      <c r="Y945" s="13"/>
      <c r="Z945" s="13"/>
      <c r="AA945" s="13"/>
    </row>
    <row r="946" ht="16.5" customHeight="1">
      <c r="A946" s="10"/>
      <c r="B946" s="10"/>
      <c r="C946" s="13"/>
      <c r="D946" s="13"/>
      <c r="E946" s="13"/>
      <c r="F946" s="185"/>
      <c r="G946" s="13"/>
      <c r="H946" s="13"/>
      <c r="I946" s="13"/>
      <c r="J946" s="13"/>
      <c r="K946" s="13"/>
      <c r="L946" s="13"/>
      <c r="M946" s="13"/>
      <c r="N946" s="13"/>
      <c r="O946" s="13"/>
      <c r="P946" s="13"/>
      <c r="Q946" s="13"/>
      <c r="R946" s="13"/>
      <c r="S946" s="13"/>
      <c r="T946" s="13"/>
      <c r="U946" s="13"/>
      <c r="V946" s="13"/>
      <c r="W946" s="13"/>
      <c r="X946" s="13"/>
      <c r="Y946" s="13"/>
      <c r="Z946" s="13"/>
      <c r="AA946" s="13"/>
    </row>
    <row r="947" ht="16.5" customHeight="1">
      <c r="A947" s="10"/>
      <c r="B947" s="10"/>
      <c r="C947" s="13"/>
      <c r="D947" s="13"/>
      <c r="E947" s="13"/>
      <c r="F947" s="185"/>
      <c r="G947" s="13"/>
      <c r="H947" s="13"/>
      <c r="I947" s="13"/>
      <c r="J947" s="13"/>
      <c r="K947" s="13"/>
      <c r="L947" s="13"/>
      <c r="M947" s="13"/>
      <c r="N947" s="13"/>
      <c r="O947" s="13"/>
      <c r="P947" s="13"/>
      <c r="Q947" s="13"/>
      <c r="R947" s="13"/>
      <c r="S947" s="13"/>
      <c r="T947" s="13"/>
      <c r="U947" s="13"/>
      <c r="V947" s="13"/>
      <c r="W947" s="13"/>
      <c r="X947" s="13"/>
      <c r="Y947" s="13"/>
      <c r="Z947" s="13"/>
      <c r="AA947" s="13"/>
    </row>
    <row r="948" ht="16.5" customHeight="1">
      <c r="A948" s="10"/>
      <c r="B948" s="10"/>
      <c r="C948" s="13"/>
      <c r="D948" s="13"/>
      <c r="E948" s="13"/>
      <c r="F948" s="185"/>
      <c r="G948" s="13"/>
      <c r="H948" s="13"/>
      <c r="I948" s="13"/>
      <c r="J948" s="13"/>
      <c r="K948" s="13"/>
      <c r="L948" s="13"/>
      <c r="M948" s="13"/>
      <c r="N948" s="13"/>
      <c r="O948" s="13"/>
      <c r="P948" s="13"/>
      <c r="Q948" s="13"/>
      <c r="R948" s="13"/>
      <c r="S948" s="13"/>
      <c r="T948" s="13"/>
      <c r="U948" s="13"/>
      <c r="V948" s="13"/>
      <c r="W948" s="13"/>
      <c r="X948" s="13"/>
      <c r="Y948" s="13"/>
      <c r="Z948" s="13"/>
      <c r="AA948" s="13"/>
    </row>
    <row r="949" ht="16.5" customHeight="1">
      <c r="A949" s="10"/>
      <c r="B949" s="10"/>
      <c r="C949" s="13"/>
      <c r="D949" s="13"/>
      <c r="E949" s="13"/>
      <c r="F949" s="185"/>
      <c r="G949" s="13"/>
      <c r="H949" s="13"/>
      <c r="I949" s="13"/>
      <c r="J949" s="13"/>
      <c r="K949" s="13"/>
      <c r="L949" s="13"/>
      <c r="M949" s="13"/>
      <c r="N949" s="13"/>
      <c r="O949" s="13"/>
      <c r="P949" s="13"/>
      <c r="Q949" s="13"/>
      <c r="R949" s="13"/>
      <c r="S949" s="13"/>
      <c r="T949" s="13"/>
      <c r="U949" s="13"/>
      <c r="V949" s="13"/>
      <c r="W949" s="13"/>
      <c r="X949" s="13"/>
      <c r="Y949" s="13"/>
      <c r="Z949" s="13"/>
      <c r="AA949" s="13"/>
    </row>
    <row r="950" ht="16.5" customHeight="1">
      <c r="A950" s="10"/>
      <c r="B950" s="10"/>
      <c r="C950" s="13"/>
      <c r="D950" s="13"/>
      <c r="E950" s="13"/>
      <c r="F950" s="185"/>
      <c r="G950" s="13"/>
      <c r="H950" s="13"/>
      <c r="I950" s="13"/>
      <c r="J950" s="13"/>
      <c r="K950" s="13"/>
      <c r="L950" s="13"/>
      <c r="M950" s="13"/>
      <c r="N950" s="13"/>
      <c r="O950" s="13"/>
      <c r="P950" s="13"/>
      <c r="Q950" s="13"/>
      <c r="R950" s="13"/>
      <c r="S950" s="13"/>
      <c r="T950" s="13"/>
      <c r="U950" s="13"/>
      <c r="V950" s="13"/>
      <c r="W950" s="13"/>
      <c r="X950" s="13"/>
      <c r="Y950" s="13"/>
      <c r="Z950" s="13"/>
      <c r="AA950" s="13"/>
    </row>
    <row r="951" ht="16.5" customHeight="1">
      <c r="A951" s="10"/>
      <c r="B951" s="10"/>
      <c r="C951" s="13"/>
      <c r="D951" s="13"/>
      <c r="E951" s="13"/>
      <c r="F951" s="185"/>
      <c r="G951" s="13"/>
      <c r="H951" s="13"/>
      <c r="I951" s="13"/>
      <c r="J951" s="13"/>
      <c r="K951" s="13"/>
      <c r="L951" s="13"/>
      <c r="M951" s="13"/>
      <c r="N951" s="13"/>
      <c r="O951" s="13"/>
      <c r="P951" s="13"/>
      <c r="Q951" s="13"/>
      <c r="R951" s="13"/>
      <c r="S951" s="13"/>
      <c r="T951" s="13"/>
      <c r="U951" s="13"/>
      <c r="V951" s="13"/>
      <c r="W951" s="13"/>
      <c r="X951" s="13"/>
      <c r="Y951" s="13"/>
      <c r="Z951" s="13"/>
      <c r="AA951" s="13"/>
    </row>
    <row r="952" ht="16.5" customHeight="1">
      <c r="A952" s="10"/>
      <c r="B952" s="10"/>
      <c r="C952" s="13"/>
      <c r="D952" s="13"/>
      <c r="E952" s="13"/>
      <c r="F952" s="185"/>
      <c r="G952" s="13"/>
      <c r="H952" s="13"/>
      <c r="I952" s="13"/>
      <c r="J952" s="13"/>
      <c r="K952" s="13"/>
      <c r="L952" s="13"/>
      <c r="M952" s="13"/>
      <c r="N952" s="13"/>
      <c r="O952" s="13"/>
      <c r="P952" s="13"/>
      <c r="Q952" s="13"/>
      <c r="R952" s="13"/>
      <c r="S952" s="13"/>
      <c r="T952" s="13"/>
      <c r="U952" s="13"/>
      <c r="V952" s="13"/>
      <c r="W952" s="13"/>
      <c r="X952" s="13"/>
      <c r="Y952" s="13"/>
      <c r="Z952" s="13"/>
      <c r="AA952" s="13"/>
    </row>
    <row r="953" ht="16.5" customHeight="1">
      <c r="A953" s="10"/>
      <c r="B953" s="10"/>
      <c r="C953" s="13"/>
      <c r="D953" s="13"/>
      <c r="E953" s="13"/>
      <c r="F953" s="185"/>
      <c r="G953" s="13"/>
      <c r="H953" s="13"/>
      <c r="I953" s="13"/>
      <c r="J953" s="13"/>
      <c r="K953" s="13"/>
      <c r="L953" s="13"/>
      <c r="M953" s="13"/>
      <c r="N953" s="13"/>
      <c r="O953" s="13"/>
      <c r="P953" s="13"/>
      <c r="Q953" s="13"/>
      <c r="R953" s="13"/>
      <c r="S953" s="13"/>
      <c r="T953" s="13"/>
      <c r="U953" s="13"/>
      <c r="V953" s="13"/>
      <c r="W953" s="13"/>
      <c r="X953" s="13"/>
      <c r="Y953" s="13"/>
      <c r="Z953" s="13"/>
      <c r="AA953" s="13"/>
    </row>
    <row r="954" ht="16.5" customHeight="1">
      <c r="A954" s="10"/>
      <c r="B954" s="10"/>
      <c r="C954" s="13"/>
      <c r="D954" s="13"/>
      <c r="E954" s="13"/>
      <c r="F954" s="185"/>
      <c r="G954" s="13"/>
      <c r="H954" s="13"/>
      <c r="I954" s="13"/>
      <c r="J954" s="13"/>
      <c r="K954" s="13"/>
      <c r="L954" s="13"/>
      <c r="M954" s="13"/>
      <c r="N954" s="13"/>
      <c r="O954" s="13"/>
      <c r="P954" s="13"/>
      <c r="Q954" s="13"/>
      <c r="R954" s="13"/>
      <c r="S954" s="13"/>
      <c r="T954" s="13"/>
      <c r="U954" s="13"/>
      <c r="V954" s="13"/>
      <c r="W954" s="13"/>
      <c r="X954" s="13"/>
      <c r="Y954" s="13"/>
      <c r="Z954" s="13"/>
      <c r="AA954" s="13"/>
    </row>
    <row r="955" ht="16.5" customHeight="1">
      <c r="A955" s="10"/>
      <c r="B955" s="10"/>
      <c r="C955" s="13"/>
      <c r="D955" s="13"/>
      <c r="E955" s="13"/>
      <c r="F955" s="185"/>
      <c r="G955" s="13"/>
      <c r="H955" s="13"/>
      <c r="I955" s="13"/>
      <c r="J955" s="13"/>
      <c r="K955" s="13"/>
      <c r="L955" s="13"/>
      <c r="M955" s="13"/>
      <c r="N955" s="13"/>
      <c r="O955" s="13"/>
      <c r="P955" s="13"/>
      <c r="Q955" s="13"/>
      <c r="R955" s="13"/>
      <c r="S955" s="13"/>
      <c r="T955" s="13"/>
      <c r="U955" s="13"/>
      <c r="V955" s="13"/>
      <c r="W955" s="13"/>
      <c r="X955" s="13"/>
      <c r="Y955" s="13"/>
      <c r="Z955" s="13"/>
      <c r="AA955" s="13"/>
    </row>
    <row r="956" ht="16.5" customHeight="1">
      <c r="A956" s="10"/>
      <c r="B956" s="10"/>
      <c r="C956" s="13"/>
      <c r="D956" s="13"/>
      <c r="E956" s="13"/>
      <c r="F956" s="185"/>
      <c r="G956" s="13"/>
      <c r="H956" s="13"/>
      <c r="I956" s="13"/>
      <c r="J956" s="13"/>
      <c r="K956" s="13"/>
      <c r="L956" s="13"/>
      <c r="M956" s="13"/>
      <c r="N956" s="13"/>
      <c r="O956" s="13"/>
      <c r="P956" s="13"/>
      <c r="Q956" s="13"/>
      <c r="R956" s="13"/>
      <c r="S956" s="13"/>
      <c r="T956" s="13"/>
      <c r="U956" s="13"/>
      <c r="V956" s="13"/>
      <c r="W956" s="13"/>
      <c r="X956" s="13"/>
      <c r="Y956" s="13"/>
      <c r="Z956" s="13"/>
      <c r="AA956" s="13"/>
    </row>
    <row r="957" ht="16.5" customHeight="1">
      <c r="A957" s="10"/>
      <c r="B957" s="10"/>
      <c r="C957" s="13"/>
      <c r="D957" s="13"/>
      <c r="E957" s="13"/>
      <c r="F957" s="185"/>
      <c r="G957" s="13"/>
      <c r="H957" s="13"/>
      <c r="I957" s="13"/>
      <c r="J957" s="13"/>
      <c r="K957" s="13"/>
      <c r="L957" s="13"/>
      <c r="M957" s="13"/>
      <c r="N957" s="13"/>
      <c r="O957" s="13"/>
      <c r="P957" s="13"/>
      <c r="Q957" s="13"/>
      <c r="R957" s="13"/>
      <c r="S957" s="13"/>
      <c r="T957" s="13"/>
      <c r="U957" s="13"/>
      <c r="V957" s="13"/>
      <c r="W957" s="13"/>
      <c r="X957" s="13"/>
      <c r="Y957" s="13"/>
      <c r="Z957" s="13"/>
      <c r="AA957" s="13"/>
    </row>
    <row r="958" ht="16.5" customHeight="1">
      <c r="A958" s="10"/>
      <c r="B958" s="10"/>
      <c r="C958" s="13"/>
      <c r="D958" s="13"/>
      <c r="E958" s="13"/>
      <c r="F958" s="185"/>
      <c r="G958" s="13"/>
      <c r="H958" s="13"/>
      <c r="I958" s="13"/>
      <c r="J958" s="13"/>
      <c r="K958" s="13"/>
      <c r="L958" s="13"/>
      <c r="M958" s="13"/>
      <c r="N958" s="13"/>
      <c r="O958" s="13"/>
      <c r="P958" s="13"/>
      <c r="Q958" s="13"/>
      <c r="R958" s="13"/>
      <c r="S958" s="13"/>
      <c r="T958" s="13"/>
      <c r="U958" s="13"/>
      <c r="V958" s="13"/>
      <c r="W958" s="13"/>
      <c r="X958" s="13"/>
      <c r="Y958" s="13"/>
      <c r="Z958" s="13"/>
      <c r="AA958" s="13"/>
    </row>
    <row r="959" ht="16.5" customHeight="1">
      <c r="A959" s="10"/>
      <c r="B959" s="10"/>
      <c r="C959" s="13"/>
      <c r="D959" s="13"/>
      <c r="E959" s="13"/>
      <c r="F959" s="185"/>
      <c r="G959" s="13"/>
      <c r="H959" s="13"/>
      <c r="I959" s="13"/>
      <c r="J959" s="13"/>
      <c r="K959" s="13"/>
      <c r="L959" s="13"/>
      <c r="M959" s="13"/>
      <c r="N959" s="13"/>
      <c r="O959" s="13"/>
      <c r="P959" s="13"/>
      <c r="Q959" s="13"/>
      <c r="R959" s="13"/>
      <c r="S959" s="13"/>
      <c r="T959" s="13"/>
      <c r="U959" s="13"/>
      <c r="V959" s="13"/>
      <c r="W959" s="13"/>
      <c r="X959" s="13"/>
      <c r="Y959" s="13"/>
      <c r="Z959" s="13"/>
      <c r="AA959" s="13"/>
    </row>
    <row r="960" ht="16.5" customHeight="1">
      <c r="A960" s="10"/>
      <c r="B960" s="10"/>
      <c r="C960" s="13"/>
      <c r="D960" s="13"/>
      <c r="E960" s="13"/>
      <c r="F960" s="185"/>
      <c r="G960" s="13"/>
      <c r="H960" s="13"/>
      <c r="I960" s="13"/>
      <c r="J960" s="13"/>
      <c r="K960" s="13"/>
      <c r="L960" s="13"/>
      <c r="M960" s="13"/>
      <c r="N960" s="13"/>
      <c r="O960" s="13"/>
      <c r="P960" s="13"/>
      <c r="Q960" s="13"/>
      <c r="R960" s="13"/>
      <c r="S960" s="13"/>
      <c r="T960" s="13"/>
      <c r="U960" s="13"/>
      <c r="V960" s="13"/>
      <c r="W960" s="13"/>
      <c r="X960" s="13"/>
      <c r="Y960" s="13"/>
      <c r="Z960" s="13"/>
      <c r="AA960" s="13"/>
    </row>
    <row r="961" ht="16.5" customHeight="1">
      <c r="A961" s="10"/>
      <c r="B961" s="10"/>
      <c r="C961" s="13"/>
      <c r="D961" s="13"/>
      <c r="E961" s="13"/>
      <c r="F961" s="185"/>
      <c r="G961" s="13"/>
      <c r="H961" s="13"/>
      <c r="I961" s="13"/>
      <c r="J961" s="13"/>
      <c r="K961" s="13"/>
      <c r="L961" s="13"/>
      <c r="M961" s="13"/>
      <c r="N961" s="13"/>
      <c r="O961" s="13"/>
      <c r="P961" s="13"/>
      <c r="Q961" s="13"/>
      <c r="R961" s="13"/>
      <c r="S961" s="13"/>
      <c r="T961" s="13"/>
      <c r="U961" s="13"/>
      <c r="V961" s="13"/>
      <c r="W961" s="13"/>
      <c r="X961" s="13"/>
      <c r="Y961" s="13"/>
      <c r="Z961" s="13"/>
      <c r="AA961" s="13"/>
    </row>
    <row r="962" ht="16.5" customHeight="1">
      <c r="A962" s="10"/>
      <c r="B962" s="10"/>
      <c r="C962" s="13"/>
      <c r="D962" s="13"/>
      <c r="E962" s="13"/>
      <c r="F962" s="185"/>
      <c r="G962" s="13"/>
      <c r="H962" s="13"/>
      <c r="I962" s="13"/>
      <c r="J962" s="13"/>
      <c r="K962" s="13"/>
      <c r="L962" s="13"/>
      <c r="M962" s="13"/>
      <c r="N962" s="13"/>
      <c r="O962" s="13"/>
      <c r="P962" s="13"/>
      <c r="Q962" s="13"/>
      <c r="R962" s="13"/>
      <c r="S962" s="13"/>
      <c r="T962" s="13"/>
      <c r="U962" s="13"/>
      <c r="V962" s="13"/>
      <c r="W962" s="13"/>
      <c r="X962" s="13"/>
      <c r="Y962" s="13"/>
      <c r="Z962" s="13"/>
      <c r="AA962" s="13"/>
    </row>
    <row r="963" ht="16.5" customHeight="1">
      <c r="A963" s="10"/>
      <c r="B963" s="10"/>
      <c r="C963" s="13"/>
      <c r="D963" s="13"/>
      <c r="E963" s="13"/>
      <c r="F963" s="185"/>
      <c r="G963" s="13"/>
      <c r="H963" s="13"/>
      <c r="I963" s="13"/>
      <c r="J963" s="13"/>
      <c r="K963" s="13"/>
      <c r="L963" s="13"/>
      <c r="M963" s="13"/>
      <c r="N963" s="13"/>
      <c r="O963" s="13"/>
      <c r="P963" s="13"/>
      <c r="Q963" s="13"/>
      <c r="R963" s="13"/>
      <c r="S963" s="13"/>
      <c r="T963" s="13"/>
      <c r="U963" s="13"/>
      <c r="V963" s="13"/>
      <c r="W963" s="13"/>
      <c r="X963" s="13"/>
      <c r="Y963" s="13"/>
      <c r="Z963" s="13"/>
      <c r="AA963" s="13"/>
    </row>
    <row r="964" ht="16.5" customHeight="1">
      <c r="A964" s="10"/>
      <c r="B964" s="10"/>
      <c r="C964" s="13"/>
      <c r="D964" s="13"/>
      <c r="E964" s="13"/>
      <c r="F964" s="185"/>
      <c r="G964" s="13"/>
      <c r="H964" s="13"/>
      <c r="I964" s="13"/>
      <c r="J964" s="13"/>
      <c r="K964" s="13"/>
      <c r="L964" s="13"/>
      <c r="M964" s="13"/>
      <c r="N964" s="13"/>
      <c r="O964" s="13"/>
      <c r="P964" s="13"/>
      <c r="Q964" s="13"/>
      <c r="R964" s="13"/>
      <c r="S964" s="13"/>
      <c r="T964" s="13"/>
      <c r="U964" s="13"/>
      <c r="V964" s="13"/>
      <c r="W964" s="13"/>
      <c r="X964" s="13"/>
      <c r="Y964" s="13"/>
      <c r="Z964" s="13"/>
      <c r="AA964" s="13"/>
    </row>
    <row r="965" ht="16.5" customHeight="1">
      <c r="A965" s="10"/>
      <c r="B965" s="10"/>
      <c r="C965" s="13"/>
      <c r="D965" s="13"/>
      <c r="E965" s="13"/>
      <c r="F965" s="185"/>
      <c r="G965" s="13"/>
      <c r="H965" s="13"/>
      <c r="I965" s="13"/>
      <c r="J965" s="13"/>
      <c r="K965" s="13"/>
      <c r="L965" s="13"/>
      <c r="M965" s="13"/>
      <c r="N965" s="13"/>
      <c r="O965" s="13"/>
      <c r="P965" s="13"/>
      <c r="Q965" s="13"/>
      <c r="R965" s="13"/>
      <c r="S965" s="13"/>
      <c r="T965" s="13"/>
      <c r="U965" s="13"/>
      <c r="V965" s="13"/>
      <c r="W965" s="13"/>
      <c r="X965" s="13"/>
      <c r="Y965" s="13"/>
      <c r="Z965" s="13"/>
      <c r="AA965" s="13"/>
    </row>
    <row r="966" ht="16.5" customHeight="1">
      <c r="A966" s="10"/>
      <c r="B966" s="10"/>
      <c r="C966" s="13"/>
      <c r="D966" s="13"/>
      <c r="E966" s="13"/>
      <c r="F966" s="185"/>
      <c r="G966" s="13"/>
      <c r="H966" s="13"/>
      <c r="I966" s="13"/>
      <c r="J966" s="13"/>
      <c r="K966" s="13"/>
      <c r="L966" s="13"/>
      <c r="M966" s="13"/>
      <c r="N966" s="13"/>
      <c r="O966" s="13"/>
      <c r="P966" s="13"/>
      <c r="Q966" s="13"/>
      <c r="R966" s="13"/>
      <c r="S966" s="13"/>
      <c r="T966" s="13"/>
      <c r="U966" s="13"/>
      <c r="V966" s="13"/>
      <c r="W966" s="13"/>
      <c r="X966" s="13"/>
      <c r="Y966" s="13"/>
      <c r="Z966" s="13"/>
      <c r="AA966" s="13"/>
    </row>
    <row r="967" ht="16.5" customHeight="1">
      <c r="A967" s="10"/>
      <c r="B967" s="10"/>
      <c r="C967" s="13"/>
      <c r="D967" s="13"/>
      <c r="E967" s="13"/>
      <c r="F967" s="185"/>
      <c r="G967" s="13"/>
      <c r="H967" s="13"/>
      <c r="I967" s="13"/>
      <c r="J967" s="13"/>
      <c r="K967" s="13"/>
      <c r="L967" s="13"/>
      <c r="M967" s="13"/>
      <c r="N967" s="13"/>
      <c r="O967" s="13"/>
      <c r="P967" s="13"/>
      <c r="Q967" s="13"/>
      <c r="R967" s="13"/>
      <c r="S967" s="13"/>
      <c r="T967" s="13"/>
      <c r="U967" s="13"/>
      <c r="V967" s="13"/>
      <c r="W967" s="13"/>
      <c r="X967" s="13"/>
      <c r="Y967" s="13"/>
      <c r="Z967" s="13"/>
      <c r="AA967" s="13"/>
    </row>
    <row r="968" ht="16.5" customHeight="1">
      <c r="A968" s="10"/>
      <c r="B968" s="10"/>
      <c r="C968" s="13"/>
      <c r="D968" s="13"/>
      <c r="E968" s="13"/>
      <c r="F968" s="185"/>
      <c r="G968" s="13"/>
      <c r="H968" s="13"/>
      <c r="I968" s="13"/>
      <c r="J968" s="13"/>
      <c r="K968" s="13"/>
      <c r="L968" s="13"/>
      <c r="M968" s="13"/>
      <c r="N968" s="13"/>
      <c r="O968" s="13"/>
      <c r="P968" s="13"/>
      <c r="Q968" s="13"/>
      <c r="R968" s="13"/>
      <c r="S968" s="13"/>
      <c r="T968" s="13"/>
      <c r="U968" s="13"/>
      <c r="V968" s="13"/>
      <c r="W968" s="13"/>
      <c r="X968" s="13"/>
      <c r="Y968" s="13"/>
      <c r="Z968" s="13"/>
      <c r="AA968" s="13"/>
    </row>
    <row r="969" ht="16.5" customHeight="1">
      <c r="A969" s="10"/>
      <c r="B969" s="10"/>
      <c r="C969" s="13"/>
      <c r="D969" s="13"/>
      <c r="E969" s="13"/>
      <c r="F969" s="185"/>
      <c r="G969" s="13"/>
      <c r="H969" s="13"/>
      <c r="I969" s="13"/>
      <c r="J969" s="13"/>
      <c r="K969" s="13"/>
      <c r="L969" s="13"/>
      <c r="M969" s="13"/>
      <c r="N969" s="13"/>
      <c r="O969" s="13"/>
      <c r="P969" s="13"/>
      <c r="Q969" s="13"/>
      <c r="R969" s="13"/>
      <c r="S969" s="13"/>
      <c r="T969" s="13"/>
      <c r="U969" s="13"/>
      <c r="V969" s="13"/>
      <c r="W969" s="13"/>
      <c r="X969" s="13"/>
      <c r="Y969" s="13"/>
      <c r="Z969" s="13"/>
      <c r="AA969" s="13"/>
    </row>
    <row r="970" ht="16.5" customHeight="1">
      <c r="A970" s="10"/>
      <c r="B970" s="10"/>
      <c r="C970" s="13"/>
      <c r="D970" s="13"/>
      <c r="E970" s="13"/>
      <c r="F970" s="185"/>
      <c r="G970" s="13"/>
      <c r="H970" s="13"/>
      <c r="I970" s="13"/>
      <c r="J970" s="13"/>
      <c r="K970" s="13"/>
      <c r="L970" s="13"/>
      <c r="M970" s="13"/>
      <c r="N970" s="13"/>
      <c r="O970" s="13"/>
      <c r="P970" s="13"/>
      <c r="Q970" s="13"/>
      <c r="R970" s="13"/>
      <c r="S970" s="13"/>
      <c r="T970" s="13"/>
      <c r="U970" s="13"/>
      <c r="V970" s="13"/>
      <c r="W970" s="13"/>
      <c r="X970" s="13"/>
      <c r="Y970" s="13"/>
      <c r="Z970" s="13"/>
      <c r="AA970" s="13"/>
    </row>
    <row r="971" ht="16.5" customHeight="1">
      <c r="A971" s="10"/>
      <c r="B971" s="10"/>
      <c r="C971" s="13"/>
      <c r="D971" s="13"/>
      <c r="E971" s="13"/>
      <c r="F971" s="185"/>
      <c r="G971" s="13"/>
      <c r="H971" s="13"/>
      <c r="I971" s="13"/>
      <c r="J971" s="13"/>
      <c r="K971" s="13"/>
      <c r="L971" s="13"/>
      <c r="M971" s="13"/>
      <c r="N971" s="13"/>
      <c r="O971" s="13"/>
      <c r="P971" s="13"/>
      <c r="Q971" s="13"/>
      <c r="R971" s="13"/>
      <c r="S971" s="13"/>
      <c r="T971" s="13"/>
      <c r="U971" s="13"/>
      <c r="V971" s="13"/>
      <c r="W971" s="13"/>
      <c r="X971" s="13"/>
      <c r="Y971" s="13"/>
      <c r="Z971" s="13"/>
      <c r="AA971" s="13"/>
    </row>
    <row r="972" ht="16.5" customHeight="1">
      <c r="A972" s="10"/>
      <c r="B972" s="10"/>
      <c r="C972" s="13"/>
      <c r="D972" s="13"/>
      <c r="E972" s="13"/>
      <c r="F972" s="185"/>
      <c r="G972" s="13"/>
      <c r="H972" s="13"/>
      <c r="I972" s="13"/>
      <c r="J972" s="13"/>
      <c r="K972" s="13"/>
      <c r="L972" s="13"/>
      <c r="M972" s="13"/>
      <c r="N972" s="13"/>
      <c r="O972" s="13"/>
      <c r="P972" s="13"/>
      <c r="Q972" s="13"/>
      <c r="R972" s="13"/>
      <c r="S972" s="13"/>
      <c r="T972" s="13"/>
      <c r="U972" s="13"/>
      <c r="V972" s="13"/>
      <c r="W972" s="13"/>
      <c r="X972" s="13"/>
      <c r="Y972" s="13"/>
      <c r="Z972" s="13"/>
      <c r="AA972" s="13"/>
    </row>
    <row r="973" ht="16.5" customHeight="1">
      <c r="A973" s="10"/>
      <c r="B973" s="10"/>
      <c r="C973" s="13"/>
      <c r="D973" s="13"/>
      <c r="E973" s="13"/>
      <c r="F973" s="185"/>
      <c r="G973" s="13"/>
      <c r="H973" s="13"/>
      <c r="I973" s="13"/>
      <c r="J973" s="13"/>
      <c r="K973" s="13"/>
      <c r="L973" s="13"/>
      <c r="M973" s="13"/>
      <c r="N973" s="13"/>
      <c r="O973" s="13"/>
      <c r="P973" s="13"/>
      <c r="Q973" s="13"/>
      <c r="R973" s="13"/>
      <c r="S973" s="13"/>
      <c r="T973" s="13"/>
      <c r="U973" s="13"/>
      <c r="V973" s="13"/>
      <c r="W973" s="13"/>
      <c r="X973" s="13"/>
      <c r="Y973" s="13"/>
      <c r="Z973" s="13"/>
      <c r="AA973" s="13"/>
    </row>
    <row r="974" ht="16.5" customHeight="1">
      <c r="A974" s="10"/>
      <c r="B974" s="10"/>
      <c r="C974" s="13"/>
      <c r="D974" s="13"/>
      <c r="E974" s="13"/>
      <c r="F974" s="185"/>
      <c r="G974" s="13"/>
      <c r="H974" s="13"/>
      <c r="I974" s="13"/>
      <c r="J974" s="13"/>
      <c r="K974" s="13"/>
      <c r="L974" s="13"/>
      <c r="M974" s="13"/>
      <c r="N974" s="13"/>
      <c r="O974" s="13"/>
      <c r="P974" s="13"/>
      <c r="Q974" s="13"/>
      <c r="R974" s="13"/>
      <c r="S974" s="13"/>
      <c r="T974" s="13"/>
      <c r="U974" s="13"/>
      <c r="V974" s="13"/>
      <c r="W974" s="13"/>
      <c r="X974" s="13"/>
      <c r="Y974" s="13"/>
      <c r="Z974" s="13"/>
      <c r="AA974" s="13"/>
    </row>
    <row r="975" ht="16.5" customHeight="1">
      <c r="A975" s="10"/>
      <c r="B975" s="10"/>
      <c r="C975" s="13"/>
      <c r="D975" s="13"/>
      <c r="E975" s="13"/>
      <c r="F975" s="185"/>
      <c r="G975" s="13"/>
      <c r="H975" s="13"/>
      <c r="I975" s="13"/>
      <c r="J975" s="13"/>
      <c r="K975" s="13"/>
      <c r="L975" s="13"/>
      <c r="M975" s="13"/>
      <c r="N975" s="13"/>
      <c r="O975" s="13"/>
      <c r="P975" s="13"/>
      <c r="Q975" s="13"/>
      <c r="R975" s="13"/>
      <c r="S975" s="13"/>
      <c r="T975" s="13"/>
      <c r="U975" s="13"/>
      <c r="V975" s="13"/>
      <c r="W975" s="13"/>
      <c r="X975" s="13"/>
      <c r="Y975" s="13"/>
      <c r="Z975" s="13"/>
      <c r="AA975" s="13"/>
    </row>
    <row r="976" ht="16.5" customHeight="1">
      <c r="A976" s="10"/>
      <c r="B976" s="10"/>
      <c r="C976" s="13"/>
      <c r="D976" s="13"/>
      <c r="E976" s="13"/>
      <c r="F976" s="185"/>
      <c r="G976" s="13"/>
      <c r="H976" s="13"/>
      <c r="I976" s="13"/>
      <c r="J976" s="13"/>
      <c r="K976" s="13"/>
      <c r="L976" s="13"/>
      <c r="M976" s="13"/>
      <c r="N976" s="13"/>
      <c r="O976" s="13"/>
      <c r="P976" s="13"/>
      <c r="Q976" s="13"/>
      <c r="R976" s="13"/>
      <c r="S976" s="13"/>
      <c r="T976" s="13"/>
      <c r="U976" s="13"/>
      <c r="V976" s="13"/>
      <c r="W976" s="13"/>
      <c r="X976" s="13"/>
      <c r="Y976" s="13"/>
      <c r="Z976" s="13"/>
      <c r="AA976" s="13"/>
    </row>
    <row r="977" ht="16.5" customHeight="1">
      <c r="A977" s="10"/>
      <c r="B977" s="10"/>
      <c r="C977" s="13"/>
      <c r="D977" s="13"/>
      <c r="E977" s="13"/>
      <c r="F977" s="185"/>
      <c r="G977" s="13"/>
      <c r="H977" s="13"/>
      <c r="I977" s="13"/>
      <c r="J977" s="13"/>
      <c r="K977" s="13"/>
      <c r="L977" s="13"/>
      <c r="M977" s="13"/>
      <c r="N977" s="13"/>
      <c r="O977" s="13"/>
      <c r="P977" s="13"/>
      <c r="Q977" s="13"/>
      <c r="R977" s="13"/>
      <c r="S977" s="13"/>
      <c r="T977" s="13"/>
      <c r="U977" s="13"/>
      <c r="V977" s="13"/>
      <c r="W977" s="13"/>
      <c r="X977" s="13"/>
      <c r="Y977" s="13"/>
      <c r="Z977" s="13"/>
      <c r="AA977" s="13"/>
    </row>
    <row r="978" ht="16.5" customHeight="1">
      <c r="A978" s="10"/>
      <c r="B978" s="10"/>
      <c r="C978" s="13"/>
      <c r="D978" s="13"/>
      <c r="E978" s="13"/>
      <c r="F978" s="185"/>
      <c r="G978" s="13"/>
      <c r="H978" s="13"/>
      <c r="I978" s="13"/>
      <c r="J978" s="13"/>
      <c r="K978" s="13"/>
      <c r="L978" s="13"/>
      <c r="M978" s="13"/>
      <c r="N978" s="13"/>
      <c r="O978" s="13"/>
      <c r="P978" s="13"/>
      <c r="Q978" s="13"/>
      <c r="R978" s="13"/>
      <c r="S978" s="13"/>
      <c r="T978" s="13"/>
      <c r="U978" s="13"/>
      <c r="V978" s="13"/>
      <c r="W978" s="13"/>
      <c r="X978" s="13"/>
      <c r="Y978" s="13"/>
      <c r="Z978" s="13"/>
      <c r="AA978" s="13"/>
    </row>
    <row r="979" ht="16.5" customHeight="1">
      <c r="A979" s="10"/>
      <c r="B979" s="10"/>
      <c r="C979" s="13"/>
      <c r="D979" s="13"/>
      <c r="E979" s="13"/>
      <c r="F979" s="185"/>
      <c r="G979" s="13"/>
      <c r="H979" s="13"/>
      <c r="I979" s="13"/>
      <c r="J979" s="13"/>
      <c r="K979" s="13"/>
      <c r="L979" s="13"/>
      <c r="M979" s="13"/>
      <c r="N979" s="13"/>
      <c r="O979" s="13"/>
      <c r="P979" s="13"/>
      <c r="Q979" s="13"/>
      <c r="R979" s="13"/>
      <c r="S979" s="13"/>
      <c r="T979" s="13"/>
      <c r="U979" s="13"/>
      <c r="V979" s="13"/>
      <c r="W979" s="13"/>
      <c r="X979" s="13"/>
      <c r="Y979" s="13"/>
      <c r="Z979" s="13"/>
      <c r="AA979" s="13"/>
    </row>
    <row r="980" ht="16.5" customHeight="1">
      <c r="A980" s="10"/>
      <c r="B980" s="10"/>
      <c r="C980" s="13"/>
      <c r="D980" s="13"/>
      <c r="E980" s="13"/>
      <c r="F980" s="185"/>
      <c r="G980" s="13"/>
      <c r="H980" s="13"/>
      <c r="I980" s="13"/>
      <c r="J980" s="13"/>
      <c r="K980" s="13"/>
      <c r="L980" s="13"/>
      <c r="M980" s="13"/>
      <c r="N980" s="13"/>
      <c r="O980" s="13"/>
      <c r="P980" s="13"/>
      <c r="Q980" s="13"/>
      <c r="R980" s="13"/>
      <c r="S980" s="13"/>
      <c r="T980" s="13"/>
      <c r="U980" s="13"/>
      <c r="V980" s="13"/>
      <c r="W980" s="13"/>
      <c r="X980" s="13"/>
      <c r="Y980" s="13"/>
      <c r="Z980" s="13"/>
      <c r="AA980" s="13"/>
    </row>
    <row r="981" ht="16.5" customHeight="1">
      <c r="A981" s="10"/>
      <c r="B981" s="10"/>
      <c r="C981" s="13"/>
      <c r="D981" s="13"/>
      <c r="E981" s="13"/>
      <c r="F981" s="185"/>
      <c r="G981" s="13"/>
      <c r="H981" s="13"/>
      <c r="I981" s="13"/>
      <c r="J981" s="13"/>
      <c r="K981" s="13"/>
      <c r="L981" s="13"/>
      <c r="M981" s="13"/>
      <c r="N981" s="13"/>
      <c r="O981" s="13"/>
      <c r="P981" s="13"/>
      <c r="Q981" s="13"/>
      <c r="R981" s="13"/>
      <c r="S981" s="13"/>
      <c r="T981" s="13"/>
      <c r="U981" s="13"/>
      <c r="V981" s="13"/>
      <c r="W981" s="13"/>
      <c r="X981" s="13"/>
      <c r="Y981" s="13"/>
      <c r="Z981" s="13"/>
      <c r="AA981" s="13"/>
    </row>
    <row r="982" ht="16.5" customHeight="1">
      <c r="A982" s="10"/>
      <c r="B982" s="10"/>
      <c r="C982" s="13"/>
      <c r="D982" s="13"/>
      <c r="E982" s="13"/>
      <c r="F982" s="185"/>
      <c r="G982" s="13"/>
      <c r="H982" s="13"/>
      <c r="I982" s="13"/>
      <c r="J982" s="13"/>
      <c r="K982" s="13"/>
      <c r="L982" s="13"/>
      <c r="M982" s="13"/>
      <c r="N982" s="13"/>
      <c r="O982" s="13"/>
      <c r="P982" s="13"/>
      <c r="Q982" s="13"/>
      <c r="R982" s="13"/>
      <c r="S982" s="13"/>
      <c r="T982" s="13"/>
      <c r="U982" s="13"/>
      <c r="V982" s="13"/>
      <c r="W982" s="13"/>
      <c r="X982" s="13"/>
      <c r="Y982" s="13"/>
      <c r="Z982" s="13"/>
      <c r="AA982" s="13"/>
    </row>
    <row r="983" ht="16.5" customHeight="1">
      <c r="A983" s="10"/>
      <c r="B983" s="10"/>
      <c r="C983" s="13"/>
      <c r="D983" s="13"/>
      <c r="E983" s="13"/>
      <c r="F983" s="185"/>
      <c r="G983" s="13"/>
      <c r="H983" s="13"/>
      <c r="I983" s="13"/>
      <c r="J983" s="13"/>
      <c r="K983" s="13"/>
      <c r="L983" s="13"/>
      <c r="M983" s="13"/>
      <c r="N983" s="13"/>
      <c r="O983" s="13"/>
      <c r="P983" s="13"/>
      <c r="Q983" s="13"/>
      <c r="R983" s="13"/>
      <c r="S983" s="13"/>
      <c r="T983" s="13"/>
      <c r="U983" s="13"/>
      <c r="V983" s="13"/>
      <c r="W983" s="13"/>
      <c r="X983" s="13"/>
      <c r="Y983" s="13"/>
      <c r="Z983" s="13"/>
      <c r="AA983" s="13"/>
    </row>
    <row r="984" ht="16.5" customHeight="1">
      <c r="A984" s="10"/>
      <c r="B984" s="10"/>
      <c r="C984" s="13"/>
      <c r="D984" s="13"/>
      <c r="E984" s="13"/>
      <c r="F984" s="185"/>
      <c r="G984" s="13"/>
      <c r="H984" s="13"/>
      <c r="I984" s="13"/>
      <c r="J984" s="13"/>
      <c r="K984" s="13"/>
      <c r="L984" s="13"/>
      <c r="M984" s="13"/>
      <c r="N984" s="13"/>
      <c r="O984" s="13"/>
      <c r="P984" s="13"/>
      <c r="Q984" s="13"/>
      <c r="R984" s="13"/>
      <c r="S984" s="13"/>
      <c r="T984" s="13"/>
      <c r="U984" s="13"/>
      <c r="V984" s="13"/>
      <c r="W984" s="13"/>
      <c r="X984" s="13"/>
      <c r="Y984" s="13"/>
      <c r="Z984" s="13"/>
      <c r="AA984" s="13"/>
    </row>
    <row r="985" ht="16.5" customHeight="1">
      <c r="A985" s="10"/>
      <c r="B985" s="10"/>
      <c r="C985" s="13"/>
      <c r="D985" s="13"/>
      <c r="E985" s="13"/>
      <c r="F985" s="185"/>
      <c r="G985" s="13"/>
      <c r="H985" s="13"/>
      <c r="I985" s="13"/>
      <c r="J985" s="13"/>
      <c r="K985" s="13"/>
      <c r="L985" s="13"/>
      <c r="M985" s="13"/>
      <c r="N985" s="13"/>
      <c r="O985" s="13"/>
      <c r="P985" s="13"/>
      <c r="Q985" s="13"/>
      <c r="R985" s="13"/>
      <c r="S985" s="13"/>
      <c r="T985" s="13"/>
      <c r="U985" s="13"/>
      <c r="V985" s="13"/>
      <c r="W985" s="13"/>
      <c r="X985" s="13"/>
      <c r="Y985" s="13"/>
      <c r="Z985" s="13"/>
      <c r="AA985" s="13"/>
    </row>
    <row r="986" ht="16.5" customHeight="1">
      <c r="A986" s="10"/>
      <c r="B986" s="10"/>
      <c r="C986" s="13"/>
      <c r="D986" s="13"/>
      <c r="E986" s="13"/>
      <c r="F986" s="185"/>
      <c r="G986" s="13"/>
      <c r="H986" s="13"/>
      <c r="I986" s="13"/>
      <c r="J986" s="13"/>
      <c r="K986" s="13"/>
      <c r="L986" s="13"/>
      <c r="M986" s="13"/>
      <c r="N986" s="13"/>
      <c r="O986" s="13"/>
      <c r="P986" s="13"/>
      <c r="Q986" s="13"/>
      <c r="R986" s="13"/>
      <c r="S986" s="13"/>
      <c r="T986" s="13"/>
      <c r="U986" s="13"/>
      <c r="V986" s="13"/>
      <c r="W986" s="13"/>
      <c r="X986" s="13"/>
      <c r="Y986" s="13"/>
      <c r="Z986" s="13"/>
      <c r="AA986" s="13"/>
    </row>
    <row r="987" ht="16.5" customHeight="1">
      <c r="A987" s="10"/>
      <c r="B987" s="10"/>
      <c r="C987" s="13"/>
      <c r="D987" s="13"/>
      <c r="E987" s="13"/>
      <c r="F987" s="185"/>
      <c r="G987" s="13"/>
      <c r="H987" s="13"/>
      <c r="I987" s="13"/>
      <c r="J987" s="13"/>
      <c r="K987" s="13"/>
      <c r="L987" s="13"/>
      <c r="M987" s="13"/>
      <c r="N987" s="13"/>
      <c r="O987" s="13"/>
      <c r="P987" s="13"/>
      <c r="Q987" s="13"/>
      <c r="R987" s="13"/>
      <c r="S987" s="13"/>
      <c r="T987" s="13"/>
      <c r="U987" s="13"/>
      <c r="V987" s="13"/>
      <c r="W987" s="13"/>
      <c r="X987" s="13"/>
      <c r="Y987" s="13"/>
      <c r="Z987" s="13"/>
      <c r="AA987" s="13"/>
    </row>
    <row r="988" ht="16.5" customHeight="1">
      <c r="A988" s="10"/>
      <c r="B988" s="10"/>
      <c r="C988" s="13"/>
      <c r="D988" s="13"/>
      <c r="E988" s="13"/>
      <c r="F988" s="185"/>
      <c r="G988" s="13"/>
      <c r="H988" s="13"/>
      <c r="I988" s="13"/>
      <c r="J988" s="13"/>
      <c r="K988" s="13"/>
      <c r="L988" s="13"/>
      <c r="M988" s="13"/>
      <c r="N988" s="13"/>
      <c r="O988" s="13"/>
      <c r="P988" s="13"/>
      <c r="Q988" s="13"/>
      <c r="R988" s="13"/>
      <c r="S988" s="13"/>
      <c r="T988" s="13"/>
      <c r="U988" s="13"/>
      <c r="V988" s="13"/>
      <c r="W988" s="13"/>
      <c r="X988" s="13"/>
      <c r="Y988" s="13"/>
      <c r="Z988" s="13"/>
      <c r="AA988" s="13"/>
    </row>
    <row r="989" ht="16.5" customHeight="1">
      <c r="A989" s="10"/>
      <c r="B989" s="10"/>
      <c r="C989" s="13"/>
      <c r="D989" s="13"/>
      <c r="E989" s="13"/>
      <c r="F989" s="185"/>
      <c r="G989" s="13"/>
      <c r="H989" s="13"/>
      <c r="I989" s="13"/>
      <c r="J989" s="13"/>
      <c r="K989" s="13"/>
      <c r="L989" s="13"/>
      <c r="M989" s="13"/>
      <c r="N989" s="13"/>
      <c r="O989" s="13"/>
      <c r="P989" s="13"/>
      <c r="Q989" s="13"/>
      <c r="R989" s="13"/>
      <c r="S989" s="13"/>
      <c r="T989" s="13"/>
      <c r="U989" s="13"/>
      <c r="V989" s="13"/>
      <c r="W989" s="13"/>
      <c r="X989" s="13"/>
      <c r="Y989" s="13"/>
      <c r="Z989" s="13"/>
      <c r="AA989" s="13"/>
    </row>
    <row r="990" ht="16.5" customHeight="1">
      <c r="A990" s="10"/>
      <c r="B990" s="10"/>
      <c r="C990" s="13"/>
      <c r="D990" s="13"/>
      <c r="E990" s="13"/>
      <c r="F990" s="185"/>
      <c r="G990" s="13"/>
      <c r="H990" s="13"/>
      <c r="I990" s="13"/>
      <c r="J990" s="13"/>
      <c r="K990" s="13"/>
      <c r="L990" s="13"/>
      <c r="M990" s="13"/>
      <c r="N990" s="13"/>
      <c r="O990" s="13"/>
      <c r="P990" s="13"/>
      <c r="Q990" s="13"/>
      <c r="R990" s="13"/>
      <c r="S990" s="13"/>
      <c r="T990" s="13"/>
      <c r="U990" s="13"/>
      <c r="V990" s="13"/>
      <c r="W990" s="13"/>
      <c r="X990" s="13"/>
      <c r="Y990" s="13"/>
      <c r="Z990" s="13"/>
      <c r="AA990" s="13"/>
    </row>
    <row r="991" ht="16.5" customHeight="1">
      <c r="A991" s="10"/>
      <c r="B991" s="10"/>
      <c r="C991" s="13"/>
      <c r="D991" s="13"/>
      <c r="E991" s="13"/>
      <c r="F991" s="185"/>
      <c r="G991" s="13"/>
      <c r="H991" s="13"/>
      <c r="I991" s="13"/>
      <c r="J991" s="13"/>
      <c r="K991" s="13"/>
      <c r="L991" s="13"/>
      <c r="M991" s="13"/>
      <c r="N991" s="13"/>
      <c r="O991" s="13"/>
      <c r="P991" s="13"/>
      <c r="Q991" s="13"/>
      <c r="R991" s="13"/>
      <c r="S991" s="13"/>
      <c r="T991" s="13"/>
      <c r="U991" s="13"/>
      <c r="V991" s="13"/>
      <c r="W991" s="13"/>
      <c r="X991" s="13"/>
      <c r="Y991" s="13"/>
      <c r="Z991" s="13"/>
      <c r="AA991" s="13"/>
    </row>
    <row r="992" ht="16.5" customHeight="1">
      <c r="A992" s="10"/>
      <c r="B992" s="10"/>
      <c r="C992" s="13"/>
      <c r="D992" s="13"/>
      <c r="E992" s="13"/>
      <c r="F992" s="185"/>
      <c r="G992" s="13"/>
      <c r="H992" s="13"/>
      <c r="I992" s="13"/>
      <c r="J992" s="13"/>
      <c r="K992" s="13"/>
      <c r="L992" s="13"/>
      <c r="M992" s="13"/>
      <c r="N992" s="13"/>
      <c r="O992" s="13"/>
      <c r="P992" s="13"/>
      <c r="Q992" s="13"/>
      <c r="R992" s="13"/>
      <c r="S992" s="13"/>
      <c r="T992" s="13"/>
      <c r="U992" s="13"/>
      <c r="V992" s="13"/>
      <c r="W992" s="13"/>
      <c r="X992" s="13"/>
      <c r="Y992" s="13"/>
      <c r="Z992" s="13"/>
      <c r="AA992" s="13"/>
    </row>
    <row r="993" ht="16.5" customHeight="1">
      <c r="A993" s="10"/>
      <c r="B993" s="10"/>
      <c r="C993" s="13"/>
      <c r="D993" s="13"/>
      <c r="E993" s="13"/>
      <c r="F993" s="185"/>
      <c r="G993" s="13"/>
      <c r="H993" s="13"/>
      <c r="I993" s="13"/>
      <c r="J993" s="13"/>
      <c r="K993" s="13"/>
      <c r="L993" s="13"/>
      <c r="M993" s="13"/>
      <c r="N993" s="13"/>
      <c r="O993" s="13"/>
      <c r="P993" s="13"/>
      <c r="Q993" s="13"/>
      <c r="R993" s="13"/>
      <c r="S993" s="13"/>
      <c r="T993" s="13"/>
      <c r="U993" s="13"/>
      <c r="V993" s="13"/>
      <c r="W993" s="13"/>
      <c r="X993" s="13"/>
      <c r="Y993" s="13"/>
      <c r="Z993" s="13"/>
      <c r="AA993" s="13"/>
    </row>
    <row r="994" ht="16.5" customHeight="1">
      <c r="A994" s="10"/>
      <c r="B994" s="10"/>
      <c r="C994" s="13"/>
      <c r="D994" s="13"/>
      <c r="E994" s="13"/>
      <c r="F994" s="185"/>
      <c r="G994" s="13"/>
      <c r="H994" s="13"/>
      <c r="I994" s="13"/>
      <c r="J994" s="13"/>
      <c r="K994" s="13"/>
      <c r="L994" s="13"/>
      <c r="M994" s="13"/>
      <c r="N994" s="13"/>
      <c r="O994" s="13"/>
      <c r="P994" s="13"/>
      <c r="Q994" s="13"/>
      <c r="R994" s="13"/>
      <c r="S994" s="13"/>
      <c r="T994" s="13"/>
      <c r="U994" s="13"/>
      <c r="V994" s="13"/>
      <c r="W994" s="13"/>
      <c r="X994" s="13"/>
      <c r="Y994" s="13"/>
      <c r="Z994" s="13"/>
      <c r="AA994" s="13"/>
    </row>
    <row r="995" ht="16.5" customHeight="1">
      <c r="A995" s="10"/>
      <c r="B995" s="10"/>
      <c r="C995" s="13"/>
      <c r="D995" s="13"/>
      <c r="E995" s="13"/>
      <c r="F995" s="185"/>
      <c r="G995" s="13"/>
      <c r="H995" s="13"/>
      <c r="I995" s="13"/>
      <c r="J995" s="13"/>
      <c r="K995" s="13"/>
      <c r="L995" s="13"/>
      <c r="M995" s="13"/>
      <c r="N995" s="13"/>
      <c r="O995" s="13"/>
      <c r="P995" s="13"/>
      <c r="Q995" s="13"/>
      <c r="R995" s="13"/>
      <c r="S995" s="13"/>
      <c r="T995" s="13"/>
      <c r="U995" s="13"/>
      <c r="V995" s="13"/>
      <c r="W995" s="13"/>
      <c r="X995" s="13"/>
      <c r="Y995" s="13"/>
      <c r="Z995" s="13"/>
      <c r="AA995" s="13"/>
    </row>
    <row r="996" ht="16.5" customHeight="1">
      <c r="A996" s="10"/>
      <c r="B996" s="10"/>
      <c r="C996" s="13"/>
      <c r="D996" s="13"/>
      <c r="E996" s="13"/>
      <c r="F996" s="185"/>
      <c r="G996" s="13"/>
      <c r="H996" s="13"/>
      <c r="I996" s="13"/>
      <c r="J996" s="13"/>
      <c r="K996" s="13"/>
      <c r="L996" s="13"/>
      <c r="M996" s="13"/>
      <c r="N996" s="13"/>
      <c r="O996" s="13"/>
      <c r="P996" s="13"/>
      <c r="Q996" s="13"/>
      <c r="R996" s="13"/>
      <c r="S996" s="13"/>
      <c r="T996" s="13"/>
      <c r="U996" s="13"/>
      <c r="V996" s="13"/>
      <c r="W996" s="13"/>
      <c r="X996" s="13"/>
      <c r="Y996" s="13"/>
      <c r="Z996" s="13"/>
      <c r="AA996" s="13"/>
    </row>
    <row r="997" ht="16.5" customHeight="1">
      <c r="A997" s="10"/>
      <c r="B997" s="10"/>
      <c r="C997" s="13"/>
      <c r="D997" s="13"/>
      <c r="E997" s="13"/>
      <c r="F997" s="185"/>
      <c r="G997" s="13"/>
      <c r="H997" s="13"/>
      <c r="I997" s="13"/>
      <c r="J997" s="13"/>
      <c r="K997" s="13"/>
      <c r="L997" s="13"/>
      <c r="M997" s="13"/>
      <c r="N997" s="13"/>
      <c r="O997" s="13"/>
      <c r="P997" s="13"/>
      <c r="Q997" s="13"/>
      <c r="R997" s="13"/>
      <c r="S997" s="13"/>
      <c r="T997" s="13"/>
      <c r="U997" s="13"/>
      <c r="V997" s="13"/>
      <c r="W997" s="13"/>
      <c r="X997" s="13"/>
      <c r="Y997" s="13"/>
      <c r="Z997" s="13"/>
      <c r="AA997" s="13"/>
    </row>
    <row r="998" ht="16.5" customHeight="1">
      <c r="A998" s="10"/>
      <c r="B998" s="10"/>
      <c r="C998" s="13"/>
      <c r="D998" s="13"/>
      <c r="E998" s="13"/>
      <c r="F998" s="185"/>
      <c r="G998" s="13"/>
      <c r="H998" s="13"/>
      <c r="I998" s="13"/>
      <c r="J998" s="13"/>
      <c r="K998" s="13"/>
      <c r="L998" s="13"/>
      <c r="M998" s="13"/>
      <c r="N998" s="13"/>
      <c r="O998" s="13"/>
      <c r="P998" s="13"/>
      <c r="Q998" s="13"/>
      <c r="R998" s="13"/>
      <c r="S998" s="13"/>
      <c r="T998" s="13"/>
      <c r="U998" s="13"/>
      <c r="V998" s="13"/>
      <c r="W998" s="13"/>
      <c r="X998" s="13"/>
      <c r="Y998" s="13"/>
      <c r="Z998" s="13"/>
      <c r="AA998" s="13"/>
    </row>
    <row r="999" ht="16.5" customHeight="1">
      <c r="A999" s="10"/>
      <c r="B999" s="10"/>
      <c r="C999" s="13"/>
      <c r="D999" s="13"/>
      <c r="E999" s="13"/>
      <c r="F999" s="185"/>
      <c r="G999" s="13"/>
      <c r="H999" s="13"/>
      <c r="I999" s="13"/>
      <c r="J999" s="13"/>
      <c r="K999" s="13"/>
      <c r="L999" s="13"/>
      <c r="M999" s="13"/>
      <c r="N999" s="13"/>
      <c r="O999" s="13"/>
      <c r="P999" s="13"/>
      <c r="Q999" s="13"/>
      <c r="R999" s="13"/>
      <c r="S999" s="13"/>
      <c r="T999" s="13"/>
      <c r="U999" s="13"/>
      <c r="V999" s="13"/>
      <c r="W999" s="13"/>
      <c r="X999" s="13"/>
      <c r="Y999" s="13"/>
      <c r="Z999" s="13"/>
      <c r="AA999" s="13"/>
    </row>
    <row r="1000" ht="16.5" customHeight="1">
      <c r="A1000" s="10"/>
      <c r="B1000" s="10"/>
      <c r="C1000" s="13"/>
      <c r="D1000" s="13"/>
      <c r="E1000" s="13"/>
      <c r="F1000" s="185"/>
      <c r="G1000" s="13"/>
      <c r="H1000" s="13"/>
      <c r="I1000" s="13"/>
      <c r="J1000" s="13"/>
      <c r="K1000" s="13"/>
      <c r="L1000" s="13"/>
      <c r="M1000" s="13"/>
      <c r="N1000" s="13"/>
      <c r="O1000" s="13"/>
      <c r="P1000" s="13"/>
      <c r="Q1000" s="13"/>
      <c r="R1000" s="13"/>
      <c r="S1000" s="13"/>
      <c r="T1000" s="13"/>
      <c r="U1000" s="13"/>
      <c r="V1000" s="13"/>
      <c r="W1000" s="13"/>
      <c r="X1000" s="13"/>
      <c r="Y1000" s="13"/>
      <c r="Z1000" s="13"/>
      <c r="AA1000" s="13"/>
    </row>
  </sheetData>
  <autoFilter ref="$A$3:$M$270">
    <filterColumn colId="9">
      <filters>
        <filter val="반영"/>
      </filters>
    </filterColumn>
    <filterColumn colId="7">
      <filters blank="1">
        <filter val="TRUE"/>
      </filters>
    </filterColumn>
  </autoFilter>
  <mergeCells count="4">
    <mergeCell ref="A1:G2"/>
    <mergeCell ref="I1:I2"/>
    <mergeCell ref="L2:M2"/>
    <mergeCell ref="G134:G138"/>
  </mergeCells>
  <hyperlinks>
    <hyperlink r:id="rId1" location="J25:0" ref="F47"/>
    <hyperlink r:id="rId2" ref="F48"/>
    <hyperlink r:id="rId3" ref="G57"/>
    <hyperlink r:id="rId4" ref="E71"/>
    <hyperlink r:id="rId5" ref="E84"/>
    <hyperlink r:id="rId6" ref="F85"/>
    <hyperlink r:id="rId7" ref="F86"/>
    <hyperlink r:id="rId8" ref="F115"/>
    <hyperlink r:id="rId9" location="searchId1" ref="F119"/>
    <hyperlink r:id="rId10" ref="E134"/>
    <hyperlink r:id="rId11" ref="E135"/>
    <hyperlink r:id="rId12" ref="E136"/>
    <hyperlink r:id="rId13" ref="E138"/>
    <hyperlink r:id="rId14" ref="E140"/>
    <hyperlink r:id="rId15" ref="F141"/>
    <hyperlink r:id="rId16" ref="F142"/>
    <hyperlink r:id="rId17" ref="F143"/>
    <hyperlink r:id="rId18" ref="F144"/>
    <hyperlink r:id="rId19" ref="F145"/>
    <hyperlink r:id="rId20" ref="F177"/>
    <hyperlink r:id="rId21" ref="F178"/>
    <hyperlink r:id="rId22" ref="F179"/>
    <hyperlink r:id="rId23" ref="F180"/>
    <hyperlink r:id="rId24" ref="F181"/>
    <hyperlink r:id="rId25" ref="F182"/>
    <hyperlink r:id="rId26" ref="E187"/>
  </hyperlinks>
  <printOptions/>
  <pageMargins bottom="1.0" footer="0.0" header="0.0" left="0.75" right="0.75" top="1.0"/>
  <pageSetup paperSize="9" orientation="portrait"/>
  <drawing r:id="rId27"/>
</worksheet>
</file>